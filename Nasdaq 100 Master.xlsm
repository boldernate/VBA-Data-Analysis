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thanielc/Documents/VBA Projects/Data Analysis Tools/"/>
    </mc:Choice>
  </mc:AlternateContent>
  <bookViews>
    <workbookView xWindow="220" yWindow="460" windowWidth="27760" windowHeight="14980" tabRatio="500" activeTab="2"/>
  </bookViews>
  <sheets>
    <sheet name="Nasdaq Data" sheetId="2" r:id="rId1"/>
    <sheet name="Monthly Data" sheetId="3" r:id="rId2"/>
    <sheet name="10 Year Trend" sheetId="1" r:id="rId3"/>
    <sheet name="24 Month Trend" sheetId="4" r:id="rId4"/>
    <sheet name="12 Month Rolling Average" sheetId="5" r:id="rId5"/>
  </sheets>
  <externalReferences>
    <externalReference r:id="rId6"/>
  </externalReferenc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5" i="4" l="1"/>
  <c r="C5" i="4"/>
  <c r="AB5" i="4"/>
  <c r="L3035" i="2"/>
  <c r="D26" i="3"/>
  <c r="AA6" i="4"/>
  <c r="L2542" i="2"/>
  <c r="D2" i="3"/>
  <c r="C6" i="4"/>
  <c r="AB6" i="4"/>
  <c r="AB4" i="4"/>
  <c r="AA4" i="4"/>
  <c r="N5" i="5"/>
  <c r="C5" i="5"/>
  <c r="O5" i="5"/>
  <c r="L2815" i="2"/>
  <c r="D15" i="3"/>
  <c r="L2836" i="2"/>
  <c r="D16" i="3"/>
  <c r="L2858" i="2"/>
  <c r="D17" i="3"/>
  <c r="L2878" i="2"/>
  <c r="D18" i="3"/>
  <c r="L2901" i="2"/>
  <c r="D19" i="3"/>
  <c r="L2922" i="2"/>
  <c r="D20" i="3"/>
  <c r="L2943" i="2"/>
  <c r="D21" i="3"/>
  <c r="L2964" i="2"/>
  <c r="D22" i="3"/>
  <c r="L2985" i="2"/>
  <c r="D23" i="3"/>
  <c r="L3005" i="2"/>
  <c r="D24" i="3"/>
  <c r="L3024" i="2"/>
  <c r="D25" i="3"/>
  <c r="G26" i="3"/>
  <c r="N6" i="5"/>
  <c r="L2584" i="2"/>
  <c r="D4" i="3"/>
  <c r="L2606" i="2"/>
  <c r="D5" i="3"/>
  <c r="L2627" i="2"/>
  <c r="D6" i="3"/>
  <c r="L2649" i="2"/>
  <c r="D7" i="3"/>
  <c r="L2670" i="2"/>
  <c r="D8" i="3"/>
  <c r="L2691" i="2"/>
  <c r="D9" i="3"/>
  <c r="L2712" i="2"/>
  <c r="D10" i="3"/>
  <c r="L2734" i="2"/>
  <c r="D11" i="3"/>
  <c r="L2753" i="2"/>
  <c r="D12" i="3"/>
  <c r="L2772" i="2"/>
  <c r="D13" i="3"/>
  <c r="L2795" i="2"/>
  <c r="D14" i="3"/>
  <c r="G15" i="3"/>
  <c r="C6" i="5"/>
  <c r="O6" i="5"/>
  <c r="N4" i="5"/>
  <c r="C4" i="5"/>
  <c r="O4" i="5"/>
  <c r="G16" i="3"/>
  <c r="D6" i="5"/>
  <c r="G17" i="3"/>
  <c r="E6" i="5"/>
  <c r="G18" i="3"/>
  <c r="F6" i="5"/>
  <c r="G19" i="3"/>
  <c r="G6" i="5"/>
  <c r="G20" i="3"/>
  <c r="H6" i="5"/>
  <c r="G21" i="3"/>
  <c r="I6" i="5"/>
  <c r="G22" i="3"/>
  <c r="J6" i="5"/>
  <c r="G23" i="3"/>
  <c r="K6" i="5"/>
  <c r="G24" i="3"/>
  <c r="L6" i="5"/>
  <c r="G25" i="3"/>
  <c r="M6" i="5"/>
  <c r="D5" i="5"/>
  <c r="E5" i="5"/>
  <c r="F5" i="5"/>
  <c r="G5" i="5"/>
  <c r="H5" i="5"/>
  <c r="I5" i="5"/>
  <c r="J5" i="5"/>
  <c r="K5" i="5"/>
  <c r="L5" i="5"/>
  <c r="M5" i="5"/>
  <c r="D4" i="5"/>
  <c r="E4" i="5"/>
  <c r="F4" i="5"/>
  <c r="G4" i="5"/>
  <c r="H4" i="5"/>
  <c r="I4" i="5"/>
  <c r="J4" i="5"/>
  <c r="K4" i="5"/>
  <c r="L4" i="5"/>
  <c r="M4" i="5"/>
  <c r="H15" i="3"/>
  <c r="H16" i="3"/>
  <c r="H17" i="3"/>
  <c r="H18" i="3"/>
  <c r="H19" i="3"/>
  <c r="H20" i="3"/>
  <c r="H21" i="3"/>
  <c r="H22" i="3"/>
  <c r="H23" i="3"/>
  <c r="H24" i="3"/>
  <c r="H25" i="3"/>
  <c r="H26" i="3"/>
  <c r="H14" i="3"/>
  <c r="L2564" i="2"/>
  <c r="D3" i="3"/>
  <c r="G14" i="3"/>
  <c r="F15" i="3"/>
  <c r="F16" i="3"/>
  <c r="F17" i="3"/>
  <c r="F18" i="3"/>
  <c r="F19" i="3"/>
  <c r="F20" i="3"/>
  <c r="F21" i="3"/>
  <c r="F22" i="3"/>
  <c r="F23" i="3"/>
  <c r="F24" i="3"/>
  <c r="F25" i="3"/>
  <c r="F26" i="3"/>
  <c r="F14" i="3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C4" i="4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" i="3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5" i="2"/>
  <c r="L3026" i="2"/>
  <c r="L3027" i="2"/>
  <c r="L3028" i="2"/>
  <c r="L3029" i="2"/>
  <c r="L3030" i="2"/>
  <c r="L3031" i="2"/>
  <c r="L3032" i="2"/>
  <c r="L3033" i="2"/>
  <c r="L3034" i="2"/>
  <c r="L2" i="2"/>
  <c r="L3" i="2"/>
  <c r="L4" i="2"/>
  <c r="L5" i="2"/>
  <c r="L6" i="2"/>
  <c r="L7" i="2"/>
</calcChain>
</file>

<file path=xl/sharedStrings.xml><?xml version="1.0" encoding="utf-8"?>
<sst xmlns="http://schemas.openxmlformats.org/spreadsheetml/2006/main" count="72" uniqueCount="29">
  <si>
    <t>Trade Date</t>
  </si>
  <si>
    <t>Index Value</t>
  </si>
  <si>
    <t>High</t>
  </si>
  <si>
    <t>Low</t>
  </si>
  <si>
    <t>Total Market Value</t>
  </si>
  <si>
    <t>Dividend Market Value</t>
  </si>
  <si>
    <t>Tech Index Value</t>
  </si>
  <si>
    <t>Tech High</t>
  </si>
  <si>
    <t>Tech Low</t>
  </si>
  <si>
    <t>Tech Total MV</t>
  </si>
  <si>
    <t>Tech Dividend MV</t>
  </si>
  <si>
    <t>aaabonddata</t>
  </si>
  <si>
    <t>Year</t>
  </si>
  <si>
    <t>Nasdaq</t>
  </si>
  <si>
    <t>Month</t>
  </si>
  <si>
    <t>Last Day Market Open</t>
  </si>
  <si>
    <t>Nasdaq 100</t>
  </si>
  <si>
    <t>AAA Bonds</t>
  </si>
  <si>
    <t>S&amp;P 500</t>
  </si>
  <si>
    <t>Index</t>
  </si>
  <si>
    <t>Nasdaq 100, S&amp;P 500 and AAA Bond 24 Month Trend</t>
  </si>
  <si>
    <t>12 Month Rolling Average Nasdaq 100, S&amp;P 500, AAA Bonds</t>
  </si>
  <si>
    <t>Nasdaq 100 Rolling Avg</t>
  </si>
  <si>
    <t>AAA Bonds Rolling Avg</t>
  </si>
  <si>
    <t>S&amp;P 500 Rolling Avg</t>
  </si>
  <si>
    <t>12 Month % Change</t>
  </si>
  <si>
    <t>24 Month % Change</t>
  </si>
  <si>
    <t>N/A</t>
  </si>
  <si>
    <t>S&amp;P 500 &amp; Nasdaq 100 Year-End Data 2006 - 2016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</si>
</sst>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2" borderId="0" xfId="0" applyFill="1"/>
    <xf numFmtId="0" fontId="2" fillId="2" borderId="0" xfId="0" applyFont="1" applyFill="1"/>
    <xf numFmtId="14" fontId="2" fillId="2" borderId="0" xfId="0" applyNumberFormat="1" applyFont="1" applyFill="1"/>
    <xf numFmtId="0" fontId="1" fillId="0" borderId="0" xfId="0" applyFont="1"/>
    <xf numFmtId="0" fontId="3" fillId="0" borderId="0" xfId="0" applyFont="1"/>
    <xf numFmtId="1" fontId="0" fillId="0" borderId="0" xfId="0" applyNumberFormat="1"/>
    <xf numFmtId="2" fontId="0" fillId="0" borderId="0" xfId="0" applyNumberFormat="1"/>
    <xf numFmtId="164" fontId="0" fillId="0" borderId="0" xfId="0" applyNumberFormat="1"/>
    <xf numFmtId="14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2006</a:t>
            </a:r>
            <a:r>
              <a:rPr lang="en-US" baseline="0"/>
              <a:t> - 2016 Trend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'10 Year Trend'!$B$5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'10 Year Trend'!$A$6:$A$16</c:f>
              <c:numCache>
                <c:formatCode>m/d/yy</c:formatCode>
                <c:ptCount val="11"/>
                <c:pt idx="0">
                  <c:v>39082.0</c:v>
                </c:pt>
                <c:pt idx="1">
                  <c:v>39447.0</c:v>
                </c:pt>
                <c:pt idx="2">
                  <c:v>39813.0</c:v>
                </c:pt>
                <c:pt idx="3">
                  <c:v>40178.0</c:v>
                </c:pt>
                <c:pt idx="4">
                  <c:v>40543.0</c:v>
                </c:pt>
                <c:pt idx="5">
                  <c:v>40908.0</c:v>
                </c:pt>
                <c:pt idx="6">
                  <c:v>41274.0</c:v>
                </c:pt>
                <c:pt idx="7">
                  <c:v>41639.0</c:v>
                </c:pt>
                <c:pt idx="8">
                  <c:v>42004.0</c:v>
                </c:pt>
                <c:pt idx="9">
                  <c:v>42369.0</c:v>
                </c:pt>
                <c:pt idx="10">
                  <c:v>42735.0</c:v>
                </c:pt>
              </c:numCache>
            </c:numRef>
          </c:cat>
          <c:val>
            <c:numRef>
              <c:f>'10 Year Trend'!$B$6:$B$16</c:f>
              <c:numCache>
                <c:formatCode>General</c:formatCode>
                <c:ptCount val="11"/>
                <c:pt idx="0">
                  <c:v>1278.73</c:v>
                </c:pt>
                <c:pt idx="1">
                  <c:v>1424.16</c:v>
                </c:pt>
                <c:pt idx="2">
                  <c:v>1378.76</c:v>
                </c:pt>
                <c:pt idx="3">
                  <c:v>865.58</c:v>
                </c:pt>
                <c:pt idx="4">
                  <c:v>1123.58</c:v>
                </c:pt>
                <c:pt idx="5">
                  <c:v>1282.62</c:v>
                </c:pt>
                <c:pt idx="6">
                  <c:v>1300.58</c:v>
                </c:pt>
                <c:pt idx="7">
                  <c:v>1480.4</c:v>
                </c:pt>
                <c:pt idx="8">
                  <c:v>1822.36</c:v>
                </c:pt>
                <c:pt idx="9">
                  <c:v>2028.18</c:v>
                </c:pt>
                <c:pt idx="10">
                  <c:v>1918.6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'10 Year Trend'!$C$5</c:f>
              <c:strCache>
                <c:ptCount val="1"/>
                <c:pt idx="0">
                  <c:v>Nasdaq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'10 Year Trend'!$A$6:$A$16</c:f>
              <c:numCache>
                <c:formatCode>m/d/yy</c:formatCode>
                <c:ptCount val="11"/>
                <c:pt idx="0">
                  <c:v>39082.0</c:v>
                </c:pt>
                <c:pt idx="1">
                  <c:v>39447.0</c:v>
                </c:pt>
                <c:pt idx="2">
                  <c:v>39813.0</c:v>
                </c:pt>
                <c:pt idx="3">
                  <c:v>40178.0</c:v>
                </c:pt>
                <c:pt idx="4">
                  <c:v>40543.0</c:v>
                </c:pt>
                <c:pt idx="5">
                  <c:v>40908.0</c:v>
                </c:pt>
                <c:pt idx="6">
                  <c:v>41274.0</c:v>
                </c:pt>
                <c:pt idx="7">
                  <c:v>41639.0</c:v>
                </c:pt>
                <c:pt idx="8">
                  <c:v>42004.0</c:v>
                </c:pt>
                <c:pt idx="9">
                  <c:v>42369.0</c:v>
                </c:pt>
                <c:pt idx="10">
                  <c:v>42735.0</c:v>
                </c:pt>
              </c:numCache>
            </c:numRef>
          </c:cat>
          <c:val>
            <c:numRef>
              <c:f>'10 Year Trend'!$C$6:$C$16</c:f>
              <c:numCache>
                <c:formatCode>General</c:formatCode>
                <c:ptCount val="11"/>
                <c:pt idx="0">
                  <c:v>1756.9</c:v>
                </c:pt>
                <c:pt idx="1">
                  <c:v>2084.93</c:v>
                </c:pt>
                <c:pt idx="2">
                  <c:v>1211.65</c:v>
                </c:pt>
                <c:pt idx="3">
                  <c:v>1860.31</c:v>
                </c:pt>
                <c:pt idx="4">
                  <c:v>2217.86</c:v>
                </c:pt>
                <c:pt idx="5">
                  <c:v>2277.83</c:v>
                </c:pt>
                <c:pt idx="6">
                  <c:v>2660.93</c:v>
                </c:pt>
                <c:pt idx="7">
                  <c:v>3592.0</c:v>
                </c:pt>
                <c:pt idx="8">
                  <c:v>4236.28</c:v>
                </c:pt>
                <c:pt idx="9">
                  <c:v>4593.27</c:v>
                </c:pt>
                <c:pt idx="10">
                  <c:v>4863.62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9934944"/>
        <c:axId val="1629939424"/>
      </c:lineChart>
      <c:dateAx>
        <c:axId val="162993494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939424"/>
        <c:crosses val="autoZero"/>
        <c:auto val="1"/>
        <c:lblOffset val="100"/>
        <c:baseTimeUnit val="years"/>
      </c:dateAx>
      <c:valAx>
        <c:axId val="16299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93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</a:t>
            </a:r>
            <a:r>
              <a:rPr lang="en-US" baseline="0"/>
              <a:t> Month Trend Nasdaq 100, S&amp;P 500, AAA Bonds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Data'!$C$1</c:f>
              <c:strCache>
                <c:ptCount val="1"/>
                <c:pt idx="0">
                  <c:v>Nasdaq 100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Data'!$B$2:$B$26</c:f>
              <c:numCache>
                <c:formatCode>m/d/yy</c:formatCode>
                <c:ptCount val="25"/>
                <c:pt idx="0">
                  <c:v>42459.0</c:v>
                </c:pt>
                <c:pt idx="1">
                  <c:v>42489.0</c:v>
                </c:pt>
                <c:pt idx="2">
                  <c:v>42517.0</c:v>
                </c:pt>
                <c:pt idx="3">
                  <c:v>42550.0</c:v>
                </c:pt>
                <c:pt idx="4">
                  <c:v>42580.0</c:v>
                </c:pt>
                <c:pt idx="5">
                  <c:v>42612.0</c:v>
                </c:pt>
                <c:pt idx="6">
                  <c:v>42642.0</c:v>
                </c:pt>
                <c:pt idx="7">
                  <c:v>42671.0</c:v>
                </c:pt>
                <c:pt idx="8">
                  <c:v>42703.0</c:v>
                </c:pt>
                <c:pt idx="9">
                  <c:v>42734.0</c:v>
                </c:pt>
                <c:pt idx="10">
                  <c:v>42765.0</c:v>
                </c:pt>
                <c:pt idx="11">
                  <c:v>42793.0</c:v>
                </c:pt>
                <c:pt idx="12">
                  <c:v>42824.0</c:v>
                </c:pt>
                <c:pt idx="13">
                  <c:v>42853.0</c:v>
                </c:pt>
                <c:pt idx="14">
                  <c:v>42885.0</c:v>
                </c:pt>
                <c:pt idx="15">
                  <c:v>42915.0</c:v>
                </c:pt>
                <c:pt idx="16">
                  <c:v>42944.0</c:v>
                </c:pt>
                <c:pt idx="17">
                  <c:v>42977.0</c:v>
                </c:pt>
                <c:pt idx="18">
                  <c:v>43007.0</c:v>
                </c:pt>
                <c:pt idx="19">
                  <c:v>43038.0</c:v>
                </c:pt>
                <c:pt idx="20">
                  <c:v>43068.0</c:v>
                </c:pt>
                <c:pt idx="21">
                  <c:v>43098.0</c:v>
                </c:pt>
                <c:pt idx="22">
                  <c:v>43130.0</c:v>
                </c:pt>
                <c:pt idx="23">
                  <c:v>43158.0</c:v>
                </c:pt>
                <c:pt idx="24">
                  <c:v>43173.0</c:v>
                </c:pt>
              </c:numCache>
            </c:numRef>
          </c:cat>
          <c:val>
            <c:numRef>
              <c:f>'Monthly Data'!$C$2:$C$26</c:f>
              <c:numCache>
                <c:formatCode>General</c:formatCode>
                <c:ptCount val="25"/>
                <c:pt idx="0">
                  <c:v>4490.88</c:v>
                </c:pt>
                <c:pt idx="1">
                  <c:v>4341.3</c:v>
                </c:pt>
                <c:pt idx="2">
                  <c:v>4512.54</c:v>
                </c:pt>
                <c:pt idx="3">
                  <c:v>4364.74</c:v>
                </c:pt>
                <c:pt idx="4">
                  <c:v>4730.23</c:v>
                </c:pt>
                <c:pt idx="5">
                  <c:v>4775.99</c:v>
                </c:pt>
                <c:pt idx="6">
                  <c:v>4838.3</c:v>
                </c:pt>
                <c:pt idx="7">
                  <c:v>4805.59</c:v>
                </c:pt>
                <c:pt idx="8">
                  <c:v>4873.21</c:v>
                </c:pt>
                <c:pt idx="9">
                  <c:v>4863.62</c:v>
                </c:pt>
                <c:pt idx="10">
                  <c:v>5129.33</c:v>
                </c:pt>
                <c:pt idx="11">
                  <c:v>5347.55</c:v>
                </c:pt>
                <c:pt idx="12">
                  <c:v>5439.74</c:v>
                </c:pt>
                <c:pt idx="13">
                  <c:v>5583.53</c:v>
                </c:pt>
                <c:pt idx="14">
                  <c:v>5794.63</c:v>
                </c:pt>
                <c:pt idx="15">
                  <c:v>5653.02</c:v>
                </c:pt>
                <c:pt idx="16">
                  <c:v>5908.92</c:v>
                </c:pt>
                <c:pt idx="17">
                  <c:v>5932.9</c:v>
                </c:pt>
                <c:pt idx="18">
                  <c:v>5979.3</c:v>
                </c:pt>
                <c:pt idx="19">
                  <c:v>6227.59</c:v>
                </c:pt>
                <c:pt idx="20">
                  <c:v>6311.37</c:v>
                </c:pt>
                <c:pt idx="21">
                  <c:v>6396.42</c:v>
                </c:pt>
                <c:pt idx="22">
                  <c:v>6930.73</c:v>
                </c:pt>
                <c:pt idx="23">
                  <c:v>6900.35</c:v>
                </c:pt>
                <c:pt idx="24">
                  <c:v>7040.98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Data'!$D$1</c:f>
              <c:strCache>
                <c:ptCount val="1"/>
                <c:pt idx="0">
                  <c:v>AAA Bonds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Data'!$B$2:$B$26</c:f>
              <c:numCache>
                <c:formatCode>m/d/yy</c:formatCode>
                <c:ptCount val="25"/>
                <c:pt idx="0">
                  <c:v>42459.0</c:v>
                </c:pt>
                <c:pt idx="1">
                  <c:v>42489.0</c:v>
                </c:pt>
                <c:pt idx="2">
                  <c:v>42517.0</c:v>
                </c:pt>
                <c:pt idx="3">
                  <c:v>42550.0</c:v>
                </c:pt>
                <c:pt idx="4">
                  <c:v>42580.0</c:v>
                </c:pt>
                <c:pt idx="5">
                  <c:v>42612.0</c:v>
                </c:pt>
                <c:pt idx="6">
                  <c:v>42642.0</c:v>
                </c:pt>
                <c:pt idx="7">
                  <c:v>42671.0</c:v>
                </c:pt>
                <c:pt idx="8">
                  <c:v>42703.0</c:v>
                </c:pt>
                <c:pt idx="9">
                  <c:v>42734.0</c:v>
                </c:pt>
                <c:pt idx="10">
                  <c:v>42765.0</c:v>
                </c:pt>
                <c:pt idx="11">
                  <c:v>42793.0</c:v>
                </c:pt>
                <c:pt idx="12">
                  <c:v>42824.0</c:v>
                </c:pt>
                <c:pt idx="13">
                  <c:v>42853.0</c:v>
                </c:pt>
                <c:pt idx="14">
                  <c:v>42885.0</c:v>
                </c:pt>
                <c:pt idx="15">
                  <c:v>42915.0</c:v>
                </c:pt>
                <c:pt idx="16">
                  <c:v>42944.0</c:v>
                </c:pt>
                <c:pt idx="17">
                  <c:v>42977.0</c:v>
                </c:pt>
                <c:pt idx="18">
                  <c:v>43007.0</c:v>
                </c:pt>
                <c:pt idx="19">
                  <c:v>43038.0</c:v>
                </c:pt>
                <c:pt idx="20">
                  <c:v>43068.0</c:v>
                </c:pt>
                <c:pt idx="21">
                  <c:v>43098.0</c:v>
                </c:pt>
                <c:pt idx="22">
                  <c:v>43130.0</c:v>
                </c:pt>
                <c:pt idx="23">
                  <c:v>43158.0</c:v>
                </c:pt>
                <c:pt idx="24">
                  <c:v>43173.0</c:v>
                </c:pt>
              </c:numCache>
            </c:numRef>
          </c:cat>
          <c:val>
            <c:numRef>
              <c:f>'Monthly Data'!$D$2:$D$26</c:f>
              <c:numCache>
                <c:formatCode>General</c:formatCode>
                <c:ptCount val="25"/>
                <c:pt idx="0">
                  <c:v>2.44</c:v>
                </c:pt>
                <c:pt idx="1">
                  <c:v>2.41</c:v>
                </c:pt>
                <c:pt idx="2">
                  <c:v>2.55</c:v>
                </c:pt>
                <c:pt idx="3">
                  <c:v>2.34</c:v>
                </c:pt>
                <c:pt idx="4">
                  <c:v>2.27</c:v>
                </c:pt>
                <c:pt idx="5">
                  <c:v>2.32</c:v>
                </c:pt>
                <c:pt idx="6">
                  <c:v>2.43</c:v>
                </c:pt>
                <c:pt idx="7">
                  <c:v>2.63</c:v>
                </c:pt>
                <c:pt idx="8">
                  <c:v>2.96</c:v>
                </c:pt>
                <c:pt idx="9">
                  <c:v>3.04</c:v>
                </c:pt>
                <c:pt idx="10">
                  <c:v>3.1</c:v>
                </c:pt>
                <c:pt idx="11">
                  <c:v>2.98</c:v>
                </c:pt>
                <c:pt idx="12">
                  <c:v>3.08</c:v>
                </c:pt>
                <c:pt idx="13">
                  <c:v>2.98</c:v>
                </c:pt>
                <c:pt idx="14">
                  <c:v>2.9</c:v>
                </c:pt>
                <c:pt idx="15">
                  <c:v>2.89</c:v>
                </c:pt>
                <c:pt idx="16">
                  <c:v>2.86</c:v>
                </c:pt>
                <c:pt idx="17">
                  <c:v>2.8</c:v>
                </c:pt>
                <c:pt idx="18">
                  <c:v>2.87</c:v>
                </c:pt>
                <c:pt idx="19">
                  <c:v>2.87</c:v>
                </c:pt>
                <c:pt idx="20">
                  <c:v>2.94</c:v>
                </c:pt>
                <c:pt idx="21">
                  <c:v>2.93</c:v>
                </c:pt>
                <c:pt idx="22">
                  <c:v>3.18</c:v>
                </c:pt>
                <c:pt idx="23">
                  <c:v>3.38</c:v>
                </c:pt>
                <c:pt idx="24">
                  <c:v>3.39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Data'!$E$1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'Monthly Data'!$B$2:$B$26</c:f>
              <c:numCache>
                <c:formatCode>m/d/yy</c:formatCode>
                <c:ptCount val="25"/>
                <c:pt idx="0">
                  <c:v>42459.0</c:v>
                </c:pt>
                <c:pt idx="1">
                  <c:v>42489.0</c:v>
                </c:pt>
                <c:pt idx="2">
                  <c:v>42517.0</c:v>
                </c:pt>
                <c:pt idx="3">
                  <c:v>42550.0</c:v>
                </c:pt>
                <c:pt idx="4">
                  <c:v>42580.0</c:v>
                </c:pt>
                <c:pt idx="5">
                  <c:v>42612.0</c:v>
                </c:pt>
                <c:pt idx="6">
                  <c:v>42642.0</c:v>
                </c:pt>
                <c:pt idx="7">
                  <c:v>42671.0</c:v>
                </c:pt>
                <c:pt idx="8">
                  <c:v>42703.0</c:v>
                </c:pt>
                <c:pt idx="9">
                  <c:v>42734.0</c:v>
                </c:pt>
                <c:pt idx="10">
                  <c:v>42765.0</c:v>
                </c:pt>
                <c:pt idx="11">
                  <c:v>42793.0</c:v>
                </c:pt>
                <c:pt idx="12">
                  <c:v>42824.0</c:v>
                </c:pt>
                <c:pt idx="13">
                  <c:v>42853.0</c:v>
                </c:pt>
                <c:pt idx="14">
                  <c:v>42885.0</c:v>
                </c:pt>
                <c:pt idx="15">
                  <c:v>42915.0</c:v>
                </c:pt>
                <c:pt idx="16">
                  <c:v>42944.0</c:v>
                </c:pt>
                <c:pt idx="17">
                  <c:v>42977.0</c:v>
                </c:pt>
                <c:pt idx="18">
                  <c:v>43007.0</c:v>
                </c:pt>
                <c:pt idx="19">
                  <c:v>43038.0</c:v>
                </c:pt>
                <c:pt idx="20">
                  <c:v>43068.0</c:v>
                </c:pt>
                <c:pt idx="21">
                  <c:v>43098.0</c:v>
                </c:pt>
                <c:pt idx="22">
                  <c:v>43130.0</c:v>
                </c:pt>
                <c:pt idx="23">
                  <c:v>43158.0</c:v>
                </c:pt>
                <c:pt idx="24">
                  <c:v>43173.0</c:v>
                </c:pt>
              </c:numCache>
            </c:numRef>
          </c:cat>
          <c:val>
            <c:numRef>
              <c:f>'Monthly Data'!$E$2:$E$26</c:f>
              <c:numCache>
                <c:formatCode>General</c:formatCode>
                <c:ptCount val="25"/>
                <c:pt idx="0">
                  <c:v>2063.95</c:v>
                </c:pt>
                <c:pt idx="1">
                  <c:v>2065.3</c:v>
                </c:pt>
                <c:pt idx="2">
                  <c:v>2099.06</c:v>
                </c:pt>
                <c:pt idx="3">
                  <c:v>2070.77</c:v>
                </c:pt>
                <c:pt idx="4">
                  <c:v>2173.6</c:v>
                </c:pt>
                <c:pt idx="5">
                  <c:v>2176.12</c:v>
                </c:pt>
                <c:pt idx="6">
                  <c:v>2151.13</c:v>
                </c:pt>
                <c:pt idx="7">
                  <c:v>2126.41</c:v>
                </c:pt>
                <c:pt idx="8">
                  <c:v>2204.66</c:v>
                </c:pt>
                <c:pt idx="9">
                  <c:v>2238.83</c:v>
                </c:pt>
                <c:pt idx="10">
                  <c:v>2280.9</c:v>
                </c:pt>
                <c:pt idx="11">
                  <c:v>2369.75</c:v>
                </c:pt>
                <c:pt idx="12">
                  <c:v>2368.06</c:v>
                </c:pt>
                <c:pt idx="13">
                  <c:v>2384.2</c:v>
                </c:pt>
                <c:pt idx="14">
                  <c:v>2412.91</c:v>
                </c:pt>
                <c:pt idx="15">
                  <c:v>2419.7</c:v>
                </c:pt>
                <c:pt idx="16">
                  <c:v>2472.1</c:v>
                </c:pt>
                <c:pt idx="17">
                  <c:v>2457.59</c:v>
                </c:pt>
                <c:pt idx="18">
                  <c:v>2519.36</c:v>
                </c:pt>
                <c:pt idx="19">
                  <c:v>2572.83</c:v>
                </c:pt>
                <c:pt idx="20">
                  <c:v>2626.07</c:v>
                </c:pt>
                <c:pt idx="21">
                  <c:v>2673.61</c:v>
                </c:pt>
                <c:pt idx="22">
                  <c:v>2822.43</c:v>
                </c:pt>
                <c:pt idx="23">
                  <c:v>2744.28</c:v>
                </c:pt>
                <c:pt idx="24">
                  <c:v>2749.48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9895136"/>
        <c:axId val="1629899744"/>
      </c:lineChart>
      <c:dateAx>
        <c:axId val="162989513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899744"/>
        <c:crosses val="autoZero"/>
        <c:auto val="1"/>
        <c:lblOffset val="100"/>
        <c:baseTimeUnit val="days"/>
      </c:dateAx>
      <c:valAx>
        <c:axId val="162989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89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</a:t>
            </a:r>
            <a:r>
              <a:rPr lang="en-US" baseline="0"/>
              <a:t> Month Rolling Average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 Month Rolling Average'!$B$4</c:f>
              <c:strCache>
                <c:ptCount val="1"/>
                <c:pt idx="0">
                  <c:v>Nasdaq 100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 Month Rolling Average'!$C$3:$N$3</c:f>
              <c:numCache>
                <c:formatCode>m/d/yy</c:formatCode>
                <c:ptCount val="12"/>
                <c:pt idx="0">
                  <c:v>42855.0</c:v>
                </c:pt>
                <c:pt idx="1">
                  <c:v>42886.0</c:v>
                </c:pt>
                <c:pt idx="2">
                  <c:v>42916.0</c:v>
                </c:pt>
                <c:pt idx="3">
                  <c:v>42947.0</c:v>
                </c:pt>
                <c:pt idx="4">
                  <c:v>42978.0</c:v>
                </c:pt>
                <c:pt idx="5">
                  <c:v>43008.0</c:v>
                </c:pt>
                <c:pt idx="6">
                  <c:v>43039.0</c:v>
                </c:pt>
                <c:pt idx="7">
                  <c:v>43069.0</c:v>
                </c:pt>
                <c:pt idx="8">
                  <c:v>43100.0</c:v>
                </c:pt>
                <c:pt idx="9">
                  <c:v>43131.0</c:v>
                </c:pt>
                <c:pt idx="10">
                  <c:v>43159.0</c:v>
                </c:pt>
                <c:pt idx="11">
                  <c:v>43190.0</c:v>
                </c:pt>
              </c:numCache>
            </c:numRef>
          </c:cat>
          <c:val>
            <c:numRef>
              <c:f>'12 Month Rolling Average'!$C$4:$N$4</c:f>
              <c:numCache>
                <c:formatCode>0</c:formatCode>
                <c:ptCount val="12"/>
                <c:pt idx="0">
                  <c:v>4938.6975</c:v>
                </c:pt>
                <c:pt idx="1">
                  <c:v>5045.538333333333</c:v>
                </c:pt>
                <c:pt idx="2">
                  <c:v>5152.895</c:v>
                </c:pt>
                <c:pt idx="3">
                  <c:v>5251.119166666666</c:v>
                </c:pt>
                <c:pt idx="4">
                  <c:v>5347.528333333333</c:v>
                </c:pt>
                <c:pt idx="5">
                  <c:v>5442.611666666666</c:v>
                </c:pt>
                <c:pt idx="6">
                  <c:v>5561.111666666666</c:v>
                </c:pt>
                <c:pt idx="7">
                  <c:v>5680.958333333333</c:v>
                </c:pt>
                <c:pt idx="8">
                  <c:v>5808.691666666668</c:v>
                </c:pt>
                <c:pt idx="9">
                  <c:v>5958.808333333334</c:v>
                </c:pt>
                <c:pt idx="10">
                  <c:v>6088.208333333335</c:v>
                </c:pt>
                <c:pt idx="11">
                  <c:v>6221.645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'12 Month Rolling Average'!$B$5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'12 Month Rolling Average'!$C$3:$N$3</c:f>
              <c:numCache>
                <c:formatCode>m/d/yy</c:formatCode>
                <c:ptCount val="12"/>
                <c:pt idx="0">
                  <c:v>42855.0</c:v>
                </c:pt>
                <c:pt idx="1">
                  <c:v>42886.0</c:v>
                </c:pt>
                <c:pt idx="2">
                  <c:v>42916.0</c:v>
                </c:pt>
                <c:pt idx="3">
                  <c:v>42947.0</c:v>
                </c:pt>
                <c:pt idx="4">
                  <c:v>42978.0</c:v>
                </c:pt>
                <c:pt idx="5">
                  <c:v>43008.0</c:v>
                </c:pt>
                <c:pt idx="6">
                  <c:v>43039.0</c:v>
                </c:pt>
                <c:pt idx="7">
                  <c:v>43069.0</c:v>
                </c:pt>
                <c:pt idx="8">
                  <c:v>43100.0</c:v>
                </c:pt>
                <c:pt idx="9">
                  <c:v>43131.0</c:v>
                </c:pt>
                <c:pt idx="10">
                  <c:v>43159.0</c:v>
                </c:pt>
                <c:pt idx="11">
                  <c:v>43190.0</c:v>
                </c:pt>
              </c:numCache>
            </c:numRef>
          </c:cat>
          <c:val>
            <c:numRef>
              <c:f>'12 Month Rolling Average'!$C$5:$N$5</c:f>
              <c:numCache>
                <c:formatCode>0</c:formatCode>
                <c:ptCount val="12"/>
                <c:pt idx="0">
                  <c:v>2208.368461538462</c:v>
                </c:pt>
                <c:pt idx="1">
                  <c:v>2235.107692307693</c:v>
                </c:pt>
                <c:pt idx="2">
                  <c:v>2259.772307692308</c:v>
                </c:pt>
                <c:pt idx="3">
                  <c:v>2290.643846153846</c:v>
                </c:pt>
                <c:pt idx="4">
                  <c:v>2312.489230769231</c:v>
                </c:pt>
                <c:pt idx="5">
                  <c:v>2338.892307692307</c:v>
                </c:pt>
                <c:pt idx="6">
                  <c:v>2371.330769230769</c:v>
                </c:pt>
                <c:pt idx="7">
                  <c:v>2409.766153846154</c:v>
                </c:pt>
                <c:pt idx="8">
                  <c:v>2445.839230769231</c:v>
                </c:pt>
                <c:pt idx="9">
                  <c:v>2490.731538461538</c:v>
                </c:pt>
                <c:pt idx="10">
                  <c:v>2526.376153846154</c:v>
                </c:pt>
                <c:pt idx="11">
                  <c:v>2555.586153846154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'12 Month Rolling Average'!$B$6</c:f>
              <c:strCache>
                <c:ptCount val="1"/>
                <c:pt idx="0">
                  <c:v>AAA Bonds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'12 Month Rolling Average'!$C$3:$N$3</c:f>
              <c:numCache>
                <c:formatCode>m/d/yy</c:formatCode>
                <c:ptCount val="12"/>
                <c:pt idx="0">
                  <c:v>42855.0</c:v>
                </c:pt>
                <c:pt idx="1">
                  <c:v>42886.0</c:v>
                </c:pt>
                <c:pt idx="2">
                  <c:v>42916.0</c:v>
                </c:pt>
                <c:pt idx="3">
                  <c:v>42947.0</c:v>
                </c:pt>
                <c:pt idx="4">
                  <c:v>42978.0</c:v>
                </c:pt>
                <c:pt idx="5">
                  <c:v>43008.0</c:v>
                </c:pt>
                <c:pt idx="6">
                  <c:v>43039.0</c:v>
                </c:pt>
                <c:pt idx="7">
                  <c:v>43069.0</c:v>
                </c:pt>
                <c:pt idx="8">
                  <c:v>43100.0</c:v>
                </c:pt>
                <c:pt idx="9">
                  <c:v>43131.0</c:v>
                </c:pt>
                <c:pt idx="10">
                  <c:v>43159.0</c:v>
                </c:pt>
                <c:pt idx="11">
                  <c:v>43190.0</c:v>
                </c:pt>
              </c:numCache>
            </c:numRef>
          </c:cat>
          <c:val>
            <c:numRef>
              <c:f>'12 Month Rolling Average'!$C$6:$N$6</c:f>
              <c:numCache>
                <c:formatCode>0.00</c:formatCode>
                <c:ptCount val="12"/>
                <c:pt idx="0">
                  <c:v>2.723333333333333</c:v>
                </c:pt>
                <c:pt idx="1">
                  <c:v>2.7525</c:v>
                </c:pt>
                <c:pt idx="2">
                  <c:v>2.798333333333333</c:v>
                </c:pt>
                <c:pt idx="3">
                  <c:v>2.8475</c:v>
                </c:pt>
                <c:pt idx="4">
                  <c:v>2.8875</c:v>
                </c:pt>
                <c:pt idx="5">
                  <c:v>2.924166666666666</c:v>
                </c:pt>
                <c:pt idx="6">
                  <c:v>2.944166666666666</c:v>
                </c:pt>
                <c:pt idx="7">
                  <c:v>2.9425</c:v>
                </c:pt>
                <c:pt idx="8">
                  <c:v>2.933333333333334</c:v>
                </c:pt>
                <c:pt idx="9">
                  <c:v>2.940000000000001</c:v>
                </c:pt>
                <c:pt idx="10">
                  <c:v>2.973333333333334</c:v>
                </c:pt>
                <c:pt idx="11">
                  <c:v>2.999166666666667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078992"/>
        <c:axId val="1630083600"/>
      </c:lineChart>
      <c:dateAx>
        <c:axId val="16300789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83600"/>
        <c:crosses val="autoZero"/>
        <c:auto val="1"/>
        <c:lblOffset val="100"/>
        <c:baseTimeUnit val="months"/>
      </c:dateAx>
      <c:valAx>
        <c:axId val="163008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7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12</xdr:col>
      <xdr:colOff>0</xdr:colOff>
      <xdr:row>16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25400</xdr:rowOff>
    </xdr:from>
    <xdr:to>
      <xdr:col>28</xdr:col>
      <xdr:colOff>12700</xdr:colOff>
      <xdr:row>24</xdr:row>
      <xdr:rowOff>196850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8</xdr:row>
      <xdr:rowOff>6350</xdr:rowOff>
    </xdr:from>
    <xdr:to>
      <xdr:col>14</xdr:col>
      <xdr:colOff>1308100</xdr:colOff>
      <xdr:row>21</xdr:row>
      <xdr:rowOff>107950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aabonddata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aabonddata"/>
    </sheetNames>
    <sheetDataSet>
      <sheetData sheetId="0">
        <row r="1">
          <cell r="A1" t="str">
            <v>DATE</v>
          </cell>
          <cell r="B1" t="str">
            <v>BAMLC0A1CAAAEY</v>
          </cell>
        </row>
        <row r="2">
          <cell r="A2">
            <v>38715</v>
          </cell>
          <cell r="B2">
            <v>5.03</v>
          </cell>
        </row>
        <row r="3">
          <cell r="A3">
            <v>38716</v>
          </cell>
          <cell r="B3">
            <v>5.0599999999999996</v>
          </cell>
        </row>
        <row r="4">
          <cell r="A4">
            <v>38717</v>
          </cell>
          <cell r="B4">
            <v>5.05</v>
          </cell>
        </row>
        <row r="5">
          <cell r="A5">
            <v>38720</v>
          </cell>
          <cell r="B5">
            <v>5.01</v>
          </cell>
        </row>
        <row r="6">
          <cell r="A6">
            <v>38721</v>
          </cell>
          <cell r="B6">
            <v>4.99</v>
          </cell>
        </row>
        <row r="7">
          <cell r="A7">
            <v>38722</v>
          </cell>
          <cell r="B7">
            <v>4.99</v>
          </cell>
        </row>
        <row r="8">
          <cell r="A8">
            <v>38723</v>
          </cell>
          <cell r="B8">
            <v>5.0199999999999996</v>
          </cell>
        </row>
        <row r="9">
          <cell r="A9">
            <v>38726</v>
          </cell>
          <cell r="B9">
            <v>5.0199999999999996</v>
          </cell>
        </row>
        <row r="10">
          <cell r="A10">
            <v>38727</v>
          </cell>
          <cell r="B10">
            <v>5.0599999999999996</v>
          </cell>
        </row>
        <row r="11">
          <cell r="A11">
            <v>38728</v>
          </cell>
          <cell r="B11">
            <v>5.09</v>
          </cell>
        </row>
        <row r="12">
          <cell r="A12">
            <v>38729</v>
          </cell>
          <cell r="B12">
            <v>5.05</v>
          </cell>
        </row>
        <row r="13">
          <cell r="A13">
            <v>38730</v>
          </cell>
          <cell r="B13">
            <v>5</v>
          </cell>
        </row>
        <row r="14">
          <cell r="A14">
            <v>38733</v>
          </cell>
          <cell r="B14">
            <v>5</v>
          </cell>
        </row>
        <row r="15">
          <cell r="A15">
            <v>38734</v>
          </cell>
          <cell r="B15">
            <v>4.9800000000000004</v>
          </cell>
        </row>
        <row r="16">
          <cell r="A16">
            <v>38735</v>
          </cell>
          <cell r="B16">
            <v>4.99</v>
          </cell>
        </row>
        <row r="17">
          <cell r="A17">
            <v>38736</v>
          </cell>
          <cell r="B17">
            <v>5.03</v>
          </cell>
        </row>
        <row r="18">
          <cell r="A18">
            <v>38737</v>
          </cell>
          <cell r="B18">
            <v>5.01</v>
          </cell>
        </row>
        <row r="19">
          <cell r="A19">
            <v>38740</v>
          </cell>
          <cell r="B19">
            <v>5</v>
          </cell>
        </row>
        <row r="20">
          <cell r="A20">
            <v>38741</v>
          </cell>
          <cell r="B20">
            <v>5.03</v>
          </cell>
        </row>
        <row r="21">
          <cell r="A21">
            <v>38742</v>
          </cell>
          <cell r="B21">
            <v>5.0999999999999996</v>
          </cell>
        </row>
        <row r="22">
          <cell r="A22">
            <v>38743</v>
          </cell>
          <cell r="B22">
            <v>5.14</v>
          </cell>
        </row>
        <row r="23">
          <cell r="A23">
            <v>38744</v>
          </cell>
          <cell r="B23">
            <v>5.13</v>
          </cell>
        </row>
        <row r="24">
          <cell r="A24">
            <v>38747</v>
          </cell>
          <cell r="B24">
            <v>5.16</v>
          </cell>
        </row>
        <row r="25">
          <cell r="A25">
            <v>38748</v>
          </cell>
          <cell r="B25">
            <v>5.16</v>
          </cell>
        </row>
        <row r="26">
          <cell r="A26">
            <v>38749</v>
          </cell>
          <cell r="B26">
            <v>5.2</v>
          </cell>
        </row>
        <row r="27">
          <cell r="A27">
            <v>38750</v>
          </cell>
          <cell r="B27">
            <v>5.2</v>
          </cell>
        </row>
        <row r="28">
          <cell r="A28">
            <v>38751</v>
          </cell>
          <cell r="B28">
            <v>5.19</v>
          </cell>
        </row>
        <row r="29">
          <cell r="A29">
            <v>38754</v>
          </cell>
          <cell r="B29">
            <v>5.2</v>
          </cell>
        </row>
        <row r="30">
          <cell r="A30">
            <v>38755</v>
          </cell>
          <cell r="B30">
            <v>5.21</v>
          </cell>
        </row>
        <row r="31">
          <cell r="A31">
            <v>38756</v>
          </cell>
          <cell r="B31">
            <v>5.24</v>
          </cell>
        </row>
        <row r="32">
          <cell r="A32">
            <v>38757</v>
          </cell>
          <cell r="B32">
            <v>5.24</v>
          </cell>
        </row>
        <row r="33">
          <cell r="A33">
            <v>38758</v>
          </cell>
          <cell r="B33">
            <v>5.27</v>
          </cell>
        </row>
        <row r="34">
          <cell r="A34">
            <v>38761</v>
          </cell>
          <cell r="B34">
            <v>5.26</v>
          </cell>
        </row>
        <row r="35">
          <cell r="A35">
            <v>38762</v>
          </cell>
          <cell r="B35">
            <v>5.28</v>
          </cell>
        </row>
        <row r="36">
          <cell r="A36">
            <v>38763</v>
          </cell>
          <cell r="B36">
            <v>5.28</v>
          </cell>
        </row>
        <row r="37">
          <cell r="A37">
            <v>38764</v>
          </cell>
          <cell r="B37">
            <v>5.27</v>
          </cell>
        </row>
        <row r="38">
          <cell r="A38">
            <v>38765</v>
          </cell>
          <cell r="B38">
            <v>5.23</v>
          </cell>
        </row>
        <row r="39">
          <cell r="A39">
            <v>38768</v>
          </cell>
          <cell r="B39">
            <v>5.23</v>
          </cell>
        </row>
        <row r="40">
          <cell r="A40">
            <v>38769</v>
          </cell>
          <cell r="B40">
            <v>5.26</v>
          </cell>
        </row>
        <row r="41">
          <cell r="A41">
            <v>38770</v>
          </cell>
          <cell r="B41">
            <v>5.24</v>
          </cell>
        </row>
        <row r="42">
          <cell r="A42">
            <v>38771</v>
          </cell>
          <cell r="B42">
            <v>5.28</v>
          </cell>
        </row>
        <row r="43">
          <cell r="A43">
            <v>38772</v>
          </cell>
          <cell r="B43">
            <v>5.27</v>
          </cell>
        </row>
        <row r="44">
          <cell r="A44">
            <v>38775</v>
          </cell>
          <cell r="B44">
            <v>5.29</v>
          </cell>
        </row>
        <row r="45">
          <cell r="A45">
            <v>38776</v>
          </cell>
          <cell r="B45">
            <v>5.25</v>
          </cell>
        </row>
        <row r="46">
          <cell r="A46">
            <v>38777</v>
          </cell>
          <cell r="B46">
            <v>5.28</v>
          </cell>
        </row>
        <row r="47">
          <cell r="A47">
            <v>38778</v>
          </cell>
          <cell r="B47">
            <v>5.31</v>
          </cell>
        </row>
        <row r="48">
          <cell r="A48">
            <v>38779</v>
          </cell>
          <cell r="B48">
            <v>5.35</v>
          </cell>
        </row>
        <row r="49">
          <cell r="A49">
            <v>38782</v>
          </cell>
          <cell r="B49">
            <v>5.39</v>
          </cell>
        </row>
        <row r="50">
          <cell r="A50">
            <v>38783</v>
          </cell>
          <cell r="B50">
            <v>5.39</v>
          </cell>
        </row>
        <row r="51">
          <cell r="A51">
            <v>38784</v>
          </cell>
          <cell r="B51">
            <v>5.38</v>
          </cell>
        </row>
        <row r="52">
          <cell r="A52">
            <v>38785</v>
          </cell>
          <cell r="B52">
            <v>5.37</v>
          </cell>
        </row>
        <row r="53">
          <cell r="A53">
            <v>38786</v>
          </cell>
          <cell r="B53">
            <v>5.39</v>
          </cell>
        </row>
        <row r="54">
          <cell r="A54">
            <v>38789</v>
          </cell>
          <cell r="B54">
            <v>5.41</v>
          </cell>
        </row>
        <row r="55">
          <cell r="A55">
            <v>38790</v>
          </cell>
          <cell r="B55">
            <v>5.33</v>
          </cell>
        </row>
        <row r="56">
          <cell r="A56">
            <v>38791</v>
          </cell>
          <cell r="B56">
            <v>5.34</v>
          </cell>
        </row>
        <row r="57">
          <cell r="A57">
            <v>38792</v>
          </cell>
          <cell r="B57">
            <v>5.27</v>
          </cell>
        </row>
        <row r="58">
          <cell r="A58">
            <v>38793</v>
          </cell>
          <cell r="B58">
            <v>5.29</v>
          </cell>
        </row>
        <row r="59">
          <cell r="A59">
            <v>38796</v>
          </cell>
          <cell r="B59">
            <v>5.27</v>
          </cell>
        </row>
        <row r="60">
          <cell r="A60">
            <v>38797</v>
          </cell>
          <cell r="B60">
            <v>5.34</v>
          </cell>
        </row>
        <row r="61">
          <cell r="A61">
            <v>38798</v>
          </cell>
          <cell r="B61">
            <v>5.34</v>
          </cell>
        </row>
        <row r="62">
          <cell r="A62">
            <v>38799</v>
          </cell>
          <cell r="B62">
            <v>5.37</v>
          </cell>
        </row>
        <row r="63">
          <cell r="A63">
            <v>38800</v>
          </cell>
          <cell r="B63">
            <v>5.31</v>
          </cell>
        </row>
        <row r="64">
          <cell r="A64">
            <v>38803</v>
          </cell>
          <cell r="B64">
            <v>5.34</v>
          </cell>
        </row>
        <row r="65">
          <cell r="A65">
            <v>38804</v>
          </cell>
          <cell r="B65">
            <v>5.41</v>
          </cell>
        </row>
        <row r="66">
          <cell r="A66">
            <v>38805</v>
          </cell>
          <cell r="B66">
            <v>5.43</v>
          </cell>
        </row>
        <row r="67">
          <cell r="A67">
            <v>38806</v>
          </cell>
          <cell r="B67">
            <v>5.47</v>
          </cell>
        </row>
        <row r="68">
          <cell r="A68">
            <v>38807</v>
          </cell>
          <cell r="B68">
            <v>5.48</v>
          </cell>
        </row>
        <row r="69">
          <cell r="A69">
            <v>38810</v>
          </cell>
          <cell r="B69">
            <v>5.5</v>
          </cell>
        </row>
        <row r="70">
          <cell r="A70">
            <v>38811</v>
          </cell>
          <cell r="B70">
            <v>5.48</v>
          </cell>
        </row>
        <row r="71">
          <cell r="A71">
            <v>38812</v>
          </cell>
          <cell r="B71">
            <v>5.45</v>
          </cell>
        </row>
        <row r="72">
          <cell r="A72">
            <v>38813</v>
          </cell>
          <cell r="B72">
            <v>5.49</v>
          </cell>
        </row>
        <row r="73">
          <cell r="A73">
            <v>38814</v>
          </cell>
          <cell r="B73">
            <v>5.55</v>
          </cell>
        </row>
        <row r="74">
          <cell r="A74">
            <v>38817</v>
          </cell>
          <cell r="B74">
            <v>5.55</v>
          </cell>
        </row>
        <row r="75">
          <cell r="A75">
            <v>38818</v>
          </cell>
          <cell r="B75">
            <v>5.52</v>
          </cell>
        </row>
        <row r="76">
          <cell r="A76">
            <v>38819</v>
          </cell>
          <cell r="B76">
            <v>5.56</v>
          </cell>
        </row>
        <row r="77">
          <cell r="A77">
            <v>38820</v>
          </cell>
          <cell r="B77">
            <v>5.61</v>
          </cell>
        </row>
        <row r="78">
          <cell r="A78">
            <v>38824</v>
          </cell>
          <cell r="B78">
            <v>5.58</v>
          </cell>
        </row>
        <row r="79">
          <cell r="A79">
            <v>38825</v>
          </cell>
          <cell r="B79">
            <v>5.54</v>
          </cell>
        </row>
        <row r="80">
          <cell r="A80">
            <v>38826</v>
          </cell>
          <cell r="B80">
            <v>5.57</v>
          </cell>
        </row>
        <row r="81">
          <cell r="A81">
            <v>38827</v>
          </cell>
          <cell r="B81">
            <v>5.58</v>
          </cell>
        </row>
        <row r="82">
          <cell r="A82">
            <v>38828</v>
          </cell>
          <cell r="B82">
            <v>5.58</v>
          </cell>
        </row>
        <row r="83">
          <cell r="A83">
            <v>38831</v>
          </cell>
          <cell r="B83">
            <v>5.55</v>
          </cell>
        </row>
        <row r="84">
          <cell r="A84">
            <v>38832</v>
          </cell>
          <cell r="B84">
            <v>5.62</v>
          </cell>
        </row>
        <row r="85">
          <cell r="A85">
            <v>38833</v>
          </cell>
          <cell r="B85">
            <v>5.66</v>
          </cell>
        </row>
        <row r="86">
          <cell r="A86">
            <v>38834</v>
          </cell>
          <cell r="B86">
            <v>5.61</v>
          </cell>
        </row>
        <row r="87">
          <cell r="A87">
            <v>38835</v>
          </cell>
          <cell r="B87">
            <v>5.58</v>
          </cell>
        </row>
        <row r="88">
          <cell r="A88">
            <v>38837</v>
          </cell>
          <cell r="B88">
            <v>5.59</v>
          </cell>
        </row>
        <row r="89">
          <cell r="A89">
            <v>38838</v>
          </cell>
          <cell r="B89">
            <v>5.64</v>
          </cell>
        </row>
        <row r="90">
          <cell r="A90">
            <v>38839</v>
          </cell>
          <cell r="B90">
            <v>5.63</v>
          </cell>
        </row>
        <row r="91">
          <cell r="A91">
            <v>38840</v>
          </cell>
          <cell r="B91">
            <v>5.66</v>
          </cell>
        </row>
        <row r="92">
          <cell r="A92">
            <v>38841</v>
          </cell>
          <cell r="B92">
            <v>5.67</v>
          </cell>
        </row>
        <row r="93">
          <cell r="A93">
            <v>38842</v>
          </cell>
          <cell r="B93">
            <v>5.64</v>
          </cell>
        </row>
        <row r="94">
          <cell r="A94">
            <v>38845</v>
          </cell>
          <cell r="B94">
            <v>5.65</v>
          </cell>
        </row>
        <row r="95">
          <cell r="A95">
            <v>38846</v>
          </cell>
          <cell r="B95">
            <v>5.66</v>
          </cell>
        </row>
        <row r="96">
          <cell r="A96">
            <v>38847</v>
          </cell>
          <cell r="B96">
            <v>5.67</v>
          </cell>
        </row>
        <row r="97">
          <cell r="A97">
            <v>38848</v>
          </cell>
          <cell r="B97">
            <v>5.68</v>
          </cell>
        </row>
        <row r="98">
          <cell r="A98">
            <v>38849</v>
          </cell>
          <cell r="B98">
            <v>5.71</v>
          </cell>
        </row>
        <row r="99">
          <cell r="A99">
            <v>38852</v>
          </cell>
          <cell r="B99">
            <v>5.68</v>
          </cell>
        </row>
        <row r="100">
          <cell r="A100">
            <v>38853</v>
          </cell>
          <cell r="B100">
            <v>5.64</v>
          </cell>
        </row>
        <row r="101">
          <cell r="A101">
            <v>38854</v>
          </cell>
          <cell r="B101">
            <v>5.69</v>
          </cell>
        </row>
        <row r="102">
          <cell r="A102">
            <v>38855</v>
          </cell>
          <cell r="B102">
            <v>5.63</v>
          </cell>
        </row>
        <row r="103">
          <cell r="A103">
            <v>38856</v>
          </cell>
          <cell r="B103">
            <v>5.63</v>
          </cell>
        </row>
        <row r="104">
          <cell r="A104">
            <v>38859</v>
          </cell>
          <cell r="B104">
            <v>5.61</v>
          </cell>
        </row>
        <row r="105">
          <cell r="A105">
            <v>38860</v>
          </cell>
          <cell r="B105">
            <v>5.64</v>
          </cell>
        </row>
        <row r="106">
          <cell r="A106">
            <v>38861</v>
          </cell>
          <cell r="B106">
            <v>5.61</v>
          </cell>
        </row>
        <row r="107">
          <cell r="A107">
            <v>38862</v>
          </cell>
          <cell r="B107">
            <v>5.64</v>
          </cell>
        </row>
        <row r="108">
          <cell r="A108">
            <v>38863</v>
          </cell>
          <cell r="B108">
            <v>5.62</v>
          </cell>
        </row>
        <row r="109">
          <cell r="A109">
            <v>38866</v>
          </cell>
          <cell r="B109">
            <v>5.62</v>
          </cell>
        </row>
        <row r="110">
          <cell r="A110">
            <v>38867</v>
          </cell>
          <cell r="B110">
            <v>5.65</v>
          </cell>
        </row>
        <row r="111">
          <cell r="A111">
            <v>38868</v>
          </cell>
          <cell r="B111">
            <v>5.7</v>
          </cell>
        </row>
        <row r="112">
          <cell r="A112">
            <v>38869</v>
          </cell>
          <cell r="B112">
            <v>5.69</v>
          </cell>
        </row>
        <row r="113">
          <cell r="A113">
            <v>38870</v>
          </cell>
          <cell r="B113">
            <v>5.58</v>
          </cell>
        </row>
        <row r="114">
          <cell r="A114">
            <v>38873</v>
          </cell>
          <cell r="B114">
            <v>5.62</v>
          </cell>
        </row>
        <row r="115">
          <cell r="A115">
            <v>38874</v>
          </cell>
          <cell r="B115">
            <v>5.61</v>
          </cell>
        </row>
        <row r="116">
          <cell r="A116">
            <v>38875</v>
          </cell>
          <cell r="B116">
            <v>5.64</v>
          </cell>
        </row>
        <row r="117">
          <cell r="A117">
            <v>38876</v>
          </cell>
          <cell r="B117">
            <v>5.62</v>
          </cell>
        </row>
        <row r="118">
          <cell r="A118">
            <v>38877</v>
          </cell>
          <cell r="B118">
            <v>5.62</v>
          </cell>
        </row>
        <row r="119">
          <cell r="A119">
            <v>38880</v>
          </cell>
          <cell r="B119">
            <v>5.63</v>
          </cell>
        </row>
        <row r="120">
          <cell r="A120">
            <v>38881</v>
          </cell>
          <cell r="B120">
            <v>5.61</v>
          </cell>
        </row>
        <row r="121">
          <cell r="A121">
            <v>38882</v>
          </cell>
          <cell r="B121">
            <v>5.7</v>
          </cell>
        </row>
        <row r="122">
          <cell r="A122">
            <v>38883</v>
          </cell>
          <cell r="B122">
            <v>5.74</v>
          </cell>
        </row>
        <row r="123">
          <cell r="A123">
            <v>38884</v>
          </cell>
          <cell r="B123">
            <v>5.76</v>
          </cell>
        </row>
        <row r="124">
          <cell r="A124">
            <v>38887</v>
          </cell>
          <cell r="B124">
            <v>5.79</v>
          </cell>
        </row>
        <row r="125">
          <cell r="A125">
            <v>38888</v>
          </cell>
          <cell r="B125">
            <v>5.8</v>
          </cell>
        </row>
        <row r="126">
          <cell r="A126">
            <v>38889</v>
          </cell>
          <cell r="B126">
            <v>5.8</v>
          </cell>
        </row>
        <row r="127">
          <cell r="A127">
            <v>38890</v>
          </cell>
          <cell r="B127">
            <v>5.84</v>
          </cell>
        </row>
        <row r="128">
          <cell r="A128">
            <v>38891</v>
          </cell>
          <cell r="B128">
            <v>5.86</v>
          </cell>
        </row>
        <row r="129">
          <cell r="A129">
            <v>38894</v>
          </cell>
          <cell r="B129">
            <v>5.88</v>
          </cell>
        </row>
        <row r="130">
          <cell r="A130">
            <v>38895</v>
          </cell>
          <cell r="B130">
            <v>5.85</v>
          </cell>
        </row>
        <row r="131">
          <cell r="A131">
            <v>38896</v>
          </cell>
          <cell r="B131">
            <v>5.89</v>
          </cell>
        </row>
        <row r="132">
          <cell r="A132">
            <v>38897</v>
          </cell>
          <cell r="B132">
            <v>5.83</v>
          </cell>
        </row>
        <row r="133">
          <cell r="A133">
            <v>38898</v>
          </cell>
          <cell r="B133">
            <v>5.78</v>
          </cell>
        </row>
        <row r="134">
          <cell r="A134">
            <v>38901</v>
          </cell>
          <cell r="B134">
            <v>5.79</v>
          </cell>
        </row>
        <row r="135">
          <cell r="A135">
            <v>38902</v>
          </cell>
          <cell r="B135">
            <v>5.79</v>
          </cell>
        </row>
        <row r="136">
          <cell r="A136">
            <v>38903</v>
          </cell>
          <cell r="B136">
            <v>5.86</v>
          </cell>
        </row>
        <row r="137">
          <cell r="A137">
            <v>38904</v>
          </cell>
          <cell r="B137">
            <v>5.82</v>
          </cell>
        </row>
        <row r="138">
          <cell r="A138">
            <v>38905</v>
          </cell>
          <cell r="B138">
            <v>5.78</v>
          </cell>
        </row>
        <row r="139">
          <cell r="A139">
            <v>38908</v>
          </cell>
          <cell r="B139">
            <v>5.77</v>
          </cell>
        </row>
        <row r="140">
          <cell r="A140">
            <v>38909</v>
          </cell>
          <cell r="B140">
            <v>5.75</v>
          </cell>
        </row>
        <row r="141">
          <cell r="A141">
            <v>38910</v>
          </cell>
          <cell r="B141">
            <v>5.75</v>
          </cell>
        </row>
        <row r="142">
          <cell r="A142">
            <v>38911</v>
          </cell>
          <cell r="B142">
            <v>5.72</v>
          </cell>
        </row>
        <row r="143">
          <cell r="A143">
            <v>38912</v>
          </cell>
          <cell r="B143">
            <v>5.7</v>
          </cell>
        </row>
        <row r="144">
          <cell r="A144">
            <v>38915</v>
          </cell>
          <cell r="B144">
            <v>5.71</v>
          </cell>
        </row>
        <row r="145">
          <cell r="A145">
            <v>38916</v>
          </cell>
          <cell r="B145">
            <v>5.77</v>
          </cell>
        </row>
        <row r="146">
          <cell r="A146">
            <v>38917</v>
          </cell>
          <cell r="B146">
            <v>5.7</v>
          </cell>
        </row>
        <row r="147">
          <cell r="A147">
            <v>38918</v>
          </cell>
          <cell r="B147">
            <v>5.67</v>
          </cell>
        </row>
        <row r="148">
          <cell r="A148">
            <v>38919</v>
          </cell>
          <cell r="B148">
            <v>5.68</v>
          </cell>
        </row>
        <row r="149">
          <cell r="A149">
            <v>38922</v>
          </cell>
          <cell r="B149">
            <v>5.68</v>
          </cell>
        </row>
        <row r="150">
          <cell r="A150">
            <v>38923</v>
          </cell>
          <cell r="B150">
            <v>5.71</v>
          </cell>
        </row>
        <row r="151">
          <cell r="A151">
            <v>38924</v>
          </cell>
          <cell r="B151">
            <v>5.67</v>
          </cell>
        </row>
        <row r="152">
          <cell r="A152">
            <v>38925</v>
          </cell>
          <cell r="B152">
            <v>5.67</v>
          </cell>
        </row>
        <row r="153">
          <cell r="A153">
            <v>38926</v>
          </cell>
          <cell r="B153">
            <v>5.62</v>
          </cell>
        </row>
        <row r="154">
          <cell r="A154">
            <v>38929</v>
          </cell>
          <cell r="B154">
            <v>5.61</v>
          </cell>
        </row>
        <row r="155">
          <cell r="A155">
            <v>38930</v>
          </cell>
          <cell r="B155">
            <v>5.6</v>
          </cell>
        </row>
        <row r="156">
          <cell r="A156">
            <v>38931</v>
          </cell>
          <cell r="B156">
            <v>5.59</v>
          </cell>
        </row>
        <row r="157">
          <cell r="A157">
            <v>38932</v>
          </cell>
          <cell r="B157">
            <v>5.59</v>
          </cell>
        </row>
        <row r="158">
          <cell r="A158">
            <v>38933</v>
          </cell>
          <cell r="B158">
            <v>5.54</v>
          </cell>
        </row>
        <row r="159">
          <cell r="A159">
            <v>38936</v>
          </cell>
          <cell r="B159">
            <v>5.56</v>
          </cell>
        </row>
        <row r="160">
          <cell r="A160">
            <v>38937</v>
          </cell>
          <cell r="B160">
            <v>5.55</v>
          </cell>
        </row>
        <row r="161">
          <cell r="A161">
            <v>38938</v>
          </cell>
          <cell r="B161">
            <v>5.55</v>
          </cell>
        </row>
        <row r="162">
          <cell r="A162">
            <v>38939</v>
          </cell>
          <cell r="B162">
            <v>5.56</v>
          </cell>
        </row>
        <row r="163">
          <cell r="A163">
            <v>38940</v>
          </cell>
          <cell r="B163">
            <v>5.61</v>
          </cell>
        </row>
        <row r="164">
          <cell r="A164">
            <v>38943</v>
          </cell>
          <cell r="B164">
            <v>5.64</v>
          </cell>
        </row>
        <row r="165">
          <cell r="A165">
            <v>38944</v>
          </cell>
          <cell r="B165">
            <v>5.57</v>
          </cell>
        </row>
        <row r="166">
          <cell r="A166">
            <v>38945</v>
          </cell>
          <cell r="B166">
            <v>5.51</v>
          </cell>
        </row>
        <row r="167">
          <cell r="A167">
            <v>38946</v>
          </cell>
          <cell r="B167">
            <v>5.51</v>
          </cell>
        </row>
        <row r="168">
          <cell r="A168">
            <v>38947</v>
          </cell>
          <cell r="B168">
            <v>5.48</v>
          </cell>
        </row>
        <row r="169">
          <cell r="A169">
            <v>38950</v>
          </cell>
          <cell r="B169">
            <v>5.46</v>
          </cell>
        </row>
        <row r="170">
          <cell r="A170">
            <v>38951</v>
          </cell>
          <cell r="B170">
            <v>5.46</v>
          </cell>
        </row>
        <row r="171">
          <cell r="A171">
            <v>38952</v>
          </cell>
          <cell r="B171">
            <v>5.47</v>
          </cell>
        </row>
        <row r="172">
          <cell r="A172">
            <v>38953</v>
          </cell>
          <cell r="B172">
            <v>5.47</v>
          </cell>
        </row>
        <row r="173">
          <cell r="A173">
            <v>38954</v>
          </cell>
          <cell r="B173">
            <v>5.45</v>
          </cell>
        </row>
        <row r="174">
          <cell r="A174">
            <v>38957</v>
          </cell>
          <cell r="B174">
            <v>5.46</v>
          </cell>
        </row>
        <row r="175">
          <cell r="A175">
            <v>38958</v>
          </cell>
          <cell r="B175">
            <v>5.45</v>
          </cell>
        </row>
        <row r="176">
          <cell r="A176">
            <v>38959</v>
          </cell>
          <cell r="B176">
            <v>5.42</v>
          </cell>
        </row>
        <row r="177">
          <cell r="A177">
            <v>38960</v>
          </cell>
          <cell r="B177">
            <v>5.39</v>
          </cell>
        </row>
        <row r="178">
          <cell r="A178">
            <v>38961</v>
          </cell>
          <cell r="B178">
            <v>5.37</v>
          </cell>
        </row>
        <row r="179">
          <cell r="A179">
            <v>38964</v>
          </cell>
          <cell r="B179">
            <v>5.38</v>
          </cell>
        </row>
        <row r="180">
          <cell r="A180">
            <v>38965</v>
          </cell>
          <cell r="B180">
            <v>5.42</v>
          </cell>
        </row>
        <row r="181">
          <cell r="A181">
            <v>38966</v>
          </cell>
          <cell r="B181">
            <v>5.44</v>
          </cell>
        </row>
        <row r="182">
          <cell r="A182">
            <v>38967</v>
          </cell>
          <cell r="B182">
            <v>5.43</v>
          </cell>
        </row>
        <row r="183">
          <cell r="A183">
            <v>38968</v>
          </cell>
          <cell r="B183">
            <v>5.4</v>
          </cell>
        </row>
        <row r="184">
          <cell r="A184">
            <v>38971</v>
          </cell>
          <cell r="B184">
            <v>5.44</v>
          </cell>
        </row>
        <row r="185">
          <cell r="A185">
            <v>38972</v>
          </cell>
          <cell r="B185">
            <v>5.41</v>
          </cell>
        </row>
        <row r="186">
          <cell r="A186">
            <v>38973</v>
          </cell>
          <cell r="B186">
            <v>5.4</v>
          </cell>
        </row>
        <row r="187">
          <cell r="A187">
            <v>38974</v>
          </cell>
          <cell r="B187">
            <v>5.43</v>
          </cell>
        </row>
        <row r="188">
          <cell r="A188">
            <v>38975</v>
          </cell>
          <cell r="B188">
            <v>5.44</v>
          </cell>
        </row>
        <row r="189">
          <cell r="A189">
            <v>38978</v>
          </cell>
          <cell r="B189">
            <v>5.46</v>
          </cell>
        </row>
        <row r="190">
          <cell r="A190">
            <v>38979</v>
          </cell>
          <cell r="B190">
            <v>5.39</v>
          </cell>
        </row>
        <row r="191">
          <cell r="A191">
            <v>38980</v>
          </cell>
          <cell r="B191">
            <v>5.38</v>
          </cell>
        </row>
        <row r="192">
          <cell r="A192">
            <v>38981</v>
          </cell>
          <cell r="B192">
            <v>5.3</v>
          </cell>
        </row>
        <row r="193">
          <cell r="A193">
            <v>38982</v>
          </cell>
          <cell r="B193">
            <v>5.26</v>
          </cell>
        </row>
        <row r="194">
          <cell r="A194">
            <v>38985</v>
          </cell>
          <cell r="B194">
            <v>5.22</v>
          </cell>
        </row>
        <row r="195">
          <cell r="A195">
            <v>38986</v>
          </cell>
          <cell r="B195">
            <v>5.25</v>
          </cell>
        </row>
        <row r="196">
          <cell r="A196">
            <v>38987</v>
          </cell>
          <cell r="B196">
            <v>5.25</v>
          </cell>
        </row>
        <row r="197">
          <cell r="A197">
            <v>38988</v>
          </cell>
          <cell r="B197">
            <v>5.28</v>
          </cell>
        </row>
        <row r="198">
          <cell r="A198">
            <v>38989</v>
          </cell>
          <cell r="B198">
            <v>5.29</v>
          </cell>
        </row>
        <row r="199">
          <cell r="A199">
            <v>38990</v>
          </cell>
          <cell r="B199">
            <v>5.28</v>
          </cell>
        </row>
        <row r="200">
          <cell r="A200">
            <v>38992</v>
          </cell>
          <cell r="B200">
            <v>5.26</v>
          </cell>
        </row>
        <row r="201">
          <cell r="A201">
            <v>38993</v>
          </cell>
          <cell r="B201">
            <v>5.26</v>
          </cell>
        </row>
        <row r="202">
          <cell r="A202">
            <v>38994</v>
          </cell>
          <cell r="B202">
            <v>5.2</v>
          </cell>
        </row>
        <row r="203">
          <cell r="A203">
            <v>38995</v>
          </cell>
          <cell r="B203">
            <v>5.25</v>
          </cell>
        </row>
        <row r="204">
          <cell r="A204">
            <v>38996</v>
          </cell>
          <cell r="B204">
            <v>5.34</v>
          </cell>
        </row>
        <row r="205">
          <cell r="A205">
            <v>38999</v>
          </cell>
          <cell r="B205">
            <v>5.34</v>
          </cell>
        </row>
        <row r="206">
          <cell r="A206">
            <v>39000</v>
          </cell>
          <cell r="B206">
            <v>5.39</v>
          </cell>
        </row>
        <row r="207">
          <cell r="A207">
            <v>39001</v>
          </cell>
          <cell r="B207">
            <v>5.43</v>
          </cell>
        </row>
        <row r="208">
          <cell r="A208">
            <v>39002</v>
          </cell>
          <cell r="B208">
            <v>5.42</v>
          </cell>
        </row>
        <row r="209">
          <cell r="A209">
            <v>39003</v>
          </cell>
          <cell r="B209">
            <v>5.45</v>
          </cell>
        </row>
        <row r="210">
          <cell r="A210">
            <v>39006</v>
          </cell>
          <cell r="B210">
            <v>5.43</v>
          </cell>
        </row>
        <row r="211">
          <cell r="A211">
            <v>39007</v>
          </cell>
          <cell r="B211">
            <v>5.42</v>
          </cell>
        </row>
        <row r="212">
          <cell r="A212">
            <v>39008</v>
          </cell>
          <cell r="B212">
            <v>5.41</v>
          </cell>
        </row>
        <row r="213">
          <cell r="A213">
            <v>39009</v>
          </cell>
          <cell r="B213">
            <v>5.43</v>
          </cell>
        </row>
        <row r="214">
          <cell r="A214">
            <v>39010</v>
          </cell>
          <cell r="B214">
            <v>5.43</v>
          </cell>
        </row>
        <row r="215">
          <cell r="A215">
            <v>39013</v>
          </cell>
          <cell r="B215">
            <v>5.47</v>
          </cell>
        </row>
        <row r="216">
          <cell r="A216">
            <v>39014</v>
          </cell>
          <cell r="B216">
            <v>5.48</v>
          </cell>
        </row>
        <row r="217">
          <cell r="A217">
            <v>39015</v>
          </cell>
          <cell r="B217">
            <v>5.43</v>
          </cell>
        </row>
        <row r="218">
          <cell r="A218">
            <v>39016</v>
          </cell>
          <cell r="B218">
            <v>5.37</v>
          </cell>
        </row>
        <row r="219">
          <cell r="A219">
            <v>39017</v>
          </cell>
          <cell r="B219">
            <v>5.33</v>
          </cell>
        </row>
        <row r="220">
          <cell r="A220">
            <v>39020</v>
          </cell>
          <cell r="B220">
            <v>5.33</v>
          </cell>
        </row>
        <row r="221">
          <cell r="A221">
            <v>39021</v>
          </cell>
          <cell r="B221">
            <v>5.26</v>
          </cell>
        </row>
        <row r="222">
          <cell r="A222">
            <v>39022</v>
          </cell>
          <cell r="B222">
            <v>5.21</v>
          </cell>
        </row>
        <row r="223">
          <cell r="A223">
            <v>39023</v>
          </cell>
          <cell r="B223">
            <v>5.24</v>
          </cell>
        </row>
        <row r="224">
          <cell r="A224">
            <v>39024</v>
          </cell>
          <cell r="B224">
            <v>5.36</v>
          </cell>
        </row>
        <row r="225">
          <cell r="A225">
            <v>39027</v>
          </cell>
          <cell r="B225">
            <v>5.36</v>
          </cell>
        </row>
        <row r="226">
          <cell r="A226">
            <v>39028</v>
          </cell>
          <cell r="B226">
            <v>5.31</v>
          </cell>
        </row>
        <row r="227">
          <cell r="A227">
            <v>39029</v>
          </cell>
          <cell r="B227">
            <v>5.28</v>
          </cell>
        </row>
        <row r="228">
          <cell r="A228">
            <v>39030</v>
          </cell>
          <cell r="B228">
            <v>5.28</v>
          </cell>
        </row>
        <row r="229">
          <cell r="A229">
            <v>39031</v>
          </cell>
          <cell r="B229">
            <v>5.25</v>
          </cell>
        </row>
        <row r="230">
          <cell r="A230">
            <v>39034</v>
          </cell>
          <cell r="B230">
            <v>5.27</v>
          </cell>
        </row>
        <row r="231">
          <cell r="A231">
            <v>39035</v>
          </cell>
          <cell r="B231">
            <v>5.24</v>
          </cell>
        </row>
        <row r="232">
          <cell r="A232">
            <v>39036</v>
          </cell>
          <cell r="B232">
            <v>5.29</v>
          </cell>
        </row>
        <row r="233">
          <cell r="A233">
            <v>39037</v>
          </cell>
          <cell r="B233">
            <v>5.33</v>
          </cell>
        </row>
        <row r="234">
          <cell r="A234">
            <v>39038</v>
          </cell>
          <cell r="B234">
            <v>5.27</v>
          </cell>
        </row>
        <row r="235">
          <cell r="A235">
            <v>39041</v>
          </cell>
          <cell r="B235">
            <v>5.26</v>
          </cell>
        </row>
        <row r="236">
          <cell r="A236">
            <v>39042</v>
          </cell>
          <cell r="B236">
            <v>5.25</v>
          </cell>
        </row>
        <row r="237">
          <cell r="A237">
            <v>39043</v>
          </cell>
          <cell r="B237">
            <v>5.24</v>
          </cell>
        </row>
        <row r="238">
          <cell r="A238">
            <v>39044</v>
          </cell>
          <cell r="B238">
            <v>5.24</v>
          </cell>
        </row>
        <row r="239">
          <cell r="A239">
            <v>39045</v>
          </cell>
          <cell r="B239">
            <v>5.22</v>
          </cell>
        </row>
        <row r="240">
          <cell r="A240">
            <v>39048</v>
          </cell>
          <cell r="B240">
            <v>5.21</v>
          </cell>
        </row>
        <row r="241">
          <cell r="A241">
            <v>39049</v>
          </cell>
          <cell r="B241">
            <v>5.18</v>
          </cell>
        </row>
        <row r="242">
          <cell r="A242">
            <v>39050</v>
          </cell>
          <cell r="B242">
            <v>5.19</v>
          </cell>
        </row>
        <row r="243">
          <cell r="A243">
            <v>39051</v>
          </cell>
          <cell r="B243">
            <v>5.12</v>
          </cell>
        </row>
        <row r="244">
          <cell r="A244">
            <v>39052</v>
          </cell>
          <cell r="B244">
            <v>5.07</v>
          </cell>
        </row>
        <row r="245">
          <cell r="A245">
            <v>39055</v>
          </cell>
          <cell r="B245">
            <v>5.0599999999999996</v>
          </cell>
        </row>
        <row r="246">
          <cell r="A246">
            <v>39056</v>
          </cell>
          <cell r="B246">
            <v>5.0599999999999996</v>
          </cell>
        </row>
        <row r="247">
          <cell r="A247">
            <v>39057</v>
          </cell>
          <cell r="B247">
            <v>5.1100000000000003</v>
          </cell>
        </row>
        <row r="248">
          <cell r="A248">
            <v>39058</v>
          </cell>
          <cell r="B248">
            <v>5.1100000000000003</v>
          </cell>
        </row>
        <row r="249">
          <cell r="A249">
            <v>39059</v>
          </cell>
          <cell r="B249">
            <v>5.18</v>
          </cell>
        </row>
        <row r="250">
          <cell r="A250">
            <v>39062</v>
          </cell>
          <cell r="B250">
            <v>5.16</v>
          </cell>
        </row>
        <row r="251">
          <cell r="A251">
            <v>39063</v>
          </cell>
          <cell r="B251">
            <v>5.13</v>
          </cell>
        </row>
        <row r="252">
          <cell r="A252">
            <v>39064</v>
          </cell>
          <cell r="B252">
            <v>5.21</v>
          </cell>
        </row>
        <row r="253">
          <cell r="A253">
            <v>39065</v>
          </cell>
          <cell r="B253">
            <v>5.24</v>
          </cell>
        </row>
        <row r="254">
          <cell r="A254">
            <v>39066</v>
          </cell>
          <cell r="B254">
            <v>5.24</v>
          </cell>
        </row>
        <row r="255">
          <cell r="A255">
            <v>39069</v>
          </cell>
          <cell r="B255">
            <v>5.23</v>
          </cell>
        </row>
        <row r="256">
          <cell r="A256">
            <v>39070</v>
          </cell>
          <cell r="B256">
            <v>5.24</v>
          </cell>
        </row>
        <row r="257">
          <cell r="A257">
            <v>39071</v>
          </cell>
          <cell r="B257">
            <v>5.23</v>
          </cell>
        </row>
        <row r="258">
          <cell r="A258">
            <v>39072</v>
          </cell>
          <cell r="B258">
            <v>5.18</v>
          </cell>
        </row>
        <row r="259">
          <cell r="A259">
            <v>39073</v>
          </cell>
          <cell r="B259">
            <v>5.25</v>
          </cell>
        </row>
        <row r="260">
          <cell r="A260">
            <v>39077</v>
          </cell>
          <cell r="B260">
            <v>5.24</v>
          </cell>
        </row>
        <row r="261">
          <cell r="A261">
            <v>39078</v>
          </cell>
          <cell r="B261">
            <v>5.29</v>
          </cell>
        </row>
        <row r="262">
          <cell r="A262">
            <v>39079</v>
          </cell>
          <cell r="B262">
            <v>5.32</v>
          </cell>
        </row>
        <row r="263">
          <cell r="A263">
            <v>39080</v>
          </cell>
          <cell r="B263">
            <v>5.33</v>
          </cell>
        </row>
        <row r="264">
          <cell r="A264">
            <v>39082</v>
          </cell>
          <cell r="B264">
            <v>5.34</v>
          </cell>
        </row>
        <row r="265">
          <cell r="A265">
            <v>39084</v>
          </cell>
          <cell r="B265">
            <v>5.32</v>
          </cell>
        </row>
        <row r="266">
          <cell r="A266">
            <v>39085</v>
          </cell>
          <cell r="B266">
            <v>5.29</v>
          </cell>
        </row>
        <row r="267">
          <cell r="A267">
            <v>39086</v>
          </cell>
          <cell r="B267">
            <v>5.24</v>
          </cell>
        </row>
        <row r="268">
          <cell r="A268">
            <v>39087</v>
          </cell>
          <cell r="B268">
            <v>5.27</v>
          </cell>
        </row>
        <row r="269">
          <cell r="A269">
            <v>39090</v>
          </cell>
          <cell r="B269">
            <v>5.28</v>
          </cell>
        </row>
        <row r="270">
          <cell r="A270">
            <v>39091</v>
          </cell>
          <cell r="B270">
            <v>5.28</v>
          </cell>
        </row>
        <row r="271">
          <cell r="A271">
            <v>39092</v>
          </cell>
          <cell r="B271">
            <v>5.3</v>
          </cell>
        </row>
        <row r="272">
          <cell r="A272">
            <v>39093</v>
          </cell>
          <cell r="B272">
            <v>5.35</v>
          </cell>
        </row>
        <row r="273">
          <cell r="A273">
            <v>39094</v>
          </cell>
          <cell r="B273">
            <v>5.38</v>
          </cell>
        </row>
        <row r="274">
          <cell r="A274">
            <v>39097</v>
          </cell>
          <cell r="B274">
            <v>5.38</v>
          </cell>
        </row>
        <row r="275">
          <cell r="A275">
            <v>39098</v>
          </cell>
          <cell r="B275">
            <v>5.37</v>
          </cell>
        </row>
        <row r="276">
          <cell r="A276">
            <v>39099</v>
          </cell>
          <cell r="B276">
            <v>5.4</v>
          </cell>
        </row>
        <row r="277">
          <cell r="A277">
            <v>39100</v>
          </cell>
          <cell r="B277">
            <v>5.38</v>
          </cell>
        </row>
        <row r="278">
          <cell r="A278">
            <v>39101</v>
          </cell>
          <cell r="B278">
            <v>5.4</v>
          </cell>
        </row>
        <row r="279">
          <cell r="A279">
            <v>39104</v>
          </cell>
          <cell r="B279">
            <v>5.39</v>
          </cell>
        </row>
        <row r="280">
          <cell r="A280">
            <v>39105</v>
          </cell>
          <cell r="B280">
            <v>5.42</v>
          </cell>
        </row>
        <row r="281">
          <cell r="A281">
            <v>39106</v>
          </cell>
          <cell r="B281">
            <v>5.43</v>
          </cell>
        </row>
        <row r="282">
          <cell r="A282">
            <v>39107</v>
          </cell>
          <cell r="B282">
            <v>5.47</v>
          </cell>
        </row>
        <row r="283">
          <cell r="A283">
            <v>39108</v>
          </cell>
          <cell r="B283">
            <v>5.49</v>
          </cell>
        </row>
        <row r="284">
          <cell r="A284">
            <v>39111</v>
          </cell>
          <cell r="B284">
            <v>5.49</v>
          </cell>
        </row>
        <row r="285">
          <cell r="A285">
            <v>39112</v>
          </cell>
          <cell r="B285">
            <v>5.48</v>
          </cell>
        </row>
        <row r="286">
          <cell r="A286">
            <v>39113</v>
          </cell>
          <cell r="B286">
            <v>5.44</v>
          </cell>
        </row>
        <row r="287">
          <cell r="A287">
            <v>39114</v>
          </cell>
          <cell r="B287">
            <v>5.45</v>
          </cell>
        </row>
        <row r="288">
          <cell r="A288">
            <v>39115</v>
          </cell>
          <cell r="B288">
            <v>5.44</v>
          </cell>
        </row>
        <row r="289">
          <cell r="A289">
            <v>39118</v>
          </cell>
          <cell r="B289">
            <v>5.42</v>
          </cell>
        </row>
        <row r="290">
          <cell r="A290">
            <v>39119</v>
          </cell>
          <cell r="B290">
            <v>5.38</v>
          </cell>
        </row>
        <row r="291">
          <cell r="A291">
            <v>39120</v>
          </cell>
          <cell r="B291">
            <v>5.36</v>
          </cell>
        </row>
        <row r="292">
          <cell r="A292">
            <v>39121</v>
          </cell>
          <cell r="B292">
            <v>5.35</v>
          </cell>
        </row>
        <row r="293">
          <cell r="A293">
            <v>39122</v>
          </cell>
          <cell r="B293">
            <v>5.4</v>
          </cell>
        </row>
        <row r="294">
          <cell r="A294">
            <v>39125</v>
          </cell>
          <cell r="B294">
            <v>5.42</v>
          </cell>
        </row>
        <row r="295">
          <cell r="A295">
            <v>39126</v>
          </cell>
          <cell r="B295">
            <v>5.43</v>
          </cell>
        </row>
        <row r="296">
          <cell r="A296">
            <v>39127</v>
          </cell>
          <cell r="B296">
            <v>5.35</v>
          </cell>
        </row>
        <row r="297">
          <cell r="A297">
            <v>39128</v>
          </cell>
          <cell r="B297">
            <v>5.32</v>
          </cell>
        </row>
        <row r="298">
          <cell r="A298">
            <v>39129</v>
          </cell>
          <cell r="B298">
            <v>5.31</v>
          </cell>
        </row>
        <row r="299">
          <cell r="A299">
            <v>39132</v>
          </cell>
          <cell r="B299">
            <v>5.3</v>
          </cell>
        </row>
        <row r="300">
          <cell r="A300">
            <v>39133</v>
          </cell>
          <cell r="B300">
            <v>5.3</v>
          </cell>
        </row>
        <row r="301">
          <cell r="A301">
            <v>39134</v>
          </cell>
          <cell r="B301">
            <v>5.31</v>
          </cell>
        </row>
        <row r="302">
          <cell r="A302">
            <v>39135</v>
          </cell>
          <cell r="B302">
            <v>5.35</v>
          </cell>
        </row>
        <row r="303">
          <cell r="A303">
            <v>39136</v>
          </cell>
          <cell r="B303">
            <v>5.3</v>
          </cell>
        </row>
        <row r="304">
          <cell r="A304">
            <v>39139</v>
          </cell>
          <cell r="B304">
            <v>5.2</v>
          </cell>
        </row>
        <row r="305">
          <cell r="A305">
            <v>39140</v>
          </cell>
          <cell r="B305">
            <v>5.09</v>
          </cell>
        </row>
        <row r="306">
          <cell r="A306">
            <v>39141</v>
          </cell>
          <cell r="B306">
            <v>5.18</v>
          </cell>
        </row>
        <row r="307">
          <cell r="A307">
            <v>39142</v>
          </cell>
          <cell r="B307">
            <v>5.18</v>
          </cell>
        </row>
        <row r="308">
          <cell r="A308">
            <v>39143</v>
          </cell>
          <cell r="B308">
            <v>5.14</v>
          </cell>
        </row>
        <row r="309">
          <cell r="A309">
            <v>39146</v>
          </cell>
          <cell r="B309">
            <v>5.15</v>
          </cell>
        </row>
        <row r="310">
          <cell r="A310">
            <v>39147</v>
          </cell>
          <cell r="B310">
            <v>5.17</v>
          </cell>
        </row>
        <row r="311">
          <cell r="A311">
            <v>39148</v>
          </cell>
          <cell r="B311">
            <v>5.14</v>
          </cell>
        </row>
        <row r="312">
          <cell r="A312">
            <v>39149</v>
          </cell>
          <cell r="B312">
            <v>5.15</v>
          </cell>
        </row>
        <row r="313">
          <cell r="A313">
            <v>39150</v>
          </cell>
          <cell r="B313">
            <v>5.23</v>
          </cell>
        </row>
        <row r="314">
          <cell r="A314">
            <v>39153</v>
          </cell>
          <cell r="B314">
            <v>5.2</v>
          </cell>
        </row>
        <row r="315">
          <cell r="A315">
            <v>39154</v>
          </cell>
          <cell r="B315">
            <v>5.14</v>
          </cell>
        </row>
        <row r="316">
          <cell r="A316">
            <v>39155</v>
          </cell>
          <cell r="B316">
            <v>5.15</v>
          </cell>
        </row>
        <row r="317">
          <cell r="A317">
            <v>39156</v>
          </cell>
          <cell r="B317">
            <v>5.18</v>
          </cell>
        </row>
        <row r="318">
          <cell r="A318">
            <v>39157</v>
          </cell>
          <cell r="B318">
            <v>5.19</v>
          </cell>
        </row>
        <row r="319">
          <cell r="A319">
            <v>39160</v>
          </cell>
          <cell r="B319">
            <v>5.22</v>
          </cell>
        </row>
        <row r="320">
          <cell r="A320">
            <v>39161</v>
          </cell>
          <cell r="B320">
            <v>5.2</v>
          </cell>
        </row>
        <row r="321">
          <cell r="A321">
            <v>39162</v>
          </cell>
          <cell r="B321">
            <v>5.16</v>
          </cell>
        </row>
        <row r="322">
          <cell r="A322">
            <v>39163</v>
          </cell>
          <cell r="B322">
            <v>5.21</v>
          </cell>
        </row>
        <row r="323">
          <cell r="A323">
            <v>39164</v>
          </cell>
          <cell r="B323">
            <v>5.24</v>
          </cell>
        </row>
        <row r="324">
          <cell r="A324">
            <v>39167</v>
          </cell>
          <cell r="B324">
            <v>5.21</v>
          </cell>
        </row>
        <row r="325">
          <cell r="A325">
            <v>39168</v>
          </cell>
          <cell r="B325">
            <v>5.23</v>
          </cell>
        </row>
        <row r="326">
          <cell r="A326">
            <v>39169</v>
          </cell>
          <cell r="B326">
            <v>5.22</v>
          </cell>
        </row>
        <row r="327">
          <cell r="A327">
            <v>39170</v>
          </cell>
          <cell r="B327">
            <v>5.24</v>
          </cell>
        </row>
        <row r="328">
          <cell r="A328">
            <v>39171</v>
          </cell>
          <cell r="B328">
            <v>5.26</v>
          </cell>
        </row>
        <row r="329">
          <cell r="A329">
            <v>39172</v>
          </cell>
          <cell r="B329">
            <v>5.26</v>
          </cell>
        </row>
        <row r="330">
          <cell r="A330">
            <v>39174</v>
          </cell>
          <cell r="B330">
            <v>5.25</v>
          </cell>
        </row>
        <row r="331">
          <cell r="A331">
            <v>39175</v>
          </cell>
          <cell r="B331">
            <v>5.28</v>
          </cell>
        </row>
        <row r="332">
          <cell r="A332">
            <v>39176</v>
          </cell>
          <cell r="B332">
            <v>5.26</v>
          </cell>
        </row>
        <row r="333">
          <cell r="A333">
            <v>39177</v>
          </cell>
          <cell r="B333">
            <v>5.28</v>
          </cell>
        </row>
        <row r="334">
          <cell r="A334">
            <v>39181</v>
          </cell>
          <cell r="B334">
            <v>5.36</v>
          </cell>
        </row>
        <row r="335">
          <cell r="A335">
            <v>39182</v>
          </cell>
          <cell r="B335">
            <v>5.34</v>
          </cell>
        </row>
        <row r="336">
          <cell r="A336">
            <v>39183</v>
          </cell>
          <cell r="B336">
            <v>5.35</v>
          </cell>
        </row>
        <row r="337">
          <cell r="A337">
            <v>39184</v>
          </cell>
          <cell r="B337">
            <v>5.35</v>
          </cell>
        </row>
        <row r="338">
          <cell r="A338">
            <v>39185</v>
          </cell>
          <cell r="B338">
            <v>5.38</v>
          </cell>
        </row>
        <row r="339">
          <cell r="A339">
            <v>39188</v>
          </cell>
          <cell r="B339">
            <v>5.36</v>
          </cell>
        </row>
        <row r="340">
          <cell r="A340">
            <v>39189</v>
          </cell>
          <cell r="B340">
            <v>5.31</v>
          </cell>
        </row>
        <row r="341">
          <cell r="A341">
            <v>39190</v>
          </cell>
          <cell r="B341">
            <v>5.27</v>
          </cell>
        </row>
        <row r="342">
          <cell r="A342">
            <v>39191</v>
          </cell>
          <cell r="B342">
            <v>5.28</v>
          </cell>
        </row>
        <row r="343">
          <cell r="A343">
            <v>39192</v>
          </cell>
          <cell r="B343">
            <v>5.28</v>
          </cell>
        </row>
        <row r="344">
          <cell r="A344">
            <v>39195</v>
          </cell>
          <cell r="B344">
            <v>5.26</v>
          </cell>
        </row>
        <row r="345">
          <cell r="A345">
            <v>39196</v>
          </cell>
          <cell r="B345">
            <v>5.23</v>
          </cell>
        </row>
        <row r="346">
          <cell r="A346">
            <v>39197</v>
          </cell>
          <cell r="B346">
            <v>5.25</v>
          </cell>
        </row>
        <row r="347">
          <cell r="A347">
            <v>39198</v>
          </cell>
          <cell r="B347">
            <v>5.29</v>
          </cell>
        </row>
        <row r="348">
          <cell r="A348">
            <v>39199</v>
          </cell>
          <cell r="B348">
            <v>5.3</v>
          </cell>
        </row>
        <row r="349">
          <cell r="A349">
            <v>39202</v>
          </cell>
          <cell r="B349">
            <v>5.25</v>
          </cell>
        </row>
        <row r="350">
          <cell r="A350">
            <v>39203</v>
          </cell>
          <cell r="B350">
            <v>5.25</v>
          </cell>
        </row>
        <row r="351">
          <cell r="A351">
            <v>39204</v>
          </cell>
          <cell r="B351">
            <v>5.27</v>
          </cell>
        </row>
        <row r="352">
          <cell r="A352">
            <v>39205</v>
          </cell>
          <cell r="B352">
            <v>5.3</v>
          </cell>
        </row>
        <row r="353">
          <cell r="A353">
            <v>39206</v>
          </cell>
          <cell r="B353">
            <v>5.27</v>
          </cell>
        </row>
        <row r="354">
          <cell r="A354">
            <v>39209</v>
          </cell>
          <cell r="B354">
            <v>5.27</v>
          </cell>
        </row>
        <row r="355">
          <cell r="A355">
            <v>39210</v>
          </cell>
          <cell r="B355">
            <v>5.27</v>
          </cell>
        </row>
        <row r="356">
          <cell r="A356">
            <v>39211</v>
          </cell>
          <cell r="B356">
            <v>5.31</v>
          </cell>
        </row>
        <row r="357">
          <cell r="A357">
            <v>39212</v>
          </cell>
          <cell r="B357">
            <v>5.28</v>
          </cell>
        </row>
        <row r="358">
          <cell r="A358">
            <v>39213</v>
          </cell>
          <cell r="B358">
            <v>5.3</v>
          </cell>
        </row>
        <row r="359">
          <cell r="A359">
            <v>39216</v>
          </cell>
          <cell r="B359">
            <v>5.32</v>
          </cell>
        </row>
        <row r="360">
          <cell r="A360">
            <v>39217</v>
          </cell>
          <cell r="B360">
            <v>5.34</v>
          </cell>
        </row>
        <row r="361">
          <cell r="A361">
            <v>39218</v>
          </cell>
          <cell r="B361">
            <v>5.34</v>
          </cell>
        </row>
        <row r="362">
          <cell r="A362">
            <v>39219</v>
          </cell>
          <cell r="B362">
            <v>5.38</v>
          </cell>
        </row>
        <row r="363">
          <cell r="A363">
            <v>39220</v>
          </cell>
          <cell r="B363">
            <v>5.42</v>
          </cell>
        </row>
        <row r="364">
          <cell r="A364">
            <v>39223</v>
          </cell>
          <cell r="B364">
            <v>5.41</v>
          </cell>
        </row>
        <row r="365">
          <cell r="A365">
            <v>39224</v>
          </cell>
          <cell r="B365">
            <v>5.45</v>
          </cell>
        </row>
        <row r="366">
          <cell r="A366">
            <v>39225</v>
          </cell>
          <cell r="B366">
            <v>5.47</v>
          </cell>
        </row>
        <row r="367">
          <cell r="A367">
            <v>39226</v>
          </cell>
          <cell r="B367">
            <v>5.47</v>
          </cell>
        </row>
        <row r="368">
          <cell r="A368">
            <v>39227</v>
          </cell>
          <cell r="B368">
            <v>5.48</v>
          </cell>
        </row>
        <row r="369">
          <cell r="A369">
            <v>39231</v>
          </cell>
          <cell r="B369">
            <v>5.51</v>
          </cell>
        </row>
        <row r="370">
          <cell r="A370">
            <v>39232</v>
          </cell>
          <cell r="B370">
            <v>5.52</v>
          </cell>
        </row>
        <row r="371">
          <cell r="A371">
            <v>39233</v>
          </cell>
          <cell r="B371">
            <v>5.54</v>
          </cell>
        </row>
        <row r="372">
          <cell r="A372">
            <v>39234</v>
          </cell>
          <cell r="B372">
            <v>5.6</v>
          </cell>
        </row>
        <row r="373">
          <cell r="A373">
            <v>39237</v>
          </cell>
          <cell r="B373">
            <v>5.58</v>
          </cell>
        </row>
        <row r="374">
          <cell r="A374">
            <v>39238</v>
          </cell>
          <cell r="B374">
            <v>5.62</v>
          </cell>
        </row>
        <row r="375">
          <cell r="A375">
            <v>39239</v>
          </cell>
          <cell r="B375">
            <v>5.61</v>
          </cell>
        </row>
        <row r="376">
          <cell r="A376">
            <v>39240</v>
          </cell>
          <cell r="B376">
            <v>5.71</v>
          </cell>
        </row>
        <row r="377">
          <cell r="A377">
            <v>39241</v>
          </cell>
          <cell r="B377">
            <v>5.72</v>
          </cell>
        </row>
        <row r="378">
          <cell r="A378">
            <v>39244</v>
          </cell>
          <cell r="B378">
            <v>5.73</v>
          </cell>
        </row>
        <row r="379">
          <cell r="A379">
            <v>39245</v>
          </cell>
          <cell r="B379">
            <v>5.82</v>
          </cell>
        </row>
        <row r="380">
          <cell r="A380">
            <v>39246</v>
          </cell>
          <cell r="B380">
            <v>5.79</v>
          </cell>
        </row>
        <row r="381">
          <cell r="A381">
            <v>39247</v>
          </cell>
          <cell r="B381">
            <v>5.81</v>
          </cell>
        </row>
        <row r="382">
          <cell r="A382">
            <v>39248</v>
          </cell>
          <cell r="B382">
            <v>5.76</v>
          </cell>
        </row>
        <row r="383">
          <cell r="A383">
            <v>39251</v>
          </cell>
          <cell r="B383">
            <v>5.74</v>
          </cell>
        </row>
        <row r="384">
          <cell r="A384">
            <v>39252</v>
          </cell>
          <cell r="B384">
            <v>5.69</v>
          </cell>
        </row>
        <row r="385">
          <cell r="A385">
            <v>39253</v>
          </cell>
          <cell r="B385">
            <v>5.72</v>
          </cell>
        </row>
        <row r="386">
          <cell r="A386">
            <v>39254</v>
          </cell>
          <cell r="B386">
            <v>5.74</v>
          </cell>
        </row>
        <row r="387">
          <cell r="A387">
            <v>39255</v>
          </cell>
          <cell r="B387">
            <v>5.71</v>
          </cell>
        </row>
        <row r="388">
          <cell r="A388">
            <v>39258</v>
          </cell>
          <cell r="B388">
            <v>5.65</v>
          </cell>
        </row>
        <row r="389">
          <cell r="A389">
            <v>39259</v>
          </cell>
          <cell r="B389">
            <v>5.69</v>
          </cell>
        </row>
        <row r="390">
          <cell r="A390">
            <v>39260</v>
          </cell>
          <cell r="B390">
            <v>5.65</v>
          </cell>
        </row>
        <row r="391">
          <cell r="A391">
            <v>39261</v>
          </cell>
          <cell r="B391">
            <v>5.71</v>
          </cell>
        </row>
        <row r="392">
          <cell r="A392">
            <v>39262</v>
          </cell>
          <cell r="B392">
            <v>5.63</v>
          </cell>
        </row>
        <row r="393">
          <cell r="A393">
            <v>39263</v>
          </cell>
          <cell r="B393">
            <v>5.65</v>
          </cell>
        </row>
        <row r="394">
          <cell r="A394">
            <v>39265</v>
          </cell>
          <cell r="B394">
            <v>5.62</v>
          </cell>
        </row>
        <row r="395">
          <cell r="A395">
            <v>39266</v>
          </cell>
          <cell r="B395">
            <v>5.67</v>
          </cell>
        </row>
        <row r="396">
          <cell r="A396">
            <v>39267</v>
          </cell>
          <cell r="B396">
            <v>5.67</v>
          </cell>
        </row>
        <row r="397">
          <cell r="A397">
            <v>39268</v>
          </cell>
          <cell r="B397">
            <v>5.76</v>
          </cell>
        </row>
        <row r="398">
          <cell r="A398">
            <v>39269</v>
          </cell>
          <cell r="B398">
            <v>5.8</v>
          </cell>
        </row>
        <row r="399">
          <cell r="A399">
            <v>39272</v>
          </cell>
          <cell r="B399">
            <v>5.77</v>
          </cell>
        </row>
        <row r="400">
          <cell r="A400">
            <v>39273</v>
          </cell>
          <cell r="B400">
            <v>5.67</v>
          </cell>
        </row>
        <row r="401">
          <cell r="A401">
            <v>39274</v>
          </cell>
          <cell r="B401">
            <v>5.7</v>
          </cell>
        </row>
        <row r="402">
          <cell r="A402">
            <v>39275</v>
          </cell>
          <cell r="B402">
            <v>5.74</v>
          </cell>
        </row>
        <row r="403">
          <cell r="A403">
            <v>39276</v>
          </cell>
          <cell r="B403">
            <v>5.73</v>
          </cell>
        </row>
        <row r="404">
          <cell r="A404">
            <v>39279</v>
          </cell>
          <cell r="B404">
            <v>5.67</v>
          </cell>
        </row>
        <row r="405">
          <cell r="A405">
            <v>39280</v>
          </cell>
          <cell r="B405">
            <v>5.71</v>
          </cell>
        </row>
        <row r="406">
          <cell r="A406">
            <v>39281</v>
          </cell>
          <cell r="B406">
            <v>5.65</v>
          </cell>
        </row>
        <row r="407">
          <cell r="A407">
            <v>39282</v>
          </cell>
          <cell r="B407">
            <v>5.67</v>
          </cell>
        </row>
        <row r="408">
          <cell r="A408">
            <v>39283</v>
          </cell>
          <cell r="B408">
            <v>5.62</v>
          </cell>
        </row>
        <row r="409">
          <cell r="A409">
            <v>39286</v>
          </cell>
          <cell r="B409">
            <v>5.64</v>
          </cell>
        </row>
        <row r="410">
          <cell r="A410">
            <v>39287</v>
          </cell>
          <cell r="B410">
            <v>5.61</v>
          </cell>
        </row>
        <row r="411">
          <cell r="A411">
            <v>39288</v>
          </cell>
          <cell r="B411">
            <v>5.58</v>
          </cell>
        </row>
        <row r="412">
          <cell r="A412">
            <v>39289</v>
          </cell>
          <cell r="B412">
            <v>5.46</v>
          </cell>
        </row>
        <row r="413">
          <cell r="A413">
            <v>39290</v>
          </cell>
          <cell r="B413">
            <v>5.5</v>
          </cell>
        </row>
        <row r="414">
          <cell r="A414">
            <v>39293</v>
          </cell>
          <cell r="B414">
            <v>5.52</v>
          </cell>
        </row>
        <row r="415">
          <cell r="A415">
            <v>39294</v>
          </cell>
          <cell r="B415">
            <v>5.5</v>
          </cell>
        </row>
        <row r="416">
          <cell r="A416">
            <v>39295</v>
          </cell>
          <cell r="B416">
            <v>5.49</v>
          </cell>
        </row>
        <row r="417">
          <cell r="A417">
            <v>39296</v>
          </cell>
          <cell r="B417">
            <v>5.5</v>
          </cell>
        </row>
        <row r="418">
          <cell r="A418">
            <v>39297</v>
          </cell>
          <cell r="B418">
            <v>5.46</v>
          </cell>
        </row>
        <row r="419">
          <cell r="A419">
            <v>39300</v>
          </cell>
          <cell r="B419">
            <v>5.49</v>
          </cell>
        </row>
        <row r="420">
          <cell r="A420">
            <v>39301</v>
          </cell>
          <cell r="B420">
            <v>5.52</v>
          </cell>
        </row>
        <row r="421">
          <cell r="A421">
            <v>39302</v>
          </cell>
          <cell r="B421">
            <v>5.62</v>
          </cell>
        </row>
        <row r="422">
          <cell r="A422">
            <v>39303</v>
          </cell>
          <cell r="B422">
            <v>5.54</v>
          </cell>
        </row>
        <row r="423">
          <cell r="A423">
            <v>39304</v>
          </cell>
          <cell r="B423">
            <v>5.52</v>
          </cell>
        </row>
        <row r="424">
          <cell r="A424">
            <v>39307</v>
          </cell>
          <cell r="B424">
            <v>5.52</v>
          </cell>
        </row>
        <row r="425">
          <cell r="A425">
            <v>39308</v>
          </cell>
          <cell r="B425">
            <v>5.48</v>
          </cell>
        </row>
        <row r="426">
          <cell r="A426">
            <v>39309</v>
          </cell>
          <cell r="B426">
            <v>5.43</v>
          </cell>
        </row>
        <row r="427">
          <cell r="A427">
            <v>39310</v>
          </cell>
          <cell r="B427">
            <v>5.31</v>
          </cell>
        </row>
        <row r="428">
          <cell r="A428">
            <v>39311</v>
          </cell>
          <cell r="B428">
            <v>5.38</v>
          </cell>
        </row>
        <row r="429">
          <cell r="A429">
            <v>39314</v>
          </cell>
          <cell r="B429">
            <v>5.34</v>
          </cell>
        </row>
        <row r="430">
          <cell r="A430">
            <v>39315</v>
          </cell>
          <cell r="B430">
            <v>5.28</v>
          </cell>
        </row>
        <row r="431">
          <cell r="A431">
            <v>39316</v>
          </cell>
          <cell r="B431">
            <v>5.35</v>
          </cell>
        </row>
        <row r="432">
          <cell r="A432">
            <v>39317</v>
          </cell>
          <cell r="B432">
            <v>5.37</v>
          </cell>
        </row>
        <row r="433">
          <cell r="A433">
            <v>39318</v>
          </cell>
          <cell r="B433">
            <v>5.42</v>
          </cell>
        </row>
        <row r="434">
          <cell r="A434">
            <v>39321</v>
          </cell>
          <cell r="B434">
            <v>5.38</v>
          </cell>
        </row>
        <row r="435">
          <cell r="A435">
            <v>39322</v>
          </cell>
          <cell r="B435">
            <v>5.29</v>
          </cell>
        </row>
        <row r="436">
          <cell r="A436">
            <v>39323</v>
          </cell>
          <cell r="B436">
            <v>5.32</v>
          </cell>
        </row>
        <row r="437">
          <cell r="A437">
            <v>39324</v>
          </cell>
          <cell r="B437">
            <v>5.28</v>
          </cell>
        </row>
        <row r="438">
          <cell r="A438">
            <v>39325</v>
          </cell>
          <cell r="B438">
            <v>5.33</v>
          </cell>
        </row>
        <row r="439">
          <cell r="A439">
            <v>39328</v>
          </cell>
          <cell r="B439">
            <v>5.33</v>
          </cell>
        </row>
        <row r="440">
          <cell r="A440">
            <v>39329</v>
          </cell>
          <cell r="B440">
            <v>5.34</v>
          </cell>
        </row>
        <row r="441">
          <cell r="A441">
            <v>39330</v>
          </cell>
          <cell r="B441">
            <v>5.24</v>
          </cell>
        </row>
        <row r="442">
          <cell r="A442">
            <v>39331</v>
          </cell>
          <cell r="B442">
            <v>5.34</v>
          </cell>
        </row>
        <row r="443">
          <cell r="A443">
            <v>39332</v>
          </cell>
          <cell r="B443">
            <v>5.22</v>
          </cell>
        </row>
        <row r="444">
          <cell r="A444">
            <v>39335</v>
          </cell>
          <cell r="B444">
            <v>5.19</v>
          </cell>
        </row>
        <row r="445">
          <cell r="A445">
            <v>39336</v>
          </cell>
          <cell r="B445">
            <v>5.25</v>
          </cell>
        </row>
        <row r="446">
          <cell r="A446">
            <v>39337</v>
          </cell>
          <cell r="B446">
            <v>5.29</v>
          </cell>
        </row>
        <row r="447">
          <cell r="A447">
            <v>39338</v>
          </cell>
          <cell r="B447">
            <v>5.37</v>
          </cell>
        </row>
        <row r="448">
          <cell r="A448">
            <v>39339</v>
          </cell>
          <cell r="B448">
            <v>5.35</v>
          </cell>
        </row>
        <row r="449">
          <cell r="A449">
            <v>39342</v>
          </cell>
          <cell r="B449">
            <v>5.37</v>
          </cell>
        </row>
        <row r="450">
          <cell r="A450">
            <v>39343</v>
          </cell>
          <cell r="B450">
            <v>5.34</v>
          </cell>
        </row>
        <row r="451">
          <cell r="A451">
            <v>39344</v>
          </cell>
          <cell r="B451">
            <v>5.36</v>
          </cell>
        </row>
        <row r="452">
          <cell r="A452">
            <v>39345</v>
          </cell>
          <cell r="B452">
            <v>5.47</v>
          </cell>
        </row>
        <row r="453">
          <cell r="A453">
            <v>39346</v>
          </cell>
          <cell r="B453">
            <v>5.41</v>
          </cell>
        </row>
        <row r="454">
          <cell r="A454">
            <v>39349</v>
          </cell>
          <cell r="B454">
            <v>5.41</v>
          </cell>
        </row>
        <row r="455">
          <cell r="A455">
            <v>39350</v>
          </cell>
          <cell r="B455">
            <v>5.38</v>
          </cell>
        </row>
        <row r="456">
          <cell r="A456">
            <v>39351</v>
          </cell>
          <cell r="B456">
            <v>5.37</v>
          </cell>
        </row>
        <row r="457">
          <cell r="A457">
            <v>39352</v>
          </cell>
          <cell r="B457">
            <v>5.33</v>
          </cell>
        </row>
        <row r="458">
          <cell r="A458">
            <v>39353</v>
          </cell>
          <cell r="B458">
            <v>5.33</v>
          </cell>
        </row>
        <row r="459">
          <cell r="A459">
            <v>39355</v>
          </cell>
          <cell r="B459">
            <v>5.33</v>
          </cell>
        </row>
        <row r="460">
          <cell r="A460">
            <v>39356</v>
          </cell>
          <cell r="B460">
            <v>5.32</v>
          </cell>
        </row>
        <row r="461">
          <cell r="A461">
            <v>39357</v>
          </cell>
          <cell r="B461">
            <v>5.3</v>
          </cell>
        </row>
        <row r="462">
          <cell r="A462">
            <v>39358</v>
          </cell>
          <cell r="B462">
            <v>5.3</v>
          </cell>
        </row>
        <row r="463">
          <cell r="A463">
            <v>39359</v>
          </cell>
          <cell r="B463">
            <v>5.29</v>
          </cell>
        </row>
        <row r="464">
          <cell r="A464">
            <v>39360</v>
          </cell>
          <cell r="B464">
            <v>5.39</v>
          </cell>
        </row>
        <row r="465">
          <cell r="A465">
            <v>39363</v>
          </cell>
          <cell r="B465">
            <v>5.39</v>
          </cell>
        </row>
        <row r="466">
          <cell r="A466">
            <v>39364</v>
          </cell>
          <cell r="B466">
            <v>5.41</v>
          </cell>
        </row>
        <row r="467">
          <cell r="A467">
            <v>39365</v>
          </cell>
          <cell r="B467">
            <v>5.41</v>
          </cell>
        </row>
        <row r="468">
          <cell r="A468">
            <v>39366</v>
          </cell>
          <cell r="B468">
            <v>5.41</v>
          </cell>
        </row>
        <row r="469">
          <cell r="A469">
            <v>39367</v>
          </cell>
          <cell r="B469">
            <v>5.44</v>
          </cell>
        </row>
        <row r="470">
          <cell r="A470">
            <v>39370</v>
          </cell>
          <cell r="B470">
            <v>5.43</v>
          </cell>
        </row>
        <row r="471">
          <cell r="A471">
            <v>39371</v>
          </cell>
          <cell r="B471">
            <v>5.4</v>
          </cell>
        </row>
        <row r="472">
          <cell r="A472">
            <v>39372</v>
          </cell>
          <cell r="B472">
            <v>5.29</v>
          </cell>
        </row>
        <row r="473">
          <cell r="A473">
            <v>39373</v>
          </cell>
          <cell r="B473">
            <v>5.24</v>
          </cell>
        </row>
        <row r="474">
          <cell r="A474">
            <v>39374</v>
          </cell>
          <cell r="B474">
            <v>5.15</v>
          </cell>
        </row>
        <row r="475">
          <cell r="A475">
            <v>39377</v>
          </cell>
          <cell r="B475">
            <v>5.16</v>
          </cell>
        </row>
        <row r="476">
          <cell r="A476">
            <v>39378</v>
          </cell>
          <cell r="B476">
            <v>5.16</v>
          </cell>
        </row>
        <row r="477">
          <cell r="A477">
            <v>39379</v>
          </cell>
          <cell r="B477">
            <v>5.08</v>
          </cell>
        </row>
        <row r="478">
          <cell r="A478">
            <v>39380</v>
          </cell>
          <cell r="B478">
            <v>5.0999999999999996</v>
          </cell>
        </row>
        <row r="479">
          <cell r="A479">
            <v>39381</v>
          </cell>
          <cell r="B479">
            <v>5.13</v>
          </cell>
        </row>
        <row r="480">
          <cell r="A480">
            <v>39384</v>
          </cell>
          <cell r="B480">
            <v>5.14</v>
          </cell>
        </row>
        <row r="481">
          <cell r="A481">
            <v>39385</v>
          </cell>
          <cell r="B481">
            <v>5.15</v>
          </cell>
        </row>
        <row r="482">
          <cell r="A482">
            <v>39386</v>
          </cell>
          <cell r="B482">
            <v>5.25</v>
          </cell>
        </row>
        <row r="483">
          <cell r="A483">
            <v>39387</v>
          </cell>
          <cell r="B483">
            <v>5.15</v>
          </cell>
        </row>
        <row r="484">
          <cell r="A484">
            <v>39388</v>
          </cell>
          <cell r="B484">
            <v>5.07</v>
          </cell>
        </row>
        <row r="485">
          <cell r="A485">
            <v>39391</v>
          </cell>
          <cell r="B485">
            <v>5.09</v>
          </cell>
        </row>
        <row r="486">
          <cell r="A486">
            <v>39392</v>
          </cell>
          <cell r="B486">
            <v>5.1100000000000003</v>
          </cell>
        </row>
        <row r="487">
          <cell r="A487">
            <v>39393</v>
          </cell>
          <cell r="B487">
            <v>5.07</v>
          </cell>
        </row>
        <row r="488">
          <cell r="A488">
            <v>39394</v>
          </cell>
          <cell r="B488">
            <v>5</v>
          </cell>
        </row>
        <row r="489">
          <cell r="A489">
            <v>39395</v>
          </cell>
          <cell r="B489">
            <v>4.97</v>
          </cell>
        </row>
        <row r="490">
          <cell r="A490">
            <v>39398</v>
          </cell>
          <cell r="B490">
            <v>4.97</v>
          </cell>
        </row>
        <row r="491">
          <cell r="A491">
            <v>39399</v>
          </cell>
          <cell r="B491">
            <v>5.04</v>
          </cell>
        </row>
        <row r="492">
          <cell r="A492">
            <v>39400</v>
          </cell>
          <cell r="B492">
            <v>5.05</v>
          </cell>
        </row>
        <row r="493">
          <cell r="A493">
            <v>39401</v>
          </cell>
          <cell r="B493">
            <v>4.92</v>
          </cell>
        </row>
        <row r="494">
          <cell r="A494">
            <v>39402</v>
          </cell>
          <cell r="B494">
            <v>4.92</v>
          </cell>
        </row>
        <row r="495">
          <cell r="A495">
            <v>39405</v>
          </cell>
          <cell r="B495">
            <v>4.84</v>
          </cell>
        </row>
        <row r="496">
          <cell r="A496">
            <v>39406</v>
          </cell>
          <cell r="B496">
            <v>4.8</v>
          </cell>
        </row>
        <row r="497">
          <cell r="A497">
            <v>39407</v>
          </cell>
          <cell r="B497">
            <v>4.76</v>
          </cell>
        </row>
        <row r="498">
          <cell r="A498">
            <v>39408</v>
          </cell>
          <cell r="B498">
            <v>4.76</v>
          </cell>
        </row>
        <row r="499">
          <cell r="A499">
            <v>39409</v>
          </cell>
          <cell r="B499">
            <v>4.78</v>
          </cell>
        </row>
        <row r="500">
          <cell r="A500">
            <v>39412</v>
          </cell>
          <cell r="B500">
            <v>4.6500000000000004</v>
          </cell>
        </row>
        <row r="501">
          <cell r="A501">
            <v>39413</v>
          </cell>
          <cell r="B501">
            <v>4.74</v>
          </cell>
        </row>
        <row r="502">
          <cell r="A502">
            <v>39414</v>
          </cell>
          <cell r="B502">
            <v>4.84</v>
          </cell>
        </row>
        <row r="503">
          <cell r="A503">
            <v>39415</v>
          </cell>
          <cell r="B503">
            <v>4.78</v>
          </cell>
        </row>
        <row r="504">
          <cell r="A504">
            <v>39416</v>
          </cell>
          <cell r="B504">
            <v>4.78</v>
          </cell>
        </row>
        <row r="505">
          <cell r="A505">
            <v>39419</v>
          </cell>
          <cell r="B505">
            <v>4.6900000000000004</v>
          </cell>
        </row>
        <row r="506">
          <cell r="A506">
            <v>39420</v>
          </cell>
          <cell r="B506">
            <v>4.7</v>
          </cell>
        </row>
        <row r="507">
          <cell r="A507">
            <v>39421</v>
          </cell>
          <cell r="B507">
            <v>4.71</v>
          </cell>
        </row>
        <row r="508">
          <cell r="A508">
            <v>39422</v>
          </cell>
          <cell r="B508">
            <v>4.8</v>
          </cell>
        </row>
        <row r="509">
          <cell r="A509">
            <v>39423</v>
          </cell>
          <cell r="B509">
            <v>4.92</v>
          </cell>
        </row>
        <row r="510">
          <cell r="A510">
            <v>39426</v>
          </cell>
          <cell r="B510">
            <v>4.95</v>
          </cell>
        </row>
        <row r="511">
          <cell r="A511">
            <v>39427</v>
          </cell>
          <cell r="B511">
            <v>4.79</v>
          </cell>
        </row>
        <row r="512">
          <cell r="A512">
            <v>39428</v>
          </cell>
          <cell r="B512">
            <v>4.88</v>
          </cell>
        </row>
        <row r="513">
          <cell r="A513">
            <v>39429</v>
          </cell>
          <cell r="B513">
            <v>4.97</v>
          </cell>
        </row>
        <row r="514">
          <cell r="A514">
            <v>39430</v>
          </cell>
          <cell r="B514">
            <v>5.04</v>
          </cell>
        </row>
        <row r="515">
          <cell r="A515">
            <v>39433</v>
          </cell>
          <cell r="B515">
            <v>5</v>
          </cell>
        </row>
        <row r="516">
          <cell r="A516">
            <v>39434</v>
          </cell>
          <cell r="B516">
            <v>4.93</v>
          </cell>
        </row>
        <row r="517">
          <cell r="A517">
            <v>39435</v>
          </cell>
          <cell r="B517">
            <v>4.8899999999999997</v>
          </cell>
        </row>
        <row r="518">
          <cell r="A518">
            <v>39436</v>
          </cell>
          <cell r="B518">
            <v>4.8499999999999996</v>
          </cell>
        </row>
        <row r="519">
          <cell r="A519">
            <v>39437</v>
          </cell>
          <cell r="B519">
            <v>4.9800000000000004</v>
          </cell>
        </row>
        <row r="520">
          <cell r="A520">
            <v>39440</v>
          </cell>
          <cell r="B520">
            <v>5.03</v>
          </cell>
        </row>
        <row r="521">
          <cell r="A521">
            <v>39442</v>
          </cell>
          <cell r="B521">
            <v>5.0999999999999996</v>
          </cell>
        </row>
        <row r="522">
          <cell r="A522">
            <v>39443</v>
          </cell>
          <cell r="B522">
            <v>5.0199999999999996</v>
          </cell>
        </row>
        <row r="523">
          <cell r="A523">
            <v>39444</v>
          </cell>
          <cell r="B523">
            <v>4.92</v>
          </cell>
        </row>
        <row r="524">
          <cell r="A524">
            <v>39447</v>
          </cell>
          <cell r="B524">
            <v>4.88</v>
          </cell>
        </row>
        <row r="525">
          <cell r="A525">
            <v>39449</v>
          </cell>
          <cell r="B525">
            <v>4.7300000000000004</v>
          </cell>
        </row>
        <row r="526">
          <cell r="A526">
            <v>39450</v>
          </cell>
          <cell r="B526">
            <v>4.72</v>
          </cell>
        </row>
        <row r="527">
          <cell r="A527">
            <v>39451</v>
          </cell>
          <cell r="B527">
            <v>4.67</v>
          </cell>
        </row>
        <row r="528">
          <cell r="A528">
            <v>39454</v>
          </cell>
          <cell r="B528">
            <v>4.6500000000000004</v>
          </cell>
        </row>
        <row r="529">
          <cell r="A529">
            <v>39455</v>
          </cell>
          <cell r="B529">
            <v>4.71</v>
          </cell>
        </row>
        <row r="530">
          <cell r="A530">
            <v>39456</v>
          </cell>
          <cell r="B530">
            <v>4.67</v>
          </cell>
        </row>
        <row r="531">
          <cell r="A531">
            <v>39457</v>
          </cell>
          <cell r="B531">
            <v>4.7300000000000004</v>
          </cell>
        </row>
        <row r="532">
          <cell r="A532">
            <v>39458</v>
          </cell>
          <cell r="B532">
            <v>4.66</v>
          </cell>
        </row>
        <row r="533">
          <cell r="A533">
            <v>39461</v>
          </cell>
          <cell r="B533">
            <v>4.63</v>
          </cell>
        </row>
        <row r="534">
          <cell r="A534">
            <v>39462</v>
          </cell>
          <cell r="B534">
            <v>4.5599999999999996</v>
          </cell>
        </row>
        <row r="535">
          <cell r="A535">
            <v>39463</v>
          </cell>
          <cell r="B535">
            <v>4.57</v>
          </cell>
        </row>
        <row r="536">
          <cell r="A536">
            <v>39464</v>
          </cell>
          <cell r="B536">
            <v>4.5199999999999996</v>
          </cell>
        </row>
        <row r="537">
          <cell r="A537">
            <v>39465</v>
          </cell>
          <cell r="B537">
            <v>4.5</v>
          </cell>
        </row>
        <row r="538">
          <cell r="A538">
            <v>39468</v>
          </cell>
          <cell r="B538">
            <v>4.5</v>
          </cell>
        </row>
        <row r="539">
          <cell r="A539">
            <v>39469</v>
          </cell>
          <cell r="B539">
            <v>4.3600000000000003</v>
          </cell>
        </row>
        <row r="540">
          <cell r="A540">
            <v>39470</v>
          </cell>
          <cell r="B540">
            <v>4.29</v>
          </cell>
        </row>
        <row r="541">
          <cell r="A541">
            <v>39471</v>
          </cell>
          <cell r="B541">
            <v>4.4800000000000004</v>
          </cell>
        </row>
        <row r="542">
          <cell r="A542">
            <v>39472</v>
          </cell>
          <cell r="B542">
            <v>4.4400000000000004</v>
          </cell>
        </row>
        <row r="543">
          <cell r="A543">
            <v>39475</v>
          </cell>
          <cell r="B543">
            <v>4.43</v>
          </cell>
        </row>
        <row r="544">
          <cell r="A544">
            <v>39476</v>
          </cell>
          <cell r="B544">
            <v>4.5</v>
          </cell>
        </row>
        <row r="545">
          <cell r="A545">
            <v>39477</v>
          </cell>
          <cell r="B545">
            <v>4.55</v>
          </cell>
        </row>
        <row r="546">
          <cell r="A546">
            <v>39478</v>
          </cell>
          <cell r="B546">
            <v>4.51</v>
          </cell>
        </row>
        <row r="547">
          <cell r="A547">
            <v>39479</v>
          </cell>
          <cell r="B547">
            <v>4.45</v>
          </cell>
        </row>
        <row r="548">
          <cell r="A548">
            <v>39482</v>
          </cell>
          <cell r="B548">
            <v>4.4800000000000004</v>
          </cell>
        </row>
        <row r="549">
          <cell r="A549">
            <v>39483</v>
          </cell>
          <cell r="B549">
            <v>4.3899999999999997</v>
          </cell>
        </row>
        <row r="550">
          <cell r="A550">
            <v>39484</v>
          </cell>
          <cell r="B550">
            <v>4.41</v>
          </cell>
        </row>
        <row r="551">
          <cell r="A551">
            <v>39485</v>
          </cell>
          <cell r="B551">
            <v>4.49</v>
          </cell>
        </row>
        <row r="552">
          <cell r="A552">
            <v>39486</v>
          </cell>
          <cell r="B552">
            <v>4.43</v>
          </cell>
        </row>
        <row r="553">
          <cell r="A553">
            <v>39489</v>
          </cell>
          <cell r="B553">
            <v>4.41</v>
          </cell>
        </row>
        <row r="554">
          <cell r="A554">
            <v>39490</v>
          </cell>
          <cell r="B554">
            <v>4.47</v>
          </cell>
        </row>
        <row r="555">
          <cell r="A555">
            <v>39491</v>
          </cell>
          <cell r="B555">
            <v>4.45</v>
          </cell>
        </row>
        <row r="556">
          <cell r="A556">
            <v>39492</v>
          </cell>
          <cell r="B556">
            <v>4.53</v>
          </cell>
        </row>
        <row r="557">
          <cell r="A557">
            <v>39493</v>
          </cell>
          <cell r="B557">
            <v>4.51</v>
          </cell>
        </row>
        <row r="558">
          <cell r="A558">
            <v>39496</v>
          </cell>
          <cell r="B558">
            <v>4.51</v>
          </cell>
        </row>
        <row r="559">
          <cell r="A559">
            <v>39497</v>
          </cell>
          <cell r="B559">
            <v>4.62</v>
          </cell>
        </row>
        <row r="560">
          <cell r="A560">
            <v>39498</v>
          </cell>
          <cell r="B560">
            <v>4.68</v>
          </cell>
        </row>
        <row r="561">
          <cell r="A561">
            <v>39499</v>
          </cell>
          <cell r="B561">
            <v>4.54</v>
          </cell>
        </row>
        <row r="562">
          <cell r="A562">
            <v>39500</v>
          </cell>
          <cell r="B562">
            <v>4.55</v>
          </cell>
        </row>
        <row r="563">
          <cell r="A563">
            <v>39503</v>
          </cell>
          <cell r="B563">
            <v>4.66</v>
          </cell>
        </row>
        <row r="564">
          <cell r="A564">
            <v>39504</v>
          </cell>
          <cell r="B564">
            <v>4.6100000000000003</v>
          </cell>
        </row>
        <row r="565">
          <cell r="A565">
            <v>39505</v>
          </cell>
          <cell r="B565">
            <v>4.5999999999999996</v>
          </cell>
        </row>
        <row r="566">
          <cell r="A566">
            <v>39506</v>
          </cell>
          <cell r="B566">
            <v>4.49</v>
          </cell>
        </row>
        <row r="567">
          <cell r="A567">
            <v>39507</v>
          </cell>
          <cell r="B567">
            <v>4.34</v>
          </cell>
        </row>
        <row r="568">
          <cell r="A568">
            <v>39510</v>
          </cell>
          <cell r="B568">
            <v>4.3499999999999996</v>
          </cell>
        </row>
        <row r="569">
          <cell r="A569">
            <v>39511</v>
          </cell>
          <cell r="B569">
            <v>4.41</v>
          </cell>
        </row>
        <row r="570">
          <cell r="A570">
            <v>39512</v>
          </cell>
          <cell r="B570">
            <v>4.5</v>
          </cell>
        </row>
        <row r="571">
          <cell r="A571">
            <v>39513</v>
          </cell>
          <cell r="B571">
            <v>4.5</v>
          </cell>
        </row>
        <row r="572">
          <cell r="A572">
            <v>39514</v>
          </cell>
          <cell r="B572">
            <v>4.43</v>
          </cell>
        </row>
        <row r="573">
          <cell r="A573">
            <v>39517</v>
          </cell>
          <cell r="B573">
            <v>4.42</v>
          </cell>
        </row>
        <row r="574">
          <cell r="A574">
            <v>39518</v>
          </cell>
          <cell r="B574">
            <v>4.62</v>
          </cell>
        </row>
        <row r="575">
          <cell r="A575">
            <v>39519</v>
          </cell>
          <cell r="B575">
            <v>4.5</v>
          </cell>
        </row>
        <row r="576">
          <cell r="A576">
            <v>39520</v>
          </cell>
          <cell r="B576">
            <v>4.54</v>
          </cell>
        </row>
        <row r="577">
          <cell r="A577">
            <v>39521</v>
          </cell>
          <cell r="B577">
            <v>4.42</v>
          </cell>
        </row>
        <row r="578">
          <cell r="A578">
            <v>39524</v>
          </cell>
          <cell r="B578">
            <v>4.3499999999999996</v>
          </cell>
        </row>
        <row r="579">
          <cell r="A579">
            <v>39525</v>
          </cell>
          <cell r="B579">
            <v>4.47</v>
          </cell>
        </row>
        <row r="580">
          <cell r="A580">
            <v>39526</v>
          </cell>
          <cell r="B580">
            <v>4.37</v>
          </cell>
        </row>
        <row r="581">
          <cell r="A581">
            <v>39527</v>
          </cell>
          <cell r="B581">
            <v>4.37</v>
          </cell>
        </row>
        <row r="582">
          <cell r="A582">
            <v>39531</v>
          </cell>
          <cell r="B582">
            <v>4.57</v>
          </cell>
        </row>
        <row r="583">
          <cell r="A583">
            <v>39532</v>
          </cell>
          <cell r="B583">
            <v>4.57</v>
          </cell>
        </row>
        <row r="584">
          <cell r="A584">
            <v>39533</v>
          </cell>
          <cell r="B584">
            <v>4.53</v>
          </cell>
        </row>
        <row r="585">
          <cell r="A585">
            <v>39534</v>
          </cell>
          <cell r="B585">
            <v>4.55</v>
          </cell>
        </row>
        <row r="586">
          <cell r="A586">
            <v>39535</v>
          </cell>
          <cell r="B586">
            <v>4.51</v>
          </cell>
        </row>
        <row r="587">
          <cell r="A587">
            <v>39538</v>
          </cell>
          <cell r="B587">
            <v>4.46</v>
          </cell>
        </row>
        <row r="588">
          <cell r="A588">
            <v>39539</v>
          </cell>
          <cell r="B588">
            <v>4.59</v>
          </cell>
        </row>
        <row r="589">
          <cell r="A589">
            <v>39540</v>
          </cell>
          <cell r="B589">
            <v>4.6500000000000004</v>
          </cell>
        </row>
        <row r="590">
          <cell r="A590">
            <v>39541</v>
          </cell>
          <cell r="B590">
            <v>4.6500000000000004</v>
          </cell>
        </row>
        <row r="591">
          <cell r="A591">
            <v>39542</v>
          </cell>
          <cell r="B591">
            <v>4.53</v>
          </cell>
        </row>
        <row r="592">
          <cell r="A592">
            <v>39545</v>
          </cell>
          <cell r="B592">
            <v>4.5999999999999996</v>
          </cell>
        </row>
        <row r="593">
          <cell r="A593">
            <v>39546</v>
          </cell>
          <cell r="B593">
            <v>4.5599999999999996</v>
          </cell>
        </row>
        <row r="594">
          <cell r="A594">
            <v>39547</v>
          </cell>
          <cell r="B594">
            <v>4.46</v>
          </cell>
        </row>
        <row r="595">
          <cell r="A595">
            <v>39548</v>
          </cell>
          <cell r="B595">
            <v>4.54</v>
          </cell>
        </row>
        <row r="596">
          <cell r="A596">
            <v>39549</v>
          </cell>
          <cell r="B596">
            <v>4.51</v>
          </cell>
        </row>
        <row r="597">
          <cell r="A597">
            <v>39552</v>
          </cell>
          <cell r="B597">
            <v>4.51</v>
          </cell>
        </row>
        <row r="598">
          <cell r="A598">
            <v>39553</v>
          </cell>
          <cell r="B598">
            <v>4.57</v>
          </cell>
        </row>
        <row r="599">
          <cell r="A599">
            <v>39554</v>
          </cell>
          <cell r="B599">
            <v>4.71</v>
          </cell>
        </row>
        <row r="600">
          <cell r="A600">
            <v>39555</v>
          </cell>
          <cell r="B600">
            <v>4.78</v>
          </cell>
        </row>
        <row r="601">
          <cell r="A601">
            <v>39556</v>
          </cell>
          <cell r="B601">
            <v>4.78</v>
          </cell>
        </row>
        <row r="602">
          <cell r="A602">
            <v>39559</v>
          </cell>
          <cell r="B602">
            <v>4.74</v>
          </cell>
        </row>
        <row r="603">
          <cell r="A603">
            <v>39560</v>
          </cell>
          <cell r="B603">
            <v>4.7699999999999996</v>
          </cell>
        </row>
        <row r="604">
          <cell r="A604">
            <v>39561</v>
          </cell>
          <cell r="B604">
            <v>4.78</v>
          </cell>
        </row>
        <row r="605">
          <cell r="A605">
            <v>39562</v>
          </cell>
          <cell r="B605">
            <v>4.8899999999999997</v>
          </cell>
        </row>
        <row r="606">
          <cell r="A606">
            <v>39563</v>
          </cell>
          <cell r="B606">
            <v>4.93</v>
          </cell>
        </row>
        <row r="607">
          <cell r="A607">
            <v>39566</v>
          </cell>
          <cell r="B607">
            <v>4.88</v>
          </cell>
        </row>
        <row r="608">
          <cell r="A608">
            <v>39567</v>
          </cell>
          <cell r="B608">
            <v>4.84</v>
          </cell>
        </row>
        <row r="609">
          <cell r="A609">
            <v>39568</v>
          </cell>
          <cell r="B609">
            <v>4.83</v>
          </cell>
        </row>
        <row r="610">
          <cell r="A610">
            <v>39569</v>
          </cell>
          <cell r="B610">
            <v>4.84</v>
          </cell>
        </row>
        <row r="611">
          <cell r="A611">
            <v>39570</v>
          </cell>
          <cell r="B611">
            <v>4.9000000000000004</v>
          </cell>
        </row>
        <row r="612">
          <cell r="A612">
            <v>39573</v>
          </cell>
          <cell r="B612">
            <v>4.8899999999999997</v>
          </cell>
        </row>
        <row r="613">
          <cell r="A613">
            <v>39574</v>
          </cell>
          <cell r="B613">
            <v>4.9000000000000004</v>
          </cell>
        </row>
        <row r="614">
          <cell r="A614">
            <v>39575</v>
          </cell>
          <cell r="B614">
            <v>4.87</v>
          </cell>
        </row>
        <row r="615">
          <cell r="A615">
            <v>39576</v>
          </cell>
          <cell r="B615">
            <v>4.8</v>
          </cell>
        </row>
        <row r="616">
          <cell r="A616">
            <v>39577</v>
          </cell>
          <cell r="B616">
            <v>4.78</v>
          </cell>
        </row>
        <row r="617">
          <cell r="A617">
            <v>39580</v>
          </cell>
          <cell r="B617">
            <v>4.78</v>
          </cell>
        </row>
        <row r="618">
          <cell r="A618">
            <v>39581</v>
          </cell>
          <cell r="B618">
            <v>4.93</v>
          </cell>
        </row>
        <row r="619">
          <cell r="A619">
            <v>39582</v>
          </cell>
          <cell r="B619">
            <v>4.97</v>
          </cell>
        </row>
        <row r="620">
          <cell r="A620">
            <v>39583</v>
          </cell>
          <cell r="B620">
            <v>4.88</v>
          </cell>
        </row>
        <row r="621">
          <cell r="A621">
            <v>39584</v>
          </cell>
          <cell r="B621">
            <v>4.87</v>
          </cell>
        </row>
        <row r="622">
          <cell r="A622">
            <v>39587</v>
          </cell>
          <cell r="B622">
            <v>4.84</v>
          </cell>
        </row>
        <row r="623">
          <cell r="A623">
            <v>39588</v>
          </cell>
          <cell r="B623">
            <v>4.79</v>
          </cell>
        </row>
        <row r="624">
          <cell r="A624">
            <v>39589</v>
          </cell>
          <cell r="B624">
            <v>4.8499999999999996</v>
          </cell>
        </row>
        <row r="625">
          <cell r="A625">
            <v>39590</v>
          </cell>
          <cell r="B625">
            <v>4.99</v>
          </cell>
        </row>
        <row r="626">
          <cell r="A626">
            <v>39591</v>
          </cell>
          <cell r="B626">
            <v>4.9000000000000004</v>
          </cell>
        </row>
        <row r="627">
          <cell r="A627">
            <v>39594</v>
          </cell>
          <cell r="B627">
            <v>4.9000000000000004</v>
          </cell>
        </row>
        <row r="628">
          <cell r="A628">
            <v>39595</v>
          </cell>
          <cell r="B628">
            <v>4.99</v>
          </cell>
        </row>
        <row r="629">
          <cell r="A629">
            <v>39596</v>
          </cell>
          <cell r="B629">
            <v>5.08</v>
          </cell>
        </row>
        <row r="630">
          <cell r="A630">
            <v>39597</v>
          </cell>
          <cell r="B630">
            <v>5.12</v>
          </cell>
        </row>
        <row r="631">
          <cell r="A631">
            <v>39598</v>
          </cell>
          <cell r="B631">
            <v>5.09</v>
          </cell>
        </row>
        <row r="632">
          <cell r="A632">
            <v>39599</v>
          </cell>
          <cell r="B632">
            <v>5.0999999999999996</v>
          </cell>
        </row>
        <row r="633">
          <cell r="A633">
            <v>39601</v>
          </cell>
          <cell r="B633">
            <v>5.01</v>
          </cell>
        </row>
        <row r="634">
          <cell r="A634">
            <v>39602</v>
          </cell>
          <cell r="B634">
            <v>4.93</v>
          </cell>
        </row>
        <row r="635">
          <cell r="A635">
            <v>39603</v>
          </cell>
          <cell r="B635">
            <v>4.97</v>
          </cell>
        </row>
        <row r="636">
          <cell r="A636">
            <v>39604</v>
          </cell>
          <cell r="B636">
            <v>5.0199999999999996</v>
          </cell>
        </row>
        <row r="637">
          <cell r="A637">
            <v>39605</v>
          </cell>
          <cell r="B637">
            <v>4.93</v>
          </cell>
        </row>
        <row r="638">
          <cell r="A638">
            <v>39608</v>
          </cell>
          <cell r="B638">
            <v>5.07</v>
          </cell>
        </row>
        <row r="639">
          <cell r="A639">
            <v>39609</v>
          </cell>
          <cell r="B639">
            <v>5.21</v>
          </cell>
        </row>
        <row r="640">
          <cell r="A640">
            <v>39610</v>
          </cell>
          <cell r="B640">
            <v>5.17</v>
          </cell>
        </row>
        <row r="641">
          <cell r="A641">
            <v>39611</v>
          </cell>
          <cell r="B641">
            <v>5.31</v>
          </cell>
        </row>
        <row r="642">
          <cell r="A642">
            <v>39612</v>
          </cell>
          <cell r="B642">
            <v>5.36</v>
          </cell>
        </row>
        <row r="643">
          <cell r="A643">
            <v>39615</v>
          </cell>
          <cell r="B643">
            <v>5.32</v>
          </cell>
        </row>
        <row r="644">
          <cell r="A644">
            <v>39616</v>
          </cell>
          <cell r="B644">
            <v>5.28</v>
          </cell>
        </row>
        <row r="645">
          <cell r="A645">
            <v>39617</v>
          </cell>
          <cell r="B645">
            <v>5.18</v>
          </cell>
        </row>
        <row r="646">
          <cell r="A646">
            <v>39618</v>
          </cell>
          <cell r="B646">
            <v>5.25</v>
          </cell>
        </row>
        <row r="647">
          <cell r="A647">
            <v>39619</v>
          </cell>
          <cell r="B647">
            <v>5.19</v>
          </cell>
        </row>
        <row r="648">
          <cell r="A648">
            <v>39622</v>
          </cell>
          <cell r="B648">
            <v>5.25</v>
          </cell>
        </row>
        <row r="649">
          <cell r="A649">
            <v>39623</v>
          </cell>
          <cell r="B649">
            <v>5.19</v>
          </cell>
        </row>
        <row r="650">
          <cell r="A650">
            <v>39624</v>
          </cell>
          <cell r="B650">
            <v>5.18</v>
          </cell>
        </row>
        <row r="651">
          <cell r="A651">
            <v>39625</v>
          </cell>
          <cell r="B651">
            <v>5.13</v>
          </cell>
        </row>
        <row r="652">
          <cell r="A652">
            <v>39626</v>
          </cell>
          <cell r="B652">
            <v>5.1100000000000003</v>
          </cell>
        </row>
        <row r="653">
          <cell r="A653">
            <v>39629</v>
          </cell>
          <cell r="B653">
            <v>5.07</v>
          </cell>
        </row>
        <row r="654">
          <cell r="A654">
            <v>39630</v>
          </cell>
          <cell r="B654">
            <v>5.0999999999999996</v>
          </cell>
        </row>
        <row r="655">
          <cell r="A655">
            <v>39631</v>
          </cell>
          <cell r="B655">
            <v>5.07</v>
          </cell>
        </row>
        <row r="656">
          <cell r="A656">
            <v>39632</v>
          </cell>
          <cell r="B656">
            <v>5.0599999999999996</v>
          </cell>
        </row>
        <row r="657">
          <cell r="A657">
            <v>39633</v>
          </cell>
          <cell r="B657">
            <v>5.0599999999999996</v>
          </cell>
        </row>
        <row r="658">
          <cell r="A658">
            <v>39636</v>
          </cell>
          <cell r="B658">
            <v>5</v>
          </cell>
        </row>
        <row r="659">
          <cell r="A659">
            <v>39637</v>
          </cell>
          <cell r="B659">
            <v>4.9800000000000004</v>
          </cell>
        </row>
        <row r="660">
          <cell r="A660">
            <v>39638</v>
          </cell>
          <cell r="B660">
            <v>4.9400000000000004</v>
          </cell>
        </row>
        <row r="661">
          <cell r="A661">
            <v>39639</v>
          </cell>
          <cell r="B661">
            <v>4.95</v>
          </cell>
        </row>
        <row r="662">
          <cell r="A662">
            <v>39640</v>
          </cell>
          <cell r="B662">
            <v>5.1100000000000003</v>
          </cell>
        </row>
        <row r="663">
          <cell r="A663">
            <v>39643</v>
          </cell>
          <cell r="B663">
            <v>5.03</v>
          </cell>
        </row>
        <row r="664">
          <cell r="A664">
            <v>39644</v>
          </cell>
          <cell r="B664">
            <v>4.99</v>
          </cell>
        </row>
        <row r="665">
          <cell r="A665">
            <v>39645</v>
          </cell>
          <cell r="B665">
            <v>5.0599999999999996</v>
          </cell>
        </row>
        <row r="666">
          <cell r="A666">
            <v>39646</v>
          </cell>
          <cell r="B666">
            <v>5.17</v>
          </cell>
        </row>
        <row r="667">
          <cell r="A667">
            <v>39647</v>
          </cell>
          <cell r="B667">
            <v>5.21</v>
          </cell>
        </row>
        <row r="668">
          <cell r="A668">
            <v>39650</v>
          </cell>
          <cell r="B668">
            <v>5.21</v>
          </cell>
        </row>
        <row r="669">
          <cell r="A669">
            <v>39651</v>
          </cell>
          <cell r="B669">
            <v>5.25</v>
          </cell>
        </row>
        <row r="670">
          <cell r="A670">
            <v>39652</v>
          </cell>
          <cell r="B670">
            <v>5.29</v>
          </cell>
        </row>
        <row r="671">
          <cell r="A671">
            <v>39653</v>
          </cell>
          <cell r="B671">
            <v>5.13</v>
          </cell>
        </row>
        <row r="672">
          <cell r="A672">
            <v>39654</v>
          </cell>
          <cell r="B672">
            <v>5.21</v>
          </cell>
        </row>
        <row r="673">
          <cell r="A673">
            <v>39657</v>
          </cell>
          <cell r="B673">
            <v>5.12</v>
          </cell>
        </row>
        <row r="674">
          <cell r="A674">
            <v>39658</v>
          </cell>
          <cell r="B674">
            <v>5.14</v>
          </cell>
        </row>
        <row r="675">
          <cell r="A675">
            <v>39659</v>
          </cell>
          <cell r="B675">
            <v>5.15</v>
          </cell>
        </row>
        <row r="676">
          <cell r="A676">
            <v>39660</v>
          </cell>
          <cell r="B676">
            <v>5.0999999999999996</v>
          </cell>
        </row>
        <row r="677">
          <cell r="A677">
            <v>39661</v>
          </cell>
          <cell r="B677">
            <v>5.07</v>
          </cell>
        </row>
        <row r="678">
          <cell r="A678">
            <v>39664</v>
          </cell>
          <cell r="B678">
            <v>5.09</v>
          </cell>
        </row>
        <row r="679">
          <cell r="A679">
            <v>39665</v>
          </cell>
          <cell r="B679">
            <v>5.1100000000000003</v>
          </cell>
        </row>
        <row r="680">
          <cell r="A680">
            <v>39666</v>
          </cell>
          <cell r="B680">
            <v>5.14</v>
          </cell>
        </row>
        <row r="681">
          <cell r="A681">
            <v>39667</v>
          </cell>
          <cell r="B681">
            <v>5.01</v>
          </cell>
        </row>
        <row r="682">
          <cell r="A682">
            <v>39668</v>
          </cell>
          <cell r="B682">
            <v>5.04</v>
          </cell>
        </row>
        <row r="683">
          <cell r="A683">
            <v>39671</v>
          </cell>
          <cell r="B683">
            <v>5.09</v>
          </cell>
        </row>
        <row r="684">
          <cell r="A684">
            <v>39672</v>
          </cell>
          <cell r="B684">
            <v>5</v>
          </cell>
        </row>
        <row r="685">
          <cell r="A685">
            <v>39673</v>
          </cell>
          <cell r="B685">
            <v>5.0599999999999996</v>
          </cell>
        </row>
        <row r="686">
          <cell r="A686">
            <v>39674</v>
          </cell>
          <cell r="B686">
            <v>5</v>
          </cell>
        </row>
        <row r="687">
          <cell r="A687">
            <v>39675</v>
          </cell>
          <cell r="B687">
            <v>4.97</v>
          </cell>
        </row>
        <row r="688">
          <cell r="A688">
            <v>39678</v>
          </cell>
          <cell r="B688">
            <v>4.93</v>
          </cell>
        </row>
        <row r="689">
          <cell r="A689">
            <v>39679</v>
          </cell>
          <cell r="B689">
            <v>4.97</v>
          </cell>
        </row>
        <row r="690">
          <cell r="A690">
            <v>39680</v>
          </cell>
          <cell r="B690">
            <v>4.93</v>
          </cell>
        </row>
        <row r="691">
          <cell r="A691">
            <v>39681</v>
          </cell>
          <cell r="B691">
            <v>4.9800000000000004</v>
          </cell>
        </row>
        <row r="692">
          <cell r="A692">
            <v>39682</v>
          </cell>
          <cell r="B692">
            <v>5.03</v>
          </cell>
        </row>
        <row r="693">
          <cell r="A693">
            <v>39685</v>
          </cell>
          <cell r="B693">
            <v>4.95</v>
          </cell>
        </row>
        <row r="694">
          <cell r="A694">
            <v>39686</v>
          </cell>
          <cell r="B694">
            <v>4.96</v>
          </cell>
        </row>
        <row r="695">
          <cell r="A695">
            <v>39687</v>
          </cell>
          <cell r="B695">
            <v>4.9400000000000004</v>
          </cell>
        </row>
        <row r="696">
          <cell r="A696">
            <v>39688</v>
          </cell>
          <cell r="B696">
            <v>4.97</v>
          </cell>
        </row>
        <row r="697">
          <cell r="A697">
            <v>39689</v>
          </cell>
          <cell r="B697">
            <v>4.97</v>
          </cell>
        </row>
        <row r="698">
          <cell r="A698">
            <v>39691</v>
          </cell>
          <cell r="B698">
            <v>4.97</v>
          </cell>
        </row>
        <row r="699">
          <cell r="A699">
            <v>39692</v>
          </cell>
          <cell r="B699">
            <v>4.97</v>
          </cell>
        </row>
        <row r="700">
          <cell r="A700">
            <v>39693</v>
          </cell>
          <cell r="B700">
            <v>4.91</v>
          </cell>
        </row>
        <row r="701">
          <cell r="A701">
            <v>39694</v>
          </cell>
          <cell r="B701">
            <v>4.87</v>
          </cell>
        </row>
        <row r="702">
          <cell r="A702">
            <v>39695</v>
          </cell>
          <cell r="B702">
            <v>4.84</v>
          </cell>
        </row>
        <row r="703">
          <cell r="A703">
            <v>39696</v>
          </cell>
          <cell r="B703">
            <v>4.87</v>
          </cell>
        </row>
        <row r="704">
          <cell r="A704">
            <v>39699</v>
          </cell>
          <cell r="B704">
            <v>4.87</v>
          </cell>
        </row>
        <row r="705">
          <cell r="A705">
            <v>39700</v>
          </cell>
          <cell r="B705">
            <v>4.8</v>
          </cell>
        </row>
        <row r="706">
          <cell r="A706">
            <v>39701</v>
          </cell>
          <cell r="B706">
            <v>4.84</v>
          </cell>
        </row>
        <row r="707">
          <cell r="A707">
            <v>39702</v>
          </cell>
          <cell r="B707">
            <v>4.8600000000000003</v>
          </cell>
        </row>
        <row r="708">
          <cell r="A708">
            <v>39703</v>
          </cell>
          <cell r="B708">
            <v>4.9800000000000004</v>
          </cell>
        </row>
        <row r="709">
          <cell r="A709">
            <v>39706</v>
          </cell>
          <cell r="B709">
            <v>4.99</v>
          </cell>
        </row>
        <row r="710">
          <cell r="A710">
            <v>39707</v>
          </cell>
          <cell r="B710">
            <v>5.38</v>
          </cell>
        </row>
        <row r="711">
          <cell r="A711">
            <v>39708</v>
          </cell>
          <cell r="B711">
            <v>5.54</v>
          </cell>
        </row>
        <row r="712">
          <cell r="A712">
            <v>39709</v>
          </cell>
          <cell r="B712">
            <v>5.94</v>
          </cell>
        </row>
        <row r="713">
          <cell r="A713">
            <v>39710</v>
          </cell>
          <cell r="B713">
            <v>6.02</v>
          </cell>
        </row>
        <row r="714">
          <cell r="A714">
            <v>39713</v>
          </cell>
          <cell r="B714">
            <v>5.89</v>
          </cell>
        </row>
        <row r="715">
          <cell r="A715">
            <v>39714</v>
          </cell>
          <cell r="B715">
            <v>5.95</v>
          </cell>
        </row>
        <row r="716">
          <cell r="A716">
            <v>39715</v>
          </cell>
          <cell r="B716">
            <v>5.85</v>
          </cell>
        </row>
        <row r="717">
          <cell r="A717">
            <v>39716</v>
          </cell>
          <cell r="B717">
            <v>6.17</v>
          </cell>
        </row>
        <row r="718">
          <cell r="A718">
            <v>39717</v>
          </cell>
          <cell r="B718">
            <v>6.34</v>
          </cell>
        </row>
        <row r="719">
          <cell r="A719">
            <v>39720</v>
          </cell>
          <cell r="B719">
            <v>6.19</v>
          </cell>
        </row>
        <row r="720">
          <cell r="A720">
            <v>39721</v>
          </cell>
          <cell r="B720">
            <v>6.45</v>
          </cell>
        </row>
        <row r="721">
          <cell r="A721">
            <v>39722</v>
          </cell>
          <cell r="B721">
            <v>6.54</v>
          </cell>
        </row>
        <row r="722">
          <cell r="A722">
            <v>39723</v>
          </cell>
          <cell r="B722">
            <v>6.38</v>
          </cell>
        </row>
        <row r="723">
          <cell r="A723">
            <v>39724</v>
          </cell>
          <cell r="B723">
            <v>6.38</v>
          </cell>
        </row>
        <row r="724">
          <cell r="A724">
            <v>39727</v>
          </cell>
          <cell r="B724">
            <v>6.28</v>
          </cell>
        </row>
        <row r="725">
          <cell r="A725">
            <v>39728</v>
          </cell>
          <cell r="B725">
            <v>6.27</v>
          </cell>
        </row>
        <row r="726">
          <cell r="A726">
            <v>39729</v>
          </cell>
          <cell r="B726">
            <v>6.52</v>
          </cell>
        </row>
        <row r="727">
          <cell r="A727">
            <v>39730</v>
          </cell>
          <cell r="B727">
            <v>6.63</v>
          </cell>
        </row>
        <row r="728">
          <cell r="A728">
            <v>39731</v>
          </cell>
          <cell r="B728">
            <v>6.95</v>
          </cell>
        </row>
        <row r="729">
          <cell r="A729">
            <v>39734</v>
          </cell>
          <cell r="B729">
            <v>6.95</v>
          </cell>
        </row>
        <row r="730">
          <cell r="A730">
            <v>39735</v>
          </cell>
          <cell r="B730">
            <v>6.9</v>
          </cell>
        </row>
        <row r="731">
          <cell r="A731">
            <v>39736</v>
          </cell>
          <cell r="B731">
            <v>6.74</v>
          </cell>
        </row>
        <row r="732">
          <cell r="A732">
            <v>39737</v>
          </cell>
          <cell r="B732">
            <v>6.8</v>
          </cell>
        </row>
        <row r="733">
          <cell r="A733">
            <v>39738</v>
          </cell>
          <cell r="B733">
            <v>6.91</v>
          </cell>
        </row>
        <row r="734">
          <cell r="A734">
            <v>39741</v>
          </cell>
          <cell r="B734">
            <v>6.87</v>
          </cell>
        </row>
        <row r="735">
          <cell r="A735">
            <v>39742</v>
          </cell>
          <cell r="B735">
            <v>6.66</v>
          </cell>
        </row>
        <row r="736">
          <cell r="A736">
            <v>39743</v>
          </cell>
          <cell r="B736">
            <v>6.63</v>
          </cell>
        </row>
        <row r="737">
          <cell r="A737">
            <v>39744</v>
          </cell>
          <cell r="B737">
            <v>6.62</v>
          </cell>
        </row>
        <row r="738">
          <cell r="A738">
            <v>39745</v>
          </cell>
          <cell r="B738">
            <v>6.86</v>
          </cell>
        </row>
        <row r="739">
          <cell r="A739">
            <v>39748</v>
          </cell>
          <cell r="B739">
            <v>6.91</v>
          </cell>
        </row>
        <row r="740">
          <cell r="A740">
            <v>39749</v>
          </cell>
          <cell r="B740">
            <v>6.89</v>
          </cell>
        </row>
        <row r="741">
          <cell r="A741">
            <v>39750</v>
          </cell>
          <cell r="B741">
            <v>6.88</v>
          </cell>
        </row>
        <row r="742">
          <cell r="A742">
            <v>39751</v>
          </cell>
          <cell r="B742">
            <v>6.88</v>
          </cell>
        </row>
        <row r="743">
          <cell r="A743">
            <v>39752</v>
          </cell>
          <cell r="B743">
            <v>6.95</v>
          </cell>
        </row>
        <row r="744">
          <cell r="A744">
            <v>39755</v>
          </cell>
          <cell r="B744">
            <v>6.84</v>
          </cell>
        </row>
        <row r="745">
          <cell r="A745">
            <v>39756</v>
          </cell>
          <cell r="B745">
            <v>6.67</v>
          </cell>
        </row>
        <row r="746">
          <cell r="A746">
            <v>39757</v>
          </cell>
          <cell r="B746">
            <v>6.56</v>
          </cell>
        </row>
        <row r="747">
          <cell r="A747">
            <v>39758</v>
          </cell>
          <cell r="B747">
            <v>6.55</v>
          </cell>
        </row>
        <row r="748">
          <cell r="A748">
            <v>39759</v>
          </cell>
          <cell r="B748">
            <v>6.6</v>
          </cell>
        </row>
        <row r="749">
          <cell r="A749">
            <v>39762</v>
          </cell>
          <cell r="B749">
            <v>6.49</v>
          </cell>
        </row>
        <row r="750">
          <cell r="A750">
            <v>39763</v>
          </cell>
          <cell r="B750">
            <v>6.49</v>
          </cell>
        </row>
        <row r="751">
          <cell r="A751">
            <v>39764</v>
          </cell>
          <cell r="B751">
            <v>6.31</v>
          </cell>
        </row>
        <row r="752">
          <cell r="A752">
            <v>39765</v>
          </cell>
          <cell r="B752">
            <v>6.35</v>
          </cell>
        </row>
        <row r="753">
          <cell r="A753">
            <v>39766</v>
          </cell>
          <cell r="B753">
            <v>6.3</v>
          </cell>
        </row>
        <row r="754">
          <cell r="A754">
            <v>39769</v>
          </cell>
          <cell r="B754">
            <v>6.26</v>
          </cell>
        </row>
        <row r="755">
          <cell r="A755">
            <v>39770</v>
          </cell>
          <cell r="B755">
            <v>6.12</v>
          </cell>
        </row>
        <row r="756">
          <cell r="A756">
            <v>39771</v>
          </cell>
          <cell r="B756">
            <v>6.11</v>
          </cell>
        </row>
        <row r="757">
          <cell r="A757">
            <v>39772</v>
          </cell>
          <cell r="B757">
            <v>6.1</v>
          </cell>
        </row>
        <row r="758">
          <cell r="A758">
            <v>39773</v>
          </cell>
          <cell r="B758">
            <v>6.28</v>
          </cell>
        </row>
        <row r="759">
          <cell r="A759">
            <v>39776</v>
          </cell>
          <cell r="B759">
            <v>6.21</v>
          </cell>
        </row>
        <row r="760">
          <cell r="A760">
            <v>39777</v>
          </cell>
          <cell r="B760">
            <v>6.05</v>
          </cell>
        </row>
        <row r="761">
          <cell r="A761">
            <v>39778</v>
          </cell>
          <cell r="B761">
            <v>5.96</v>
          </cell>
        </row>
        <row r="762">
          <cell r="A762">
            <v>39779</v>
          </cell>
          <cell r="B762">
            <v>5.96</v>
          </cell>
        </row>
        <row r="763">
          <cell r="A763">
            <v>39780</v>
          </cell>
          <cell r="B763">
            <v>5.95</v>
          </cell>
        </row>
        <row r="764">
          <cell r="A764">
            <v>39782</v>
          </cell>
          <cell r="B764">
            <v>5.94</v>
          </cell>
        </row>
        <row r="765">
          <cell r="A765">
            <v>39783</v>
          </cell>
          <cell r="B765">
            <v>5.78</v>
          </cell>
        </row>
        <row r="766">
          <cell r="A766">
            <v>39784</v>
          </cell>
          <cell r="B766">
            <v>5.76</v>
          </cell>
        </row>
        <row r="767">
          <cell r="A767">
            <v>39785</v>
          </cell>
          <cell r="B767">
            <v>5.72</v>
          </cell>
        </row>
        <row r="768">
          <cell r="A768">
            <v>39786</v>
          </cell>
          <cell r="B768">
            <v>5.64</v>
          </cell>
        </row>
        <row r="769">
          <cell r="A769">
            <v>39787</v>
          </cell>
          <cell r="B769">
            <v>5.73</v>
          </cell>
        </row>
        <row r="770">
          <cell r="A770">
            <v>39790</v>
          </cell>
          <cell r="B770">
            <v>5.78</v>
          </cell>
        </row>
        <row r="771">
          <cell r="A771">
            <v>39791</v>
          </cell>
          <cell r="B771">
            <v>5.66</v>
          </cell>
        </row>
        <row r="772">
          <cell r="A772">
            <v>39792</v>
          </cell>
          <cell r="B772">
            <v>5.65</v>
          </cell>
        </row>
        <row r="773">
          <cell r="A773">
            <v>39793</v>
          </cell>
          <cell r="B773">
            <v>5.56</v>
          </cell>
        </row>
        <row r="774">
          <cell r="A774">
            <v>39794</v>
          </cell>
          <cell r="B774">
            <v>5.52</v>
          </cell>
        </row>
        <row r="775">
          <cell r="A775">
            <v>39797</v>
          </cell>
          <cell r="B775">
            <v>5.49</v>
          </cell>
        </row>
        <row r="776">
          <cell r="A776">
            <v>39798</v>
          </cell>
          <cell r="B776">
            <v>5.34</v>
          </cell>
        </row>
        <row r="777">
          <cell r="A777">
            <v>39799</v>
          </cell>
          <cell r="B777">
            <v>5.22</v>
          </cell>
        </row>
        <row r="778">
          <cell r="A778">
            <v>39800</v>
          </cell>
          <cell r="B778">
            <v>5.04</v>
          </cell>
        </row>
        <row r="779">
          <cell r="A779">
            <v>39801</v>
          </cell>
          <cell r="B779">
            <v>5.0599999999999996</v>
          </cell>
        </row>
        <row r="780">
          <cell r="A780">
            <v>39804</v>
          </cell>
          <cell r="B780">
            <v>5.05</v>
          </cell>
        </row>
        <row r="781">
          <cell r="A781">
            <v>39805</v>
          </cell>
          <cell r="B781">
            <v>5.07</v>
          </cell>
        </row>
        <row r="782">
          <cell r="A782">
            <v>39806</v>
          </cell>
          <cell r="B782">
            <v>5.07</v>
          </cell>
        </row>
        <row r="783">
          <cell r="A783">
            <v>39808</v>
          </cell>
          <cell r="B783">
            <v>5.04</v>
          </cell>
        </row>
        <row r="784">
          <cell r="A784">
            <v>39811</v>
          </cell>
          <cell r="B784">
            <v>4.9400000000000004</v>
          </cell>
        </row>
        <row r="785">
          <cell r="A785">
            <v>39812</v>
          </cell>
          <cell r="B785">
            <v>4.92</v>
          </cell>
        </row>
        <row r="786">
          <cell r="A786">
            <v>39813</v>
          </cell>
          <cell r="B786">
            <v>5.07</v>
          </cell>
        </row>
        <row r="787">
          <cell r="A787">
            <v>39815</v>
          </cell>
          <cell r="B787">
            <v>5.22</v>
          </cell>
        </row>
        <row r="788">
          <cell r="A788">
            <v>39818</v>
          </cell>
          <cell r="B788">
            <v>5.19</v>
          </cell>
        </row>
        <row r="789">
          <cell r="A789">
            <v>39819</v>
          </cell>
          <cell r="B789">
            <v>5.32</v>
          </cell>
        </row>
        <row r="790">
          <cell r="A790">
            <v>39820</v>
          </cell>
          <cell r="B790">
            <v>5.29</v>
          </cell>
        </row>
        <row r="791">
          <cell r="A791">
            <v>39821</v>
          </cell>
          <cell r="B791">
            <v>5.28</v>
          </cell>
        </row>
        <row r="792">
          <cell r="A792">
            <v>39822</v>
          </cell>
          <cell r="B792">
            <v>5.23</v>
          </cell>
        </row>
        <row r="793">
          <cell r="A793">
            <v>39825</v>
          </cell>
          <cell r="B793">
            <v>5.18</v>
          </cell>
        </row>
        <row r="794">
          <cell r="A794">
            <v>39826</v>
          </cell>
          <cell r="B794">
            <v>5.12</v>
          </cell>
        </row>
        <row r="795">
          <cell r="A795">
            <v>39827</v>
          </cell>
          <cell r="B795">
            <v>5.14</v>
          </cell>
        </row>
        <row r="796">
          <cell r="A796">
            <v>39828</v>
          </cell>
          <cell r="B796">
            <v>5.2</v>
          </cell>
        </row>
        <row r="797">
          <cell r="A797">
            <v>39829</v>
          </cell>
          <cell r="B797">
            <v>5.18</v>
          </cell>
        </row>
        <row r="798">
          <cell r="A798">
            <v>39832</v>
          </cell>
          <cell r="B798">
            <v>5.18</v>
          </cell>
        </row>
        <row r="799">
          <cell r="A799">
            <v>39833</v>
          </cell>
          <cell r="B799">
            <v>5.25</v>
          </cell>
        </row>
        <row r="800">
          <cell r="A800">
            <v>39834</v>
          </cell>
          <cell r="B800">
            <v>5.39</v>
          </cell>
        </row>
        <row r="801">
          <cell r="A801">
            <v>39835</v>
          </cell>
          <cell r="B801">
            <v>5.39</v>
          </cell>
        </row>
        <row r="802">
          <cell r="A802">
            <v>39836</v>
          </cell>
          <cell r="B802">
            <v>5.45</v>
          </cell>
        </row>
        <row r="803">
          <cell r="A803">
            <v>39839</v>
          </cell>
          <cell r="B803">
            <v>5.45</v>
          </cell>
        </row>
        <row r="804">
          <cell r="A804">
            <v>39840</v>
          </cell>
          <cell r="B804">
            <v>5.34</v>
          </cell>
        </row>
        <row r="805">
          <cell r="A805">
            <v>39841</v>
          </cell>
          <cell r="B805">
            <v>5.39</v>
          </cell>
        </row>
        <row r="806">
          <cell r="A806">
            <v>39842</v>
          </cell>
          <cell r="B806">
            <v>5.5</v>
          </cell>
        </row>
        <row r="807">
          <cell r="A807">
            <v>39843</v>
          </cell>
          <cell r="B807">
            <v>5.49</v>
          </cell>
        </row>
        <row r="808">
          <cell r="A808">
            <v>39844</v>
          </cell>
          <cell r="B808">
            <v>5.66</v>
          </cell>
        </row>
        <row r="809">
          <cell r="A809">
            <v>39846</v>
          </cell>
          <cell r="B809">
            <v>5.59</v>
          </cell>
        </row>
        <row r="810">
          <cell r="A810">
            <v>39847</v>
          </cell>
          <cell r="B810">
            <v>5.71</v>
          </cell>
        </row>
        <row r="811">
          <cell r="A811">
            <v>39848</v>
          </cell>
          <cell r="B811">
            <v>5.76</v>
          </cell>
        </row>
        <row r="812">
          <cell r="A812">
            <v>39849</v>
          </cell>
          <cell r="B812">
            <v>5.72</v>
          </cell>
        </row>
        <row r="813">
          <cell r="A813">
            <v>39850</v>
          </cell>
          <cell r="B813">
            <v>5.76</v>
          </cell>
        </row>
        <row r="814">
          <cell r="A814">
            <v>39853</v>
          </cell>
          <cell r="B814">
            <v>5.79</v>
          </cell>
        </row>
        <row r="815">
          <cell r="A815">
            <v>39854</v>
          </cell>
          <cell r="B815">
            <v>5.6</v>
          </cell>
        </row>
        <row r="816">
          <cell r="A816">
            <v>39855</v>
          </cell>
          <cell r="B816">
            <v>5.5</v>
          </cell>
        </row>
        <row r="817">
          <cell r="A817">
            <v>39856</v>
          </cell>
          <cell r="B817">
            <v>5.47</v>
          </cell>
        </row>
        <row r="818">
          <cell r="A818">
            <v>39857</v>
          </cell>
          <cell r="B818">
            <v>5.59</v>
          </cell>
        </row>
        <row r="819">
          <cell r="A819">
            <v>39860</v>
          </cell>
          <cell r="B819">
            <v>5.58</v>
          </cell>
        </row>
        <row r="820">
          <cell r="A820">
            <v>39861</v>
          </cell>
          <cell r="B820">
            <v>5.42</v>
          </cell>
        </row>
        <row r="821">
          <cell r="A821">
            <v>39862</v>
          </cell>
          <cell r="B821">
            <v>5.56</v>
          </cell>
        </row>
        <row r="822">
          <cell r="A822">
            <v>39863</v>
          </cell>
          <cell r="B822">
            <v>5.68</v>
          </cell>
        </row>
        <row r="823">
          <cell r="A823">
            <v>39864</v>
          </cell>
          <cell r="B823">
            <v>5.66</v>
          </cell>
        </row>
        <row r="824">
          <cell r="A824">
            <v>39867</v>
          </cell>
          <cell r="B824">
            <v>5.68</v>
          </cell>
        </row>
        <row r="825">
          <cell r="A825">
            <v>39868</v>
          </cell>
          <cell r="B825">
            <v>5.83</v>
          </cell>
        </row>
        <row r="826">
          <cell r="A826">
            <v>39869</v>
          </cell>
          <cell r="B826">
            <v>6.04</v>
          </cell>
        </row>
        <row r="827">
          <cell r="A827">
            <v>39870</v>
          </cell>
          <cell r="B827">
            <v>6.05</v>
          </cell>
        </row>
        <row r="828">
          <cell r="A828">
            <v>39871</v>
          </cell>
          <cell r="B828">
            <v>6.1</v>
          </cell>
        </row>
        <row r="829">
          <cell r="A829">
            <v>39872</v>
          </cell>
          <cell r="B829">
            <v>6.11</v>
          </cell>
        </row>
        <row r="830">
          <cell r="A830">
            <v>39874</v>
          </cell>
          <cell r="B830">
            <v>6.13</v>
          </cell>
        </row>
        <row r="831">
          <cell r="A831">
            <v>39875</v>
          </cell>
          <cell r="B831">
            <v>6.52</v>
          </cell>
        </row>
        <row r="832">
          <cell r="A832">
            <v>39876</v>
          </cell>
          <cell r="B832">
            <v>8.1300000000000008</v>
          </cell>
        </row>
        <row r="833">
          <cell r="A833">
            <v>39877</v>
          </cell>
          <cell r="B833">
            <v>8.14</v>
          </cell>
        </row>
        <row r="834">
          <cell r="A834">
            <v>39878</v>
          </cell>
          <cell r="B834">
            <v>8.16</v>
          </cell>
        </row>
        <row r="835">
          <cell r="A835">
            <v>39881</v>
          </cell>
          <cell r="B835">
            <v>8.25</v>
          </cell>
        </row>
        <row r="836">
          <cell r="A836">
            <v>39882</v>
          </cell>
          <cell r="B836">
            <v>8.1</v>
          </cell>
        </row>
        <row r="837">
          <cell r="A837">
            <v>39883</v>
          </cell>
          <cell r="B837">
            <v>8.0399999999999991</v>
          </cell>
        </row>
        <row r="838">
          <cell r="A838">
            <v>39884</v>
          </cell>
          <cell r="B838">
            <v>7.55</v>
          </cell>
        </row>
        <row r="839">
          <cell r="A839">
            <v>39885</v>
          </cell>
          <cell r="B839">
            <v>7.41</v>
          </cell>
        </row>
        <row r="840">
          <cell r="A840">
            <v>39888</v>
          </cell>
          <cell r="B840">
            <v>6.95</v>
          </cell>
        </row>
        <row r="841">
          <cell r="A841">
            <v>39889</v>
          </cell>
          <cell r="B841">
            <v>6.82</v>
          </cell>
        </row>
        <row r="842">
          <cell r="A842">
            <v>39890</v>
          </cell>
          <cell r="B842">
            <v>6.36</v>
          </cell>
        </row>
        <row r="843">
          <cell r="A843">
            <v>39891</v>
          </cell>
          <cell r="B843">
            <v>6.37</v>
          </cell>
        </row>
        <row r="844">
          <cell r="A844">
            <v>39892</v>
          </cell>
          <cell r="B844">
            <v>6.35</v>
          </cell>
        </row>
        <row r="845">
          <cell r="A845">
            <v>39895</v>
          </cell>
          <cell r="B845">
            <v>6.34</v>
          </cell>
        </row>
        <row r="846">
          <cell r="A846">
            <v>39896</v>
          </cell>
          <cell r="B846">
            <v>6.27</v>
          </cell>
        </row>
        <row r="847">
          <cell r="A847">
            <v>39897</v>
          </cell>
          <cell r="B847">
            <v>6.32</v>
          </cell>
        </row>
        <row r="848">
          <cell r="A848">
            <v>39898</v>
          </cell>
          <cell r="B848">
            <v>6.24</v>
          </cell>
        </row>
        <row r="849">
          <cell r="A849">
            <v>39899</v>
          </cell>
          <cell r="B849">
            <v>6.24</v>
          </cell>
        </row>
        <row r="850">
          <cell r="A850">
            <v>39902</v>
          </cell>
          <cell r="B850">
            <v>6.22</v>
          </cell>
        </row>
        <row r="851">
          <cell r="A851">
            <v>39903</v>
          </cell>
          <cell r="B851">
            <v>4.72</v>
          </cell>
        </row>
        <row r="852">
          <cell r="A852">
            <v>39904</v>
          </cell>
          <cell r="B852">
            <v>4.68</v>
          </cell>
        </row>
        <row r="853">
          <cell r="A853">
            <v>39905</v>
          </cell>
          <cell r="B853">
            <v>4.7699999999999996</v>
          </cell>
        </row>
        <row r="854">
          <cell r="A854">
            <v>39906</v>
          </cell>
          <cell r="B854">
            <v>4.91</v>
          </cell>
        </row>
        <row r="855">
          <cell r="A855">
            <v>39909</v>
          </cell>
          <cell r="B855">
            <v>4.93</v>
          </cell>
        </row>
        <row r="856">
          <cell r="A856">
            <v>39910</v>
          </cell>
          <cell r="B856">
            <v>4.91</v>
          </cell>
        </row>
        <row r="857">
          <cell r="A857">
            <v>39911</v>
          </cell>
          <cell r="B857">
            <v>4.8499999999999996</v>
          </cell>
        </row>
        <row r="858">
          <cell r="A858">
            <v>39912</v>
          </cell>
          <cell r="B858">
            <v>4.8899999999999997</v>
          </cell>
        </row>
        <row r="859">
          <cell r="A859">
            <v>39916</v>
          </cell>
          <cell r="B859">
            <v>4.8</v>
          </cell>
        </row>
        <row r="860">
          <cell r="A860">
            <v>39917</v>
          </cell>
          <cell r="B860">
            <v>4.72</v>
          </cell>
        </row>
        <row r="861">
          <cell r="A861">
            <v>39918</v>
          </cell>
          <cell r="B861">
            <v>4.7</v>
          </cell>
        </row>
        <row r="862">
          <cell r="A862">
            <v>39919</v>
          </cell>
          <cell r="B862">
            <v>4.76</v>
          </cell>
        </row>
        <row r="863">
          <cell r="A863">
            <v>39920</v>
          </cell>
          <cell r="B863">
            <v>4.82</v>
          </cell>
        </row>
        <row r="864">
          <cell r="A864">
            <v>39923</v>
          </cell>
          <cell r="B864">
            <v>4.7300000000000004</v>
          </cell>
        </row>
        <row r="865">
          <cell r="A865">
            <v>39924</v>
          </cell>
          <cell r="B865">
            <v>4.71</v>
          </cell>
        </row>
        <row r="866">
          <cell r="A866">
            <v>39925</v>
          </cell>
          <cell r="B866">
            <v>4.75</v>
          </cell>
        </row>
        <row r="867">
          <cell r="A867">
            <v>39926</v>
          </cell>
          <cell r="B867">
            <v>4.72</v>
          </cell>
        </row>
        <row r="868">
          <cell r="A868">
            <v>39927</v>
          </cell>
          <cell r="B868">
            <v>4.7300000000000004</v>
          </cell>
        </row>
        <row r="869">
          <cell r="A869">
            <v>39930</v>
          </cell>
          <cell r="B869">
            <v>4.67</v>
          </cell>
        </row>
        <row r="870">
          <cell r="A870">
            <v>39931</v>
          </cell>
          <cell r="B870">
            <v>4.7300000000000004</v>
          </cell>
        </row>
        <row r="871">
          <cell r="A871">
            <v>39932</v>
          </cell>
          <cell r="B871">
            <v>4.7699999999999996</v>
          </cell>
        </row>
        <row r="872">
          <cell r="A872">
            <v>39933</v>
          </cell>
          <cell r="B872">
            <v>4.75</v>
          </cell>
        </row>
        <row r="873">
          <cell r="A873">
            <v>39934</v>
          </cell>
          <cell r="B873">
            <v>4.76</v>
          </cell>
        </row>
        <row r="874">
          <cell r="A874">
            <v>39937</v>
          </cell>
          <cell r="B874">
            <v>4.7699999999999996</v>
          </cell>
        </row>
        <row r="875">
          <cell r="A875">
            <v>39938</v>
          </cell>
          <cell r="B875">
            <v>4.7699999999999996</v>
          </cell>
        </row>
        <row r="876">
          <cell r="A876">
            <v>39939</v>
          </cell>
          <cell r="B876">
            <v>4.7699999999999996</v>
          </cell>
        </row>
        <row r="877">
          <cell r="A877">
            <v>39940</v>
          </cell>
          <cell r="B877">
            <v>4.88</v>
          </cell>
        </row>
        <row r="878">
          <cell r="A878">
            <v>39941</v>
          </cell>
          <cell r="B878">
            <v>4.87</v>
          </cell>
        </row>
        <row r="879">
          <cell r="A879">
            <v>39944</v>
          </cell>
          <cell r="B879">
            <v>4.7699999999999996</v>
          </cell>
        </row>
        <row r="880">
          <cell r="A880">
            <v>39945</v>
          </cell>
          <cell r="B880">
            <v>4.7300000000000004</v>
          </cell>
        </row>
        <row r="881">
          <cell r="A881">
            <v>39946</v>
          </cell>
          <cell r="B881">
            <v>4.66</v>
          </cell>
        </row>
        <row r="882">
          <cell r="A882">
            <v>39947</v>
          </cell>
          <cell r="B882">
            <v>4.6500000000000004</v>
          </cell>
        </row>
        <row r="883">
          <cell r="A883">
            <v>39948</v>
          </cell>
          <cell r="B883">
            <v>4.67</v>
          </cell>
        </row>
        <row r="884">
          <cell r="A884">
            <v>39951</v>
          </cell>
          <cell r="B884">
            <v>4.75</v>
          </cell>
        </row>
        <row r="885">
          <cell r="A885">
            <v>39952</v>
          </cell>
          <cell r="B885">
            <v>4.6500000000000004</v>
          </cell>
        </row>
        <row r="886">
          <cell r="A886">
            <v>39953</v>
          </cell>
          <cell r="B886">
            <v>4.59</v>
          </cell>
        </row>
        <row r="887">
          <cell r="A887">
            <v>39954</v>
          </cell>
          <cell r="B887">
            <v>4.67</v>
          </cell>
        </row>
        <row r="888">
          <cell r="A888">
            <v>39955</v>
          </cell>
          <cell r="B888">
            <v>4.6399999999999997</v>
          </cell>
        </row>
        <row r="889">
          <cell r="A889">
            <v>39958</v>
          </cell>
          <cell r="B889">
            <v>4.6399999999999997</v>
          </cell>
        </row>
        <row r="890">
          <cell r="A890">
            <v>39959</v>
          </cell>
          <cell r="B890">
            <v>4.68</v>
          </cell>
        </row>
        <row r="891">
          <cell r="A891">
            <v>39960</v>
          </cell>
          <cell r="B891">
            <v>4.8</v>
          </cell>
        </row>
        <row r="892">
          <cell r="A892">
            <v>39961</v>
          </cell>
          <cell r="B892">
            <v>4.8</v>
          </cell>
        </row>
        <row r="893">
          <cell r="A893">
            <v>39962</v>
          </cell>
          <cell r="B893">
            <v>4.5599999999999996</v>
          </cell>
        </row>
        <row r="894">
          <cell r="A894">
            <v>39964</v>
          </cell>
          <cell r="B894">
            <v>4.4000000000000004</v>
          </cell>
        </row>
        <row r="895">
          <cell r="A895">
            <v>39965</v>
          </cell>
          <cell r="B895">
            <v>4.5999999999999996</v>
          </cell>
        </row>
        <row r="896">
          <cell r="A896">
            <v>39966</v>
          </cell>
          <cell r="B896">
            <v>4.5199999999999996</v>
          </cell>
        </row>
        <row r="897">
          <cell r="A897">
            <v>39967</v>
          </cell>
          <cell r="B897">
            <v>4.46</v>
          </cell>
        </row>
        <row r="898">
          <cell r="A898">
            <v>39968</v>
          </cell>
          <cell r="B898">
            <v>4.58</v>
          </cell>
        </row>
        <row r="899">
          <cell r="A899">
            <v>39969</v>
          </cell>
          <cell r="B899">
            <v>4.78</v>
          </cell>
        </row>
        <row r="900">
          <cell r="A900">
            <v>39972</v>
          </cell>
          <cell r="B900">
            <v>4.8</v>
          </cell>
        </row>
        <row r="901">
          <cell r="A901">
            <v>39973</v>
          </cell>
          <cell r="B901">
            <v>4.75</v>
          </cell>
        </row>
        <row r="902">
          <cell r="A902">
            <v>39974</v>
          </cell>
          <cell r="B902">
            <v>4.7699999999999996</v>
          </cell>
        </row>
        <row r="903">
          <cell r="A903">
            <v>39975</v>
          </cell>
          <cell r="B903">
            <v>4.71</v>
          </cell>
        </row>
        <row r="904">
          <cell r="A904">
            <v>39976</v>
          </cell>
          <cell r="B904">
            <v>4.6399999999999997</v>
          </cell>
        </row>
        <row r="905">
          <cell r="A905">
            <v>39979</v>
          </cell>
          <cell r="B905">
            <v>4.5599999999999996</v>
          </cell>
        </row>
        <row r="906">
          <cell r="A906">
            <v>39980</v>
          </cell>
          <cell r="B906">
            <v>4.5199999999999996</v>
          </cell>
        </row>
        <row r="907">
          <cell r="A907">
            <v>39981</v>
          </cell>
          <cell r="B907">
            <v>4.5199999999999996</v>
          </cell>
        </row>
        <row r="908">
          <cell r="A908">
            <v>39982</v>
          </cell>
          <cell r="B908">
            <v>4.68</v>
          </cell>
        </row>
        <row r="909">
          <cell r="A909">
            <v>39983</v>
          </cell>
          <cell r="B909">
            <v>4.5</v>
          </cell>
        </row>
        <row r="910">
          <cell r="A910">
            <v>39986</v>
          </cell>
          <cell r="B910">
            <v>4.41</v>
          </cell>
        </row>
        <row r="911">
          <cell r="A911">
            <v>39987</v>
          </cell>
          <cell r="B911">
            <v>4.38</v>
          </cell>
        </row>
        <row r="912">
          <cell r="A912">
            <v>39988</v>
          </cell>
          <cell r="B912">
            <v>4.3899999999999997</v>
          </cell>
        </row>
        <row r="913">
          <cell r="A913">
            <v>39989</v>
          </cell>
          <cell r="B913">
            <v>4.29</v>
          </cell>
        </row>
        <row r="914">
          <cell r="A914">
            <v>39990</v>
          </cell>
          <cell r="B914">
            <v>4.22</v>
          </cell>
        </row>
        <row r="915">
          <cell r="A915">
            <v>39993</v>
          </cell>
          <cell r="B915">
            <v>4.21</v>
          </cell>
        </row>
        <row r="916">
          <cell r="A916">
            <v>39994</v>
          </cell>
          <cell r="B916">
            <v>3.96</v>
          </cell>
        </row>
        <row r="917">
          <cell r="A917">
            <v>39995</v>
          </cell>
          <cell r="B917">
            <v>3.9</v>
          </cell>
        </row>
        <row r="918">
          <cell r="A918">
            <v>39996</v>
          </cell>
          <cell r="B918">
            <v>3.69</v>
          </cell>
        </row>
        <row r="919">
          <cell r="A919">
            <v>39997</v>
          </cell>
          <cell r="B919">
            <v>3.69</v>
          </cell>
        </row>
        <row r="920">
          <cell r="A920">
            <v>40000</v>
          </cell>
          <cell r="B920">
            <v>4.1399999999999997</v>
          </cell>
        </row>
        <row r="921">
          <cell r="A921">
            <v>40001</v>
          </cell>
          <cell r="B921">
            <v>4.0599999999999996</v>
          </cell>
        </row>
        <row r="922">
          <cell r="A922">
            <v>40002</v>
          </cell>
          <cell r="B922">
            <v>3.92</v>
          </cell>
        </row>
        <row r="923">
          <cell r="A923">
            <v>40003</v>
          </cell>
          <cell r="B923">
            <v>4.01</v>
          </cell>
        </row>
        <row r="924">
          <cell r="A924">
            <v>40004</v>
          </cell>
          <cell r="B924">
            <v>3.91</v>
          </cell>
        </row>
        <row r="925">
          <cell r="A925">
            <v>40007</v>
          </cell>
          <cell r="B925">
            <v>3.93</v>
          </cell>
        </row>
        <row r="926">
          <cell r="A926">
            <v>40008</v>
          </cell>
          <cell r="B926">
            <v>4</v>
          </cell>
        </row>
        <row r="927">
          <cell r="A927">
            <v>40009</v>
          </cell>
          <cell r="B927">
            <v>4.1399999999999997</v>
          </cell>
        </row>
        <row r="928">
          <cell r="A928">
            <v>40010</v>
          </cell>
          <cell r="B928">
            <v>4.1100000000000003</v>
          </cell>
        </row>
        <row r="929">
          <cell r="A929">
            <v>40011</v>
          </cell>
          <cell r="B929">
            <v>4.17</v>
          </cell>
        </row>
        <row r="930">
          <cell r="A930">
            <v>40014</v>
          </cell>
          <cell r="B930">
            <v>4.09</v>
          </cell>
        </row>
        <row r="931">
          <cell r="A931">
            <v>40015</v>
          </cell>
          <cell r="B931">
            <v>3.98</v>
          </cell>
        </row>
        <row r="932">
          <cell r="A932">
            <v>40016</v>
          </cell>
          <cell r="B932">
            <v>4.04</v>
          </cell>
        </row>
        <row r="933">
          <cell r="A933">
            <v>40017</v>
          </cell>
          <cell r="B933">
            <v>4.18</v>
          </cell>
        </row>
        <row r="934">
          <cell r="A934">
            <v>40018</v>
          </cell>
          <cell r="B934">
            <v>4.1399999999999997</v>
          </cell>
        </row>
        <row r="935">
          <cell r="A935">
            <v>40021</v>
          </cell>
          <cell r="B935">
            <v>4.18</v>
          </cell>
        </row>
        <row r="936">
          <cell r="A936">
            <v>40022</v>
          </cell>
          <cell r="B936">
            <v>4.17</v>
          </cell>
        </row>
        <row r="937">
          <cell r="A937">
            <v>40023</v>
          </cell>
          <cell r="B937">
            <v>4.16</v>
          </cell>
        </row>
        <row r="938">
          <cell r="A938">
            <v>40024</v>
          </cell>
          <cell r="B938">
            <v>4.12</v>
          </cell>
        </row>
        <row r="939">
          <cell r="A939">
            <v>40025</v>
          </cell>
          <cell r="B939">
            <v>3.99</v>
          </cell>
        </row>
        <row r="940">
          <cell r="A940">
            <v>40028</v>
          </cell>
          <cell r="B940">
            <v>4.12</v>
          </cell>
        </row>
        <row r="941">
          <cell r="A941">
            <v>40029</v>
          </cell>
          <cell r="B941">
            <v>4.1399999999999997</v>
          </cell>
        </row>
        <row r="942">
          <cell r="A942">
            <v>40030</v>
          </cell>
          <cell r="B942">
            <v>4.16</v>
          </cell>
        </row>
        <row r="943">
          <cell r="A943">
            <v>40031</v>
          </cell>
          <cell r="B943">
            <v>4.1399999999999997</v>
          </cell>
        </row>
        <row r="944">
          <cell r="A944">
            <v>40032</v>
          </cell>
          <cell r="B944">
            <v>4.25</v>
          </cell>
        </row>
        <row r="945">
          <cell r="A945">
            <v>40035</v>
          </cell>
          <cell r="B945">
            <v>4.1399999999999997</v>
          </cell>
        </row>
        <row r="946">
          <cell r="A946">
            <v>40036</v>
          </cell>
          <cell r="B946">
            <v>4.09</v>
          </cell>
        </row>
        <row r="947">
          <cell r="A947">
            <v>40037</v>
          </cell>
          <cell r="B947">
            <v>4.05</v>
          </cell>
        </row>
        <row r="948">
          <cell r="A948">
            <v>40038</v>
          </cell>
          <cell r="B948">
            <v>3.94</v>
          </cell>
        </row>
        <row r="949">
          <cell r="A949">
            <v>40039</v>
          </cell>
          <cell r="B949">
            <v>3.89</v>
          </cell>
        </row>
        <row r="950">
          <cell r="A950">
            <v>40042</v>
          </cell>
          <cell r="B950">
            <v>3.8</v>
          </cell>
        </row>
        <row r="951">
          <cell r="A951">
            <v>40043</v>
          </cell>
          <cell r="B951">
            <v>3.85</v>
          </cell>
        </row>
        <row r="952">
          <cell r="A952">
            <v>40044</v>
          </cell>
          <cell r="B952">
            <v>3.8</v>
          </cell>
        </row>
        <row r="953">
          <cell r="A953">
            <v>40045</v>
          </cell>
          <cell r="B953">
            <v>3.81</v>
          </cell>
        </row>
        <row r="954">
          <cell r="A954">
            <v>40046</v>
          </cell>
          <cell r="B954">
            <v>3.93</v>
          </cell>
        </row>
        <row r="955">
          <cell r="A955">
            <v>40049</v>
          </cell>
          <cell r="B955">
            <v>3.84</v>
          </cell>
        </row>
        <row r="956">
          <cell r="A956">
            <v>40050</v>
          </cell>
          <cell r="B956">
            <v>3.81</v>
          </cell>
        </row>
        <row r="957">
          <cell r="A957">
            <v>40051</v>
          </cell>
          <cell r="B957">
            <v>3.8</v>
          </cell>
        </row>
        <row r="958">
          <cell r="A958">
            <v>40052</v>
          </cell>
          <cell r="B958">
            <v>3.81</v>
          </cell>
        </row>
        <row r="959">
          <cell r="A959">
            <v>40053</v>
          </cell>
          <cell r="B959">
            <v>3.78</v>
          </cell>
        </row>
        <row r="960">
          <cell r="A960">
            <v>40056</v>
          </cell>
          <cell r="B960">
            <v>3.68</v>
          </cell>
        </row>
        <row r="961">
          <cell r="A961">
            <v>40057</v>
          </cell>
          <cell r="B961">
            <v>3.67</v>
          </cell>
        </row>
        <row r="962">
          <cell r="A962">
            <v>40058</v>
          </cell>
          <cell r="B962">
            <v>3.56</v>
          </cell>
        </row>
        <row r="963">
          <cell r="A963">
            <v>40059</v>
          </cell>
          <cell r="B963">
            <v>3.6</v>
          </cell>
        </row>
        <row r="964">
          <cell r="A964">
            <v>40060</v>
          </cell>
          <cell r="B964">
            <v>3.71</v>
          </cell>
        </row>
        <row r="965">
          <cell r="A965">
            <v>40063</v>
          </cell>
          <cell r="B965">
            <v>3.71</v>
          </cell>
        </row>
        <row r="966">
          <cell r="A966">
            <v>40064</v>
          </cell>
          <cell r="B966">
            <v>3.73</v>
          </cell>
        </row>
        <row r="967">
          <cell r="A967">
            <v>40065</v>
          </cell>
          <cell r="B967">
            <v>3.75</v>
          </cell>
        </row>
        <row r="968">
          <cell r="A968">
            <v>40066</v>
          </cell>
          <cell r="B968">
            <v>3.64</v>
          </cell>
        </row>
        <row r="969">
          <cell r="A969">
            <v>40067</v>
          </cell>
          <cell r="B969">
            <v>3.62</v>
          </cell>
        </row>
        <row r="970">
          <cell r="A970">
            <v>40070</v>
          </cell>
          <cell r="B970">
            <v>3.68</v>
          </cell>
        </row>
        <row r="971">
          <cell r="A971">
            <v>40071</v>
          </cell>
          <cell r="B971">
            <v>3.68</v>
          </cell>
        </row>
        <row r="972">
          <cell r="A972">
            <v>40072</v>
          </cell>
          <cell r="B972">
            <v>3.7</v>
          </cell>
        </row>
        <row r="973">
          <cell r="A973">
            <v>40073</v>
          </cell>
          <cell r="B973">
            <v>3.63</v>
          </cell>
        </row>
        <row r="974">
          <cell r="A974">
            <v>40074</v>
          </cell>
          <cell r="B974">
            <v>3.7</v>
          </cell>
        </row>
        <row r="975">
          <cell r="A975">
            <v>40077</v>
          </cell>
          <cell r="B975">
            <v>3.7</v>
          </cell>
        </row>
        <row r="976">
          <cell r="A976">
            <v>40078</v>
          </cell>
          <cell r="B976">
            <v>3.67</v>
          </cell>
        </row>
        <row r="977">
          <cell r="A977">
            <v>40079</v>
          </cell>
          <cell r="B977">
            <v>3.64</v>
          </cell>
        </row>
        <row r="978">
          <cell r="A978">
            <v>40080</v>
          </cell>
          <cell r="B978">
            <v>3.57</v>
          </cell>
        </row>
        <row r="979">
          <cell r="A979">
            <v>40081</v>
          </cell>
          <cell r="B979">
            <v>3.55</v>
          </cell>
        </row>
        <row r="980">
          <cell r="A980">
            <v>40084</v>
          </cell>
          <cell r="B980">
            <v>3.53</v>
          </cell>
        </row>
        <row r="981">
          <cell r="A981">
            <v>40085</v>
          </cell>
          <cell r="B981">
            <v>3.52</v>
          </cell>
        </row>
        <row r="982">
          <cell r="A982">
            <v>40086</v>
          </cell>
          <cell r="B982">
            <v>3.52</v>
          </cell>
        </row>
        <row r="983">
          <cell r="A983">
            <v>40087</v>
          </cell>
          <cell r="B983">
            <v>3.42</v>
          </cell>
        </row>
        <row r="984">
          <cell r="A984">
            <v>40088</v>
          </cell>
          <cell r="B984">
            <v>3.46</v>
          </cell>
        </row>
        <row r="985">
          <cell r="A985">
            <v>40091</v>
          </cell>
          <cell r="B985">
            <v>3.46</v>
          </cell>
        </row>
        <row r="986">
          <cell r="A986">
            <v>40092</v>
          </cell>
          <cell r="B986">
            <v>3.47</v>
          </cell>
        </row>
        <row r="987">
          <cell r="A987">
            <v>40093</v>
          </cell>
          <cell r="B987">
            <v>3.41</v>
          </cell>
        </row>
        <row r="988">
          <cell r="A988">
            <v>40094</v>
          </cell>
          <cell r="B988">
            <v>3.47</v>
          </cell>
        </row>
        <row r="989">
          <cell r="A989">
            <v>40095</v>
          </cell>
          <cell r="B989">
            <v>3.6</v>
          </cell>
        </row>
        <row r="990">
          <cell r="A990">
            <v>40098</v>
          </cell>
          <cell r="B990">
            <v>3.6</v>
          </cell>
        </row>
        <row r="991">
          <cell r="A991">
            <v>40099</v>
          </cell>
          <cell r="B991">
            <v>3.51</v>
          </cell>
        </row>
        <row r="992">
          <cell r="A992">
            <v>40100</v>
          </cell>
          <cell r="B992">
            <v>3.62</v>
          </cell>
        </row>
        <row r="993">
          <cell r="A993">
            <v>40101</v>
          </cell>
          <cell r="B993">
            <v>3.66</v>
          </cell>
        </row>
        <row r="994">
          <cell r="A994">
            <v>40102</v>
          </cell>
          <cell r="B994">
            <v>3.63</v>
          </cell>
        </row>
        <row r="995">
          <cell r="A995">
            <v>40105</v>
          </cell>
          <cell r="B995">
            <v>3.61</v>
          </cell>
        </row>
        <row r="996">
          <cell r="A996">
            <v>40106</v>
          </cell>
          <cell r="B996">
            <v>3.53</v>
          </cell>
        </row>
        <row r="997">
          <cell r="A997">
            <v>40107</v>
          </cell>
          <cell r="B997">
            <v>3.61</v>
          </cell>
        </row>
        <row r="998">
          <cell r="A998">
            <v>40108</v>
          </cell>
          <cell r="B998">
            <v>3.6</v>
          </cell>
        </row>
        <row r="999">
          <cell r="A999">
            <v>40109</v>
          </cell>
          <cell r="B999">
            <v>3.66</v>
          </cell>
        </row>
        <row r="1000">
          <cell r="A1000">
            <v>40112</v>
          </cell>
          <cell r="B1000">
            <v>3.7</v>
          </cell>
        </row>
        <row r="1001">
          <cell r="A1001">
            <v>40113</v>
          </cell>
          <cell r="B1001">
            <v>3.6</v>
          </cell>
        </row>
        <row r="1002">
          <cell r="A1002">
            <v>40114</v>
          </cell>
          <cell r="B1002">
            <v>3.55</v>
          </cell>
        </row>
        <row r="1003">
          <cell r="A1003">
            <v>40115</v>
          </cell>
          <cell r="B1003">
            <v>3.63</v>
          </cell>
        </row>
        <row r="1004">
          <cell r="A1004">
            <v>40116</v>
          </cell>
          <cell r="B1004">
            <v>3.55</v>
          </cell>
        </row>
        <row r="1005">
          <cell r="A1005">
            <v>40117</v>
          </cell>
          <cell r="B1005">
            <v>3.59</v>
          </cell>
        </row>
        <row r="1006">
          <cell r="A1006">
            <v>40119</v>
          </cell>
          <cell r="B1006">
            <v>3.61</v>
          </cell>
        </row>
        <row r="1007">
          <cell r="A1007">
            <v>40120</v>
          </cell>
          <cell r="B1007">
            <v>3.63</v>
          </cell>
        </row>
        <row r="1008">
          <cell r="A1008">
            <v>40121</v>
          </cell>
          <cell r="B1008">
            <v>3.66</v>
          </cell>
        </row>
        <row r="1009">
          <cell r="A1009">
            <v>40122</v>
          </cell>
          <cell r="B1009">
            <v>3.63</v>
          </cell>
        </row>
        <row r="1010">
          <cell r="A1010">
            <v>40123</v>
          </cell>
          <cell r="B1010">
            <v>3.61</v>
          </cell>
        </row>
        <row r="1011">
          <cell r="A1011">
            <v>40126</v>
          </cell>
          <cell r="B1011">
            <v>3.6</v>
          </cell>
        </row>
        <row r="1012">
          <cell r="A1012">
            <v>40127</v>
          </cell>
          <cell r="B1012">
            <v>3.59</v>
          </cell>
        </row>
        <row r="1013">
          <cell r="A1013">
            <v>40128</v>
          </cell>
          <cell r="B1013">
            <v>3.59</v>
          </cell>
        </row>
        <row r="1014">
          <cell r="A1014">
            <v>40129</v>
          </cell>
          <cell r="B1014">
            <v>3.56</v>
          </cell>
        </row>
        <row r="1015">
          <cell r="A1015">
            <v>40130</v>
          </cell>
          <cell r="B1015">
            <v>3.55</v>
          </cell>
        </row>
        <row r="1016">
          <cell r="A1016">
            <v>40133</v>
          </cell>
          <cell r="B1016">
            <v>3.46</v>
          </cell>
        </row>
        <row r="1017">
          <cell r="A1017">
            <v>40134</v>
          </cell>
          <cell r="B1017">
            <v>3.44</v>
          </cell>
        </row>
        <row r="1018">
          <cell r="A1018">
            <v>40135</v>
          </cell>
          <cell r="B1018">
            <v>3.47</v>
          </cell>
        </row>
        <row r="1019">
          <cell r="A1019">
            <v>40136</v>
          </cell>
          <cell r="B1019">
            <v>3.39</v>
          </cell>
        </row>
        <row r="1020">
          <cell r="A1020">
            <v>40137</v>
          </cell>
          <cell r="B1020">
            <v>3.41</v>
          </cell>
        </row>
        <row r="1021">
          <cell r="A1021">
            <v>40140</v>
          </cell>
          <cell r="B1021">
            <v>3.42</v>
          </cell>
        </row>
        <row r="1022">
          <cell r="A1022">
            <v>40141</v>
          </cell>
          <cell r="B1022">
            <v>3.37</v>
          </cell>
        </row>
        <row r="1023">
          <cell r="A1023">
            <v>40142</v>
          </cell>
          <cell r="B1023">
            <v>3.34</v>
          </cell>
        </row>
        <row r="1024">
          <cell r="A1024">
            <v>40143</v>
          </cell>
          <cell r="B1024">
            <v>3.34</v>
          </cell>
        </row>
        <row r="1025">
          <cell r="A1025">
            <v>40144</v>
          </cell>
          <cell r="B1025">
            <v>3.27</v>
          </cell>
        </row>
        <row r="1026">
          <cell r="A1026">
            <v>40147</v>
          </cell>
          <cell r="B1026">
            <v>3.28</v>
          </cell>
        </row>
        <row r="1027">
          <cell r="A1027">
            <v>40148</v>
          </cell>
          <cell r="B1027">
            <v>3.32</v>
          </cell>
        </row>
        <row r="1028">
          <cell r="A1028">
            <v>40149</v>
          </cell>
          <cell r="B1028">
            <v>3.29</v>
          </cell>
        </row>
        <row r="1029">
          <cell r="A1029">
            <v>40150</v>
          </cell>
          <cell r="B1029">
            <v>3.36</v>
          </cell>
        </row>
        <row r="1030">
          <cell r="A1030">
            <v>40151</v>
          </cell>
          <cell r="B1030">
            <v>3.49</v>
          </cell>
        </row>
        <row r="1031">
          <cell r="A1031">
            <v>40154</v>
          </cell>
          <cell r="B1031">
            <v>3.47</v>
          </cell>
        </row>
        <row r="1032">
          <cell r="A1032">
            <v>40155</v>
          </cell>
          <cell r="B1032">
            <v>3.4</v>
          </cell>
        </row>
        <row r="1033">
          <cell r="A1033">
            <v>40156</v>
          </cell>
          <cell r="B1033">
            <v>3.4</v>
          </cell>
        </row>
        <row r="1034">
          <cell r="A1034">
            <v>40157</v>
          </cell>
          <cell r="B1034">
            <v>3.44</v>
          </cell>
        </row>
        <row r="1035">
          <cell r="A1035">
            <v>40158</v>
          </cell>
          <cell r="B1035">
            <v>3.5</v>
          </cell>
        </row>
        <row r="1036">
          <cell r="A1036">
            <v>40161</v>
          </cell>
          <cell r="B1036">
            <v>3.52</v>
          </cell>
        </row>
        <row r="1037">
          <cell r="A1037">
            <v>40162</v>
          </cell>
          <cell r="B1037">
            <v>3.57</v>
          </cell>
        </row>
        <row r="1038">
          <cell r="A1038">
            <v>40163</v>
          </cell>
          <cell r="B1038">
            <v>3.55</v>
          </cell>
        </row>
        <row r="1039">
          <cell r="A1039">
            <v>40164</v>
          </cell>
          <cell r="B1039">
            <v>3.41</v>
          </cell>
        </row>
        <row r="1040">
          <cell r="A1040">
            <v>40165</v>
          </cell>
          <cell r="B1040">
            <v>3.47</v>
          </cell>
        </row>
        <row r="1041">
          <cell r="A1041">
            <v>40168</v>
          </cell>
          <cell r="B1041">
            <v>3.58</v>
          </cell>
        </row>
        <row r="1042">
          <cell r="A1042">
            <v>40169</v>
          </cell>
          <cell r="B1042">
            <v>3.61</v>
          </cell>
        </row>
        <row r="1043">
          <cell r="A1043">
            <v>40170</v>
          </cell>
          <cell r="B1043">
            <v>3.61</v>
          </cell>
        </row>
        <row r="1044">
          <cell r="A1044">
            <v>40171</v>
          </cell>
          <cell r="B1044">
            <v>3.67</v>
          </cell>
        </row>
        <row r="1045">
          <cell r="A1045">
            <v>40175</v>
          </cell>
          <cell r="B1045">
            <v>3.72</v>
          </cell>
        </row>
        <row r="1046">
          <cell r="A1046">
            <v>40176</v>
          </cell>
          <cell r="B1046">
            <v>3.7</v>
          </cell>
        </row>
        <row r="1047">
          <cell r="A1047">
            <v>40177</v>
          </cell>
          <cell r="B1047">
            <v>3.68</v>
          </cell>
        </row>
        <row r="1048">
          <cell r="A1048">
            <v>40178</v>
          </cell>
          <cell r="B1048">
            <v>3.73</v>
          </cell>
        </row>
        <row r="1049">
          <cell r="A1049">
            <v>40182</v>
          </cell>
          <cell r="B1049">
            <v>3.68</v>
          </cell>
        </row>
        <row r="1050">
          <cell r="A1050">
            <v>40183</v>
          </cell>
          <cell r="B1050">
            <v>3.56</v>
          </cell>
        </row>
        <row r="1051">
          <cell r="A1051">
            <v>40184</v>
          </cell>
          <cell r="B1051">
            <v>3.59</v>
          </cell>
        </row>
        <row r="1052">
          <cell r="A1052">
            <v>40185</v>
          </cell>
          <cell r="B1052">
            <v>3.62</v>
          </cell>
        </row>
        <row r="1053">
          <cell r="A1053">
            <v>40186</v>
          </cell>
          <cell r="B1053">
            <v>3.58</v>
          </cell>
        </row>
        <row r="1054">
          <cell r="A1054">
            <v>40189</v>
          </cell>
          <cell r="B1054">
            <v>3.57</v>
          </cell>
        </row>
        <row r="1055">
          <cell r="A1055">
            <v>40190</v>
          </cell>
          <cell r="B1055">
            <v>3.49</v>
          </cell>
        </row>
        <row r="1056">
          <cell r="A1056">
            <v>40191</v>
          </cell>
          <cell r="B1056">
            <v>3.54</v>
          </cell>
        </row>
        <row r="1057">
          <cell r="A1057">
            <v>40192</v>
          </cell>
          <cell r="B1057">
            <v>3.47</v>
          </cell>
        </row>
        <row r="1058">
          <cell r="A1058">
            <v>40193</v>
          </cell>
          <cell r="B1058">
            <v>3.42</v>
          </cell>
        </row>
        <row r="1059">
          <cell r="A1059">
            <v>40196</v>
          </cell>
          <cell r="B1059">
            <v>3.42</v>
          </cell>
        </row>
        <row r="1060">
          <cell r="A1060">
            <v>40197</v>
          </cell>
          <cell r="B1060">
            <v>3.49</v>
          </cell>
        </row>
        <row r="1061">
          <cell r="A1061">
            <v>40198</v>
          </cell>
          <cell r="B1061">
            <v>3.44</v>
          </cell>
        </row>
        <row r="1062">
          <cell r="A1062">
            <v>40199</v>
          </cell>
          <cell r="B1062">
            <v>3.39</v>
          </cell>
        </row>
        <row r="1063">
          <cell r="A1063">
            <v>40200</v>
          </cell>
          <cell r="B1063">
            <v>3.37</v>
          </cell>
        </row>
        <row r="1064">
          <cell r="A1064">
            <v>40203</v>
          </cell>
          <cell r="B1064">
            <v>3.4</v>
          </cell>
        </row>
        <row r="1065">
          <cell r="A1065">
            <v>40204</v>
          </cell>
          <cell r="B1065">
            <v>3.4</v>
          </cell>
        </row>
        <row r="1066">
          <cell r="A1066">
            <v>40205</v>
          </cell>
          <cell r="B1066">
            <v>3.41</v>
          </cell>
        </row>
        <row r="1067">
          <cell r="A1067">
            <v>40206</v>
          </cell>
          <cell r="B1067">
            <v>3.42</v>
          </cell>
        </row>
        <row r="1068">
          <cell r="A1068">
            <v>40207</v>
          </cell>
          <cell r="B1068">
            <v>3.37</v>
          </cell>
        </row>
        <row r="1069">
          <cell r="A1069">
            <v>40209</v>
          </cell>
          <cell r="B1069">
            <v>3.46</v>
          </cell>
        </row>
        <row r="1070">
          <cell r="A1070">
            <v>40210</v>
          </cell>
          <cell r="B1070">
            <v>3.52</v>
          </cell>
        </row>
        <row r="1071">
          <cell r="A1071">
            <v>40211</v>
          </cell>
          <cell r="B1071">
            <v>3.5</v>
          </cell>
        </row>
        <row r="1072">
          <cell r="A1072">
            <v>40212</v>
          </cell>
          <cell r="B1072">
            <v>3.58</v>
          </cell>
        </row>
        <row r="1073">
          <cell r="A1073">
            <v>40213</v>
          </cell>
          <cell r="B1073">
            <v>3.5</v>
          </cell>
        </row>
        <row r="1074">
          <cell r="A1074">
            <v>40214</v>
          </cell>
          <cell r="B1074">
            <v>3.4</v>
          </cell>
        </row>
        <row r="1075">
          <cell r="A1075">
            <v>40217</v>
          </cell>
          <cell r="B1075">
            <v>3.46</v>
          </cell>
        </row>
        <row r="1076">
          <cell r="A1076">
            <v>40218</v>
          </cell>
          <cell r="B1076">
            <v>3.51</v>
          </cell>
        </row>
        <row r="1077">
          <cell r="A1077">
            <v>40219</v>
          </cell>
          <cell r="B1077">
            <v>3.57</v>
          </cell>
        </row>
        <row r="1078">
          <cell r="A1078">
            <v>40220</v>
          </cell>
          <cell r="B1078">
            <v>3.55</v>
          </cell>
        </row>
        <row r="1079">
          <cell r="A1079">
            <v>40221</v>
          </cell>
          <cell r="B1079">
            <v>3.5</v>
          </cell>
        </row>
        <row r="1080">
          <cell r="A1080">
            <v>40224</v>
          </cell>
          <cell r="B1080">
            <v>3.49</v>
          </cell>
        </row>
        <row r="1081">
          <cell r="A1081">
            <v>40225</v>
          </cell>
          <cell r="B1081">
            <v>3.46</v>
          </cell>
        </row>
        <row r="1082">
          <cell r="A1082">
            <v>40226</v>
          </cell>
          <cell r="B1082">
            <v>3.55</v>
          </cell>
        </row>
        <row r="1083">
          <cell r="A1083">
            <v>40227</v>
          </cell>
          <cell r="B1083">
            <v>3.58</v>
          </cell>
        </row>
        <row r="1084">
          <cell r="A1084">
            <v>40228</v>
          </cell>
          <cell r="B1084">
            <v>3.59</v>
          </cell>
        </row>
        <row r="1085">
          <cell r="A1085">
            <v>40231</v>
          </cell>
          <cell r="B1085">
            <v>3.58</v>
          </cell>
        </row>
        <row r="1086">
          <cell r="A1086">
            <v>40232</v>
          </cell>
          <cell r="B1086">
            <v>3.48</v>
          </cell>
        </row>
        <row r="1087">
          <cell r="A1087">
            <v>40233</v>
          </cell>
          <cell r="B1087">
            <v>3.48</v>
          </cell>
        </row>
        <row r="1088">
          <cell r="A1088">
            <v>40234</v>
          </cell>
          <cell r="B1088">
            <v>3.41</v>
          </cell>
        </row>
        <row r="1089">
          <cell r="A1089">
            <v>40235</v>
          </cell>
          <cell r="B1089">
            <v>3.36</v>
          </cell>
        </row>
        <row r="1090">
          <cell r="A1090">
            <v>40237</v>
          </cell>
          <cell r="B1090">
            <v>3.36</v>
          </cell>
        </row>
        <row r="1091">
          <cell r="A1091">
            <v>40238</v>
          </cell>
          <cell r="B1091">
            <v>3.4</v>
          </cell>
        </row>
        <row r="1092">
          <cell r="A1092">
            <v>40239</v>
          </cell>
          <cell r="B1092">
            <v>3.4</v>
          </cell>
        </row>
        <row r="1093">
          <cell r="A1093">
            <v>40240</v>
          </cell>
          <cell r="B1093">
            <v>3.41</v>
          </cell>
        </row>
        <row r="1094">
          <cell r="A1094">
            <v>40241</v>
          </cell>
          <cell r="B1094">
            <v>3.41</v>
          </cell>
        </row>
        <row r="1095">
          <cell r="A1095">
            <v>40242</v>
          </cell>
          <cell r="B1095">
            <v>3.46</v>
          </cell>
        </row>
        <row r="1096">
          <cell r="A1096">
            <v>40245</v>
          </cell>
          <cell r="B1096">
            <v>3.46</v>
          </cell>
        </row>
        <row r="1097">
          <cell r="A1097">
            <v>40246</v>
          </cell>
          <cell r="B1097">
            <v>3.45</v>
          </cell>
        </row>
        <row r="1098">
          <cell r="A1098">
            <v>40247</v>
          </cell>
          <cell r="B1098">
            <v>3.48</v>
          </cell>
        </row>
        <row r="1099">
          <cell r="A1099">
            <v>40248</v>
          </cell>
          <cell r="B1099">
            <v>3.5</v>
          </cell>
        </row>
        <row r="1100">
          <cell r="A1100">
            <v>40249</v>
          </cell>
          <cell r="B1100">
            <v>3.47</v>
          </cell>
        </row>
        <row r="1101">
          <cell r="A1101">
            <v>40252</v>
          </cell>
          <cell r="B1101">
            <v>3.46</v>
          </cell>
        </row>
        <row r="1102">
          <cell r="A1102">
            <v>40253</v>
          </cell>
          <cell r="B1102">
            <v>3.41</v>
          </cell>
        </row>
        <row r="1103">
          <cell r="A1103">
            <v>40254</v>
          </cell>
          <cell r="B1103">
            <v>3.42</v>
          </cell>
        </row>
        <row r="1104">
          <cell r="A1104">
            <v>40255</v>
          </cell>
          <cell r="B1104">
            <v>3.45</v>
          </cell>
        </row>
        <row r="1105">
          <cell r="A1105">
            <v>40256</v>
          </cell>
          <cell r="B1105">
            <v>3.43</v>
          </cell>
        </row>
        <row r="1106">
          <cell r="A1106">
            <v>40259</v>
          </cell>
          <cell r="B1106">
            <v>3.45</v>
          </cell>
        </row>
        <row r="1107">
          <cell r="A1107">
            <v>40260</v>
          </cell>
          <cell r="B1107">
            <v>3.45</v>
          </cell>
        </row>
        <row r="1108">
          <cell r="A1108">
            <v>40261</v>
          </cell>
          <cell r="B1108">
            <v>3.54</v>
          </cell>
        </row>
        <row r="1109">
          <cell r="A1109">
            <v>40262</v>
          </cell>
          <cell r="B1109">
            <v>3.57</v>
          </cell>
        </row>
        <row r="1110">
          <cell r="A1110">
            <v>40263</v>
          </cell>
          <cell r="B1110">
            <v>3.51</v>
          </cell>
        </row>
        <row r="1111">
          <cell r="A1111">
            <v>40266</v>
          </cell>
          <cell r="B1111">
            <v>3.54</v>
          </cell>
        </row>
        <row r="1112">
          <cell r="A1112">
            <v>40267</v>
          </cell>
          <cell r="B1112">
            <v>3.54</v>
          </cell>
        </row>
        <row r="1113">
          <cell r="A1113">
            <v>40268</v>
          </cell>
          <cell r="B1113">
            <v>3.5</v>
          </cell>
        </row>
        <row r="1114">
          <cell r="A1114">
            <v>40269</v>
          </cell>
          <cell r="B1114">
            <v>3.52</v>
          </cell>
        </row>
        <row r="1115">
          <cell r="A1115">
            <v>40273</v>
          </cell>
          <cell r="B1115">
            <v>3.66</v>
          </cell>
        </row>
        <row r="1116">
          <cell r="A1116">
            <v>40274</v>
          </cell>
          <cell r="B1116">
            <v>3.62</v>
          </cell>
        </row>
        <row r="1117">
          <cell r="A1117">
            <v>40275</v>
          </cell>
          <cell r="B1117">
            <v>3.53</v>
          </cell>
        </row>
        <row r="1118">
          <cell r="A1118">
            <v>40276</v>
          </cell>
          <cell r="B1118">
            <v>3.54</v>
          </cell>
        </row>
        <row r="1119">
          <cell r="A1119">
            <v>40277</v>
          </cell>
          <cell r="B1119">
            <v>3.54</v>
          </cell>
        </row>
        <row r="1120">
          <cell r="A1120">
            <v>40280</v>
          </cell>
          <cell r="B1120">
            <v>3.5</v>
          </cell>
        </row>
        <row r="1121">
          <cell r="A1121">
            <v>40281</v>
          </cell>
          <cell r="B1121">
            <v>3.49</v>
          </cell>
        </row>
        <row r="1122">
          <cell r="A1122">
            <v>40282</v>
          </cell>
          <cell r="B1122">
            <v>3.5</v>
          </cell>
        </row>
        <row r="1123">
          <cell r="A1123">
            <v>40283</v>
          </cell>
          <cell r="B1123">
            <v>3.48</v>
          </cell>
        </row>
        <row r="1124">
          <cell r="A1124">
            <v>40284</v>
          </cell>
          <cell r="B1124">
            <v>3.39</v>
          </cell>
        </row>
        <row r="1125">
          <cell r="A1125">
            <v>40287</v>
          </cell>
          <cell r="B1125">
            <v>3.42</v>
          </cell>
        </row>
        <row r="1126">
          <cell r="A1126">
            <v>40288</v>
          </cell>
          <cell r="B1126">
            <v>3.42</v>
          </cell>
        </row>
        <row r="1127">
          <cell r="A1127">
            <v>40289</v>
          </cell>
          <cell r="B1127">
            <v>3.38</v>
          </cell>
        </row>
        <row r="1128">
          <cell r="A1128">
            <v>40290</v>
          </cell>
          <cell r="B1128">
            <v>3.4</v>
          </cell>
        </row>
        <row r="1129">
          <cell r="A1129">
            <v>40291</v>
          </cell>
          <cell r="B1129">
            <v>3.45</v>
          </cell>
        </row>
        <row r="1130">
          <cell r="A1130">
            <v>40294</v>
          </cell>
          <cell r="B1130">
            <v>3.42</v>
          </cell>
        </row>
        <row r="1131">
          <cell r="A1131">
            <v>40295</v>
          </cell>
          <cell r="B1131">
            <v>3.3</v>
          </cell>
        </row>
        <row r="1132">
          <cell r="A1132">
            <v>40296</v>
          </cell>
          <cell r="B1132">
            <v>3.38</v>
          </cell>
        </row>
        <row r="1133">
          <cell r="A1133">
            <v>40297</v>
          </cell>
          <cell r="B1133">
            <v>3.33</v>
          </cell>
        </row>
        <row r="1134">
          <cell r="A1134">
            <v>40298</v>
          </cell>
          <cell r="B1134">
            <v>3.28</v>
          </cell>
        </row>
        <row r="1135">
          <cell r="A1135">
            <v>40301</v>
          </cell>
          <cell r="B1135">
            <v>3.33</v>
          </cell>
        </row>
        <row r="1136">
          <cell r="A1136">
            <v>40302</v>
          </cell>
          <cell r="B1136">
            <v>3.26</v>
          </cell>
        </row>
        <row r="1137">
          <cell r="A1137">
            <v>40303</v>
          </cell>
          <cell r="B1137">
            <v>3.2</v>
          </cell>
        </row>
        <row r="1138">
          <cell r="A1138">
            <v>40304</v>
          </cell>
          <cell r="B1138">
            <v>3.08</v>
          </cell>
        </row>
        <row r="1139">
          <cell r="A1139">
            <v>40305</v>
          </cell>
          <cell r="B1139">
            <v>3.15</v>
          </cell>
        </row>
        <row r="1140">
          <cell r="A1140">
            <v>40308</v>
          </cell>
          <cell r="B1140">
            <v>3.21</v>
          </cell>
        </row>
        <row r="1141">
          <cell r="A1141">
            <v>40309</v>
          </cell>
          <cell r="B1141">
            <v>3.21</v>
          </cell>
        </row>
        <row r="1142">
          <cell r="A1142">
            <v>40310</v>
          </cell>
          <cell r="B1142">
            <v>3.23</v>
          </cell>
        </row>
        <row r="1143">
          <cell r="A1143">
            <v>40311</v>
          </cell>
          <cell r="B1143">
            <v>3.2</v>
          </cell>
        </row>
        <row r="1144">
          <cell r="A1144">
            <v>40312</v>
          </cell>
          <cell r="B1144">
            <v>3.1</v>
          </cell>
        </row>
        <row r="1145">
          <cell r="A1145">
            <v>40315</v>
          </cell>
          <cell r="B1145">
            <v>3.11</v>
          </cell>
        </row>
        <row r="1146">
          <cell r="A1146">
            <v>40316</v>
          </cell>
          <cell r="B1146">
            <v>3.05</v>
          </cell>
        </row>
        <row r="1147">
          <cell r="A1147">
            <v>40317</v>
          </cell>
          <cell r="B1147">
            <v>3.08</v>
          </cell>
        </row>
        <row r="1148">
          <cell r="A1148">
            <v>40318</v>
          </cell>
          <cell r="B1148">
            <v>3.08</v>
          </cell>
        </row>
        <row r="1149">
          <cell r="A1149">
            <v>40319</v>
          </cell>
          <cell r="B1149">
            <v>3.05</v>
          </cell>
        </row>
        <row r="1150">
          <cell r="A1150">
            <v>40322</v>
          </cell>
          <cell r="B1150">
            <v>3.07</v>
          </cell>
        </row>
        <row r="1151">
          <cell r="A1151">
            <v>40323</v>
          </cell>
          <cell r="B1151">
            <v>3.05</v>
          </cell>
        </row>
        <row r="1152">
          <cell r="A1152">
            <v>40324</v>
          </cell>
          <cell r="B1152">
            <v>3.15</v>
          </cell>
        </row>
        <row r="1153">
          <cell r="A1153">
            <v>40325</v>
          </cell>
          <cell r="B1153">
            <v>3.24</v>
          </cell>
        </row>
        <row r="1154">
          <cell r="A1154">
            <v>40326</v>
          </cell>
          <cell r="B1154">
            <v>3.2</v>
          </cell>
        </row>
        <row r="1155">
          <cell r="A1155">
            <v>40329</v>
          </cell>
          <cell r="B1155">
            <v>3.21</v>
          </cell>
        </row>
        <row r="1156">
          <cell r="A1156">
            <v>40330</v>
          </cell>
          <cell r="B1156">
            <v>3.18</v>
          </cell>
        </row>
        <row r="1157">
          <cell r="A1157">
            <v>40331</v>
          </cell>
          <cell r="B1157">
            <v>3.22</v>
          </cell>
        </row>
        <row r="1158">
          <cell r="A1158">
            <v>40332</v>
          </cell>
          <cell r="B1158">
            <v>3.27</v>
          </cell>
        </row>
        <row r="1159">
          <cell r="A1159">
            <v>40333</v>
          </cell>
          <cell r="B1159">
            <v>3.07</v>
          </cell>
        </row>
        <row r="1160">
          <cell r="A1160">
            <v>40336</v>
          </cell>
          <cell r="B1160">
            <v>3.08</v>
          </cell>
        </row>
        <row r="1161">
          <cell r="A1161">
            <v>40337</v>
          </cell>
          <cell r="B1161">
            <v>3.09</v>
          </cell>
        </row>
        <row r="1162">
          <cell r="A1162">
            <v>40338</v>
          </cell>
          <cell r="B1162">
            <v>3.11</v>
          </cell>
        </row>
        <row r="1163">
          <cell r="A1163">
            <v>40339</v>
          </cell>
          <cell r="B1163">
            <v>3.26</v>
          </cell>
        </row>
        <row r="1164">
          <cell r="A1164">
            <v>40340</v>
          </cell>
          <cell r="B1164">
            <v>3.14</v>
          </cell>
        </row>
        <row r="1165">
          <cell r="A1165">
            <v>40343</v>
          </cell>
          <cell r="B1165">
            <v>3.18</v>
          </cell>
        </row>
        <row r="1166">
          <cell r="A1166">
            <v>40344</v>
          </cell>
          <cell r="B1166">
            <v>3.21</v>
          </cell>
        </row>
        <row r="1167">
          <cell r="A1167">
            <v>40345</v>
          </cell>
          <cell r="B1167">
            <v>3.19</v>
          </cell>
        </row>
        <row r="1168">
          <cell r="A1168">
            <v>40346</v>
          </cell>
          <cell r="B1168">
            <v>3.1</v>
          </cell>
        </row>
        <row r="1169">
          <cell r="A1169">
            <v>40347</v>
          </cell>
          <cell r="B1169">
            <v>3.14</v>
          </cell>
        </row>
        <row r="1170">
          <cell r="A1170">
            <v>40350</v>
          </cell>
          <cell r="B1170">
            <v>3.14</v>
          </cell>
        </row>
        <row r="1171">
          <cell r="A1171">
            <v>40351</v>
          </cell>
          <cell r="B1171">
            <v>3.08</v>
          </cell>
        </row>
        <row r="1172">
          <cell r="A1172">
            <v>40352</v>
          </cell>
          <cell r="B1172">
            <v>3.04</v>
          </cell>
        </row>
        <row r="1173">
          <cell r="A1173">
            <v>40353</v>
          </cell>
          <cell r="B1173">
            <v>3.04</v>
          </cell>
        </row>
        <row r="1174">
          <cell r="A1174">
            <v>40354</v>
          </cell>
          <cell r="B1174">
            <v>3</v>
          </cell>
        </row>
        <row r="1175">
          <cell r="A1175">
            <v>40357</v>
          </cell>
          <cell r="B1175">
            <v>2.94</v>
          </cell>
        </row>
        <row r="1176">
          <cell r="A1176">
            <v>40358</v>
          </cell>
          <cell r="B1176">
            <v>2.9</v>
          </cell>
        </row>
        <row r="1177">
          <cell r="A1177">
            <v>40359</v>
          </cell>
          <cell r="B1177">
            <v>2.91</v>
          </cell>
        </row>
        <row r="1178">
          <cell r="A1178">
            <v>40360</v>
          </cell>
          <cell r="B1178">
            <v>2.93</v>
          </cell>
        </row>
        <row r="1179">
          <cell r="A1179">
            <v>40361</v>
          </cell>
          <cell r="B1179">
            <v>2.96</v>
          </cell>
        </row>
        <row r="1180">
          <cell r="A1180">
            <v>40364</v>
          </cell>
          <cell r="B1180">
            <v>2.96</v>
          </cell>
        </row>
        <row r="1181">
          <cell r="A1181">
            <v>40365</v>
          </cell>
          <cell r="B1181">
            <v>2.92</v>
          </cell>
        </row>
        <row r="1182">
          <cell r="A1182">
            <v>40366</v>
          </cell>
          <cell r="B1182">
            <v>2.94</v>
          </cell>
        </row>
        <row r="1183">
          <cell r="A1183">
            <v>40367</v>
          </cell>
          <cell r="B1183">
            <v>2.96</v>
          </cell>
        </row>
        <row r="1184">
          <cell r="A1184">
            <v>40368</v>
          </cell>
          <cell r="B1184">
            <v>2.99</v>
          </cell>
        </row>
        <row r="1185">
          <cell r="A1185">
            <v>40371</v>
          </cell>
          <cell r="B1185">
            <v>2.96</v>
          </cell>
        </row>
        <row r="1186">
          <cell r="A1186">
            <v>40372</v>
          </cell>
          <cell r="B1186">
            <v>3.01</v>
          </cell>
        </row>
        <row r="1187">
          <cell r="A1187">
            <v>40373</v>
          </cell>
          <cell r="B1187">
            <v>2.93</v>
          </cell>
        </row>
        <row r="1188">
          <cell r="A1188">
            <v>40374</v>
          </cell>
          <cell r="B1188">
            <v>2.88</v>
          </cell>
        </row>
        <row r="1189">
          <cell r="A1189">
            <v>40375</v>
          </cell>
          <cell r="B1189">
            <v>2.82</v>
          </cell>
        </row>
        <row r="1190">
          <cell r="A1190">
            <v>40378</v>
          </cell>
          <cell r="B1190">
            <v>2.85</v>
          </cell>
        </row>
        <row r="1191">
          <cell r="A1191">
            <v>40379</v>
          </cell>
          <cell r="B1191">
            <v>2.82</v>
          </cell>
        </row>
        <row r="1192">
          <cell r="A1192">
            <v>40380</v>
          </cell>
          <cell r="B1192">
            <v>2.79</v>
          </cell>
        </row>
        <row r="1193">
          <cell r="A1193">
            <v>40381</v>
          </cell>
          <cell r="B1193">
            <v>2.81</v>
          </cell>
        </row>
        <row r="1194">
          <cell r="A1194">
            <v>40382</v>
          </cell>
          <cell r="B1194">
            <v>2.85</v>
          </cell>
        </row>
        <row r="1195">
          <cell r="A1195">
            <v>40385</v>
          </cell>
          <cell r="B1195">
            <v>2.85</v>
          </cell>
        </row>
        <row r="1196">
          <cell r="A1196">
            <v>40386</v>
          </cell>
          <cell r="B1196">
            <v>2.85</v>
          </cell>
        </row>
        <row r="1197">
          <cell r="A1197">
            <v>40387</v>
          </cell>
          <cell r="B1197">
            <v>2.79</v>
          </cell>
        </row>
        <row r="1198">
          <cell r="A1198">
            <v>40388</v>
          </cell>
          <cell r="B1198">
            <v>2.78</v>
          </cell>
        </row>
        <row r="1199">
          <cell r="A1199">
            <v>40389</v>
          </cell>
          <cell r="B1199">
            <v>2.77</v>
          </cell>
        </row>
        <row r="1200">
          <cell r="A1200">
            <v>40390</v>
          </cell>
          <cell r="B1200">
            <v>2.68</v>
          </cell>
        </row>
        <row r="1201">
          <cell r="A1201">
            <v>40392</v>
          </cell>
          <cell r="B1201">
            <v>2.68</v>
          </cell>
        </row>
        <row r="1202">
          <cell r="A1202">
            <v>40393</v>
          </cell>
          <cell r="B1202">
            <v>2.61</v>
          </cell>
        </row>
        <row r="1203">
          <cell r="A1203">
            <v>40394</v>
          </cell>
          <cell r="B1203">
            <v>2.65</v>
          </cell>
        </row>
        <row r="1204">
          <cell r="A1204">
            <v>40395</v>
          </cell>
          <cell r="B1204">
            <v>2.62</v>
          </cell>
        </row>
        <row r="1205">
          <cell r="A1205">
            <v>40396</v>
          </cell>
          <cell r="B1205">
            <v>2.56</v>
          </cell>
        </row>
        <row r="1206">
          <cell r="A1206">
            <v>40399</v>
          </cell>
          <cell r="B1206">
            <v>2.57</v>
          </cell>
        </row>
        <row r="1207">
          <cell r="A1207">
            <v>40400</v>
          </cell>
          <cell r="B1207">
            <v>2.54</v>
          </cell>
        </row>
        <row r="1208">
          <cell r="A1208">
            <v>40401</v>
          </cell>
          <cell r="B1208">
            <v>2.5</v>
          </cell>
        </row>
        <row r="1209">
          <cell r="A1209">
            <v>40402</v>
          </cell>
          <cell r="B1209">
            <v>2.52</v>
          </cell>
        </row>
        <row r="1210">
          <cell r="A1210">
            <v>40403</v>
          </cell>
          <cell r="B1210">
            <v>2.4900000000000002</v>
          </cell>
        </row>
        <row r="1211">
          <cell r="A1211">
            <v>40406</v>
          </cell>
          <cell r="B1211">
            <v>2.41</v>
          </cell>
        </row>
        <row r="1212">
          <cell r="A1212">
            <v>40407</v>
          </cell>
          <cell r="B1212">
            <v>2.44</v>
          </cell>
        </row>
        <row r="1213">
          <cell r="A1213">
            <v>40408</v>
          </cell>
          <cell r="B1213">
            <v>2.4300000000000002</v>
          </cell>
        </row>
        <row r="1214">
          <cell r="A1214">
            <v>40409</v>
          </cell>
          <cell r="B1214">
            <v>2.38</v>
          </cell>
        </row>
        <row r="1215">
          <cell r="A1215">
            <v>40410</v>
          </cell>
          <cell r="B1215">
            <v>2.41</v>
          </cell>
        </row>
        <row r="1216">
          <cell r="A1216">
            <v>40413</v>
          </cell>
          <cell r="B1216">
            <v>2.4</v>
          </cell>
        </row>
        <row r="1217">
          <cell r="A1217">
            <v>40414</v>
          </cell>
          <cell r="B1217">
            <v>2.33</v>
          </cell>
        </row>
        <row r="1218">
          <cell r="A1218">
            <v>40415</v>
          </cell>
          <cell r="B1218">
            <v>2.37</v>
          </cell>
        </row>
        <row r="1219">
          <cell r="A1219">
            <v>40416</v>
          </cell>
          <cell r="B1219">
            <v>2.34</v>
          </cell>
        </row>
        <row r="1220">
          <cell r="A1220">
            <v>40417</v>
          </cell>
          <cell r="B1220">
            <v>2.4300000000000002</v>
          </cell>
        </row>
        <row r="1221">
          <cell r="A1221">
            <v>40420</v>
          </cell>
          <cell r="B1221">
            <v>2.38</v>
          </cell>
        </row>
        <row r="1222">
          <cell r="A1222">
            <v>40421</v>
          </cell>
          <cell r="B1222">
            <v>2.4</v>
          </cell>
        </row>
        <row r="1223">
          <cell r="A1223">
            <v>40422</v>
          </cell>
          <cell r="B1223">
            <v>2.4900000000000002</v>
          </cell>
        </row>
        <row r="1224">
          <cell r="A1224">
            <v>40423</v>
          </cell>
          <cell r="B1224">
            <v>2.5</v>
          </cell>
        </row>
        <row r="1225">
          <cell r="A1225">
            <v>40424</v>
          </cell>
          <cell r="B1225">
            <v>2.5499999999999998</v>
          </cell>
        </row>
        <row r="1226">
          <cell r="A1226">
            <v>40427</v>
          </cell>
          <cell r="B1226">
            <v>2.5499999999999998</v>
          </cell>
        </row>
        <row r="1227">
          <cell r="A1227">
            <v>40428</v>
          </cell>
          <cell r="B1227">
            <v>2.4700000000000002</v>
          </cell>
        </row>
        <row r="1228">
          <cell r="A1228">
            <v>40429</v>
          </cell>
          <cell r="B1228">
            <v>2.5099999999999998</v>
          </cell>
        </row>
        <row r="1229">
          <cell r="A1229">
            <v>40430</v>
          </cell>
          <cell r="B1229">
            <v>2.56</v>
          </cell>
        </row>
        <row r="1230">
          <cell r="A1230">
            <v>40431</v>
          </cell>
          <cell r="B1230">
            <v>2.58</v>
          </cell>
        </row>
        <row r="1231">
          <cell r="A1231">
            <v>40434</v>
          </cell>
          <cell r="B1231">
            <v>2.52</v>
          </cell>
        </row>
        <row r="1232">
          <cell r="A1232">
            <v>40435</v>
          </cell>
          <cell r="B1232">
            <v>2.46</v>
          </cell>
        </row>
        <row r="1233">
          <cell r="A1233">
            <v>40436</v>
          </cell>
          <cell r="B1233">
            <v>2.48</v>
          </cell>
        </row>
        <row r="1234">
          <cell r="A1234">
            <v>40437</v>
          </cell>
          <cell r="B1234">
            <v>2.5</v>
          </cell>
        </row>
        <row r="1235">
          <cell r="A1235">
            <v>40438</v>
          </cell>
          <cell r="B1235">
            <v>2.48</v>
          </cell>
        </row>
        <row r="1236">
          <cell r="A1236">
            <v>40441</v>
          </cell>
          <cell r="B1236">
            <v>2.4500000000000002</v>
          </cell>
        </row>
        <row r="1237">
          <cell r="A1237">
            <v>40442</v>
          </cell>
          <cell r="B1237">
            <v>2.39</v>
          </cell>
        </row>
        <row r="1238">
          <cell r="A1238">
            <v>40443</v>
          </cell>
          <cell r="B1238">
            <v>2.37</v>
          </cell>
        </row>
        <row r="1239">
          <cell r="A1239">
            <v>40444</v>
          </cell>
          <cell r="B1239">
            <v>2.37</v>
          </cell>
        </row>
        <row r="1240">
          <cell r="A1240">
            <v>40445</v>
          </cell>
          <cell r="B1240">
            <v>2.38</v>
          </cell>
        </row>
        <row r="1241">
          <cell r="A1241">
            <v>40448</v>
          </cell>
          <cell r="B1241">
            <v>2.31</v>
          </cell>
        </row>
        <row r="1242">
          <cell r="A1242">
            <v>40449</v>
          </cell>
          <cell r="B1242">
            <v>2.2799999999999998</v>
          </cell>
        </row>
        <row r="1243">
          <cell r="A1243">
            <v>40450</v>
          </cell>
          <cell r="B1243">
            <v>2.31</v>
          </cell>
        </row>
        <row r="1244">
          <cell r="A1244">
            <v>40451</v>
          </cell>
          <cell r="B1244">
            <v>2.37</v>
          </cell>
        </row>
        <row r="1245">
          <cell r="A1245">
            <v>40452</v>
          </cell>
          <cell r="B1245">
            <v>2.35</v>
          </cell>
        </row>
        <row r="1246">
          <cell r="A1246">
            <v>40455</v>
          </cell>
          <cell r="B1246">
            <v>2.33</v>
          </cell>
        </row>
        <row r="1247">
          <cell r="A1247">
            <v>40456</v>
          </cell>
          <cell r="B1247">
            <v>2.29</v>
          </cell>
        </row>
        <row r="1248">
          <cell r="A1248">
            <v>40457</v>
          </cell>
          <cell r="B1248">
            <v>2.23</v>
          </cell>
        </row>
        <row r="1249">
          <cell r="A1249">
            <v>40458</v>
          </cell>
          <cell r="B1249">
            <v>2.2200000000000002</v>
          </cell>
        </row>
        <row r="1250">
          <cell r="A1250">
            <v>40459</v>
          </cell>
          <cell r="B1250">
            <v>2.21</v>
          </cell>
        </row>
        <row r="1251">
          <cell r="A1251">
            <v>40462</v>
          </cell>
          <cell r="B1251">
            <v>2.2000000000000002</v>
          </cell>
        </row>
        <row r="1252">
          <cell r="A1252">
            <v>40463</v>
          </cell>
          <cell r="B1252">
            <v>2.2400000000000002</v>
          </cell>
        </row>
        <row r="1253">
          <cell r="A1253">
            <v>40464</v>
          </cell>
          <cell r="B1253">
            <v>2.2400000000000002</v>
          </cell>
        </row>
        <row r="1254">
          <cell r="A1254">
            <v>40465</v>
          </cell>
          <cell r="B1254">
            <v>2.2799999999999998</v>
          </cell>
        </row>
        <row r="1255">
          <cell r="A1255">
            <v>40466</v>
          </cell>
          <cell r="B1255">
            <v>2.31</v>
          </cell>
        </row>
        <row r="1256">
          <cell r="A1256">
            <v>40469</v>
          </cell>
          <cell r="B1256">
            <v>2.25</v>
          </cell>
        </row>
        <row r="1257">
          <cell r="A1257">
            <v>40470</v>
          </cell>
          <cell r="B1257">
            <v>2.2400000000000002</v>
          </cell>
        </row>
        <row r="1258">
          <cell r="A1258">
            <v>40471</v>
          </cell>
          <cell r="B1258">
            <v>2.23</v>
          </cell>
        </row>
        <row r="1259">
          <cell r="A1259">
            <v>40472</v>
          </cell>
          <cell r="B1259">
            <v>2.2599999999999998</v>
          </cell>
        </row>
        <row r="1260">
          <cell r="A1260">
            <v>40473</v>
          </cell>
          <cell r="B1260">
            <v>2.27</v>
          </cell>
        </row>
        <row r="1261">
          <cell r="A1261">
            <v>40476</v>
          </cell>
          <cell r="B1261">
            <v>2.27</v>
          </cell>
        </row>
        <row r="1262">
          <cell r="A1262">
            <v>40477</v>
          </cell>
          <cell r="B1262">
            <v>2.34</v>
          </cell>
        </row>
        <row r="1263">
          <cell r="A1263">
            <v>40478</v>
          </cell>
          <cell r="B1263">
            <v>2.38</v>
          </cell>
        </row>
        <row r="1264">
          <cell r="A1264">
            <v>40479</v>
          </cell>
          <cell r="B1264">
            <v>2.33</v>
          </cell>
        </row>
        <row r="1265">
          <cell r="A1265">
            <v>40480</v>
          </cell>
          <cell r="B1265">
            <v>2.2799999999999998</v>
          </cell>
        </row>
        <row r="1266">
          <cell r="A1266">
            <v>40482</v>
          </cell>
          <cell r="B1266">
            <v>2.2799999999999998</v>
          </cell>
        </row>
        <row r="1267">
          <cell r="A1267">
            <v>40483</v>
          </cell>
          <cell r="B1267">
            <v>2.2799999999999998</v>
          </cell>
        </row>
        <row r="1268">
          <cell r="A1268">
            <v>40484</v>
          </cell>
          <cell r="B1268">
            <v>2.2599999999999998</v>
          </cell>
        </row>
        <row r="1269">
          <cell r="A1269">
            <v>40485</v>
          </cell>
          <cell r="B1269">
            <v>2.2599999999999998</v>
          </cell>
        </row>
        <row r="1270">
          <cell r="A1270">
            <v>40486</v>
          </cell>
          <cell r="B1270">
            <v>2.1800000000000002</v>
          </cell>
        </row>
        <row r="1271">
          <cell r="A1271">
            <v>40487</v>
          </cell>
          <cell r="B1271">
            <v>2.23</v>
          </cell>
        </row>
        <row r="1272">
          <cell r="A1272">
            <v>40490</v>
          </cell>
          <cell r="B1272">
            <v>2.27</v>
          </cell>
        </row>
        <row r="1273">
          <cell r="A1273">
            <v>40491</v>
          </cell>
          <cell r="B1273">
            <v>2.37</v>
          </cell>
        </row>
        <row r="1274">
          <cell r="A1274">
            <v>40492</v>
          </cell>
          <cell r="B1274">
            <v>2.33</v>
          </cell>
        </row>
        <row r="1275">
          <cell r="A1275">
            <v>40493</v>
          </cell>
          <cell r="B1275">
            <v>2.33</v>
          </cell>
        </row>
        <row r="1276">
          <cell r="A1276">
            <v>40494</v>
          </cell>
          <cell r="B1276">
            <v>2.4700000000000002</v>
          </cell>
        </row>
        <row r="1277">
          <cell r="A1277">
            <v>40497</v>
          </cell>
          <cell r="B1277">
            <v>2.58</v>
          </cell>
        </row>
        <row r="1278">
          <cell r="A1278">
            <v>40498</v>
          </cell>
          <cell r="B1278">
            <v>2.5299999999999998</v>
          </cell>
        </row>
        <row r="1279">
          <cell r="A1279">
            <v>40499</v>
          </cell>
          <cell r="B1279">
            <v>2.52</v>
          </cell>
        </row>
        <row r="1280">
          <cell r="A1280">
            <v>40500</v>
          </cell>
          <cell r="B1280">
            <v>2.54</v>
          </cell>
        </row>
        <row r="1281">
          <cell r="A1281">
            <v>40501</v>
          </cell>
          <cell r="B1281">
            <v>2.54</v>
          </cell>
        </row>
        <row r="1282">
          <cell r="A1282">
            <v>40504</v>
          </cell>
          <cell r="B1282">
            <v>2.46</v>
          </cell>
        </row>
        <row r="1283">
          <cell r="A1283">
            <v>40505</v>
          </cell>
          <cell r="B1283">
            <v>2.4</v>
          </cell>
        </row>
        <row r="1284">
          <cell r="A1284">
            <v>40506</v>
          </cell>
          <cell r="B1284">
            <v>2.57</v>
          </cell>
        </row>
        <row r="1285">
          <cell r="A1285">
            <v>40507</v>
          </cell>
          <cell r="B1285">
            <v>2.57</v>
          </cell>
        </row>
        <row r="1286">
          <cell r="A1286">
            <v>40508</v>
          </cell>
          <cell r="B1286">
            <v>2.5299999999999998</v>
          </cell>
        </row>
        <row r="1287">
          <cell r="A1287">
            <v>40511</v>
          </cell>
          <cell r="B1287">
            <v>2.52</v>
          </cell>
        </row>
        <row r="1288">
          <cell r="A1288">
            <v>40512</v>
          </cell>
          <cell r="B1288">
            <v>2.46</v>
          </cell>
        </row>
        <row r="1289">
          <cell r="A1289">
            <v>40513</v>
          </cell>
          <cell r="B1289">
            <v>2.59</v>
          </cell>
        </row>
        <row r="1290">
          <cell r="A1290">
            <v>40514</v>
          </cell>
          <cell r="B1290">
            <v>2.62</v>
          </cell>
        </row>
        <row r="1291">
          <cell r="A1291">
            <v>40515</v>
          </cell>
          <cell r="B1291">
            <v>2.58</v>
          </cell>
        </row>
        <row r="1292">
          <cell r="A1292">
            <v>40518</v>
          </cell>
          <cell r="B1292">
            <v>2.5</v>
          </cell>
        </row>
        <row r="1293">
          <cell r="A1293">
            <v>40519</v>
          </cell>
          <cell r="B1293">
            <v>2.67</v>
          </cell>
        </row>
        <row r="1294">
          <cell r="A1294">
            <v>40520</v>
          </cell>
          <cell r="B1294">
            <v>2.76</v>
          </cell>
        </row>
        <row r="1295">
          <cell r="A1295">
            <v>40521</v>
          </cell>
          <cell r="B1295">
            <v>2.76</v>
          </cell>
        </row>
        <row r="1296">
          <cell r="A1296">
            <v>40522</v>
          </cell>
          <cell r="B1296">
            <v>2.77</v>
          </cell>
        </row>
        <row r="1297">
          <cell r="A1297">
            <v>40525</v>
          </cell>
          <cell r="B1297">
            <v>2.75</v>
          </cell>
        </row>
        <row r="1298">
          <cell r="A1298">
            <v>40526</v>
          </cell>
          <cell r="B1298">
            <v>2.84</v>
          </cell>
        </row>
        <row r="1299">
          <cell r="A1299">
            <v>40527</v>
          </cell>
          <cell r="B1299">
            <v>2.88</v>
          </cell>
        </row>
        <row r="1300">
          <cell r="A1300">
            <v>40528</v>
          </cell>
          <cell r="B1300">
            <v>2.86</v>
          </cell>
        </row>
        <row r="1301">
          <cell r="A1301">
            <v>40529</v>
          </cell>
          <cell r="B1301">
            <v>2.75</v>
          </cell>
        </row>
        <row r="1302">
          <cell r="A1302">
            <v>40532</v>
          </cell>
          <cell r="B1302">
            <v>2.8</v>
          </cell>
        </row>
        <row r="1303">
          <cell r="A1303">
            <v>40533</v>
          </cell>
          <cell r="B1303">
            <v>2.79</v>
          </cell>
        </row>
        <row r="1304">
          <cell r="A1304">
            <v>40534</v>
          </cell>
          <cell r="B1304">
            <v>2.82</v>
          </cell>
        </row>
        <row r="1305">
          <cell r="A1305">
            <v>40535</v>
          </cell>
          <cell r="B1305">
            <v>2.87</v>
          </cell>
        </row>
        <row r="1306">
          <cell r="A1306">
            <v>40536</v>
          </cell>
          <cell r="B1306">
            <v>2.87</v>
          </cell>
        </row>
        <row r="1307">
          <cell r="A1307">
            <v>40539</v>
          </cell>
          <cell r="B1307">
            <v>2.81</v>
          </cell>
        </row>
        <row r="1308">
          <cell r="A1308">
            <v>40540</v>
          </cell>
          <cell r="B1308">
            <v>2.92</v>
          </cell>
        </row>
        <row r="1309">
          <cell r="A1309">
            <v>40541</v>
          </cell>
          <cell r="B1309">
            <v>2.8</v>
          </cell>
        </row>
        <row r="1310">
          <cell r="A1310">
            <v>40542</v>
          </cell>
          <cell r="B1310">
            <v>2.82</v>
          </cell>
        </row>
        <row r="1311">
          <cell r="A1311">
            <v>40543</v>
          </cell>
          <cell r="B1311">
            <v>2.9</v>
          </cell>
        </row>
        <row r="1312">
          <cell r="A1312">
            <v>40546</v>
          </cell>
          <cell r="B1312">
            <v>2.91</v>
          </cell>
        </row>
        <row r="1313">
          <cell r="A1313">
            <v>40547</v>
          </cell>
          <cell r="B1313">
            <v>2.92</v>
          </cell>
        </row>
        <row r="1314">
          <cell r="A1314">
            <v>40548</v>
          </cell>
          <cell r="B1314">
            <v>3.06</v>
          </cell>
        </row>
        <row r="1315">
          <cell r="A1315">
            <v>40549</v>
          </cell>
          <cell r="B1315">
            <v>2.99</v>
          </cell>
        </row>
        <row r="1316">
          <cell r="A1316">
            <v>40550</v>
          </cell>
          <cell r="B1316">
            <v>2.88</v>
          </cell>
        </row>
        <row r="1317">
          <cell r="A1317">
            <v>40553</v>
          </cell>
          <cell r="B1317">
            <v>2.86</v>
          </cell>
        </row>
        <row r="1318">
          <cell r="A1318">
            <v>40554</v>
          </cell>
          <cell r="B1318">
            <v>2.87</v>
          </cell>
        </row>
        <row r="1319">
          <cell r="A1319">
            <v>40555</v>
          </cell>
          <cell r="B1319">
            <v>2.89</v>
          </cell>
        </row>
        <row r="1320">
          <cell r="A1320">
            <v>40556</v>
          </cell>
          <cell r="B1320">
            <v>2.84</v>
          </cell>
        </row>
        <row r="1321">
          <cell r="A1321">
            <v>40557</v>
          </cell>
          <cell r="B1321">
            <v>2.85</v>
          </cell>
        </row>
        <row r="1322">
          <cell r="A1322">
            <v>40560</v>
          </cell>
          <cell r="B1322">
            <v>2.84</v>
          </cell>
        </row>
        <row r="1323">
          <cell r="A1323">
            <v>40561</v>
          </cell>
          <cell r="B1323">
            <v>2.87</v>
          </cell>
        </row>
        <row r="1324">
          <cell r="A1324">
            <v>40562</v>
          </cell>
          <cell r="B1324">
            <v>2.85</v>
          </cell>
        </row>
        <row r="1325">
          <cell r="A1325">
            <v>40563</v>
          </cell>
          <cell r="B1325">
            <v>2.93</v>
          </cell>
        </row>
        <row r="1326">
          <cell r="A1326">
            <v>40564</v>
          </cell>
          <cell r="B1326">
            <v>2.91</v>
          </cell>
        </row>
        <row r="1327">
          <cell r="A1327">
            <v>40567</v>
          </cell>
          <cell r="B1327">
            <v>2.9</v>
          </cell>
        </row>
        <row r="1328">
          <cell r="A1328">
            <v>40568</v>
          </cell>
          <cell r="B1328">
            <v>2.84</v>
          </cell>
        </row>
        <row r="1329">
          <cell r="A1329">
            <v>40569</v>
          </cell>
          <cell r="B1329">
            <v>2.9</v>
          </cell>
        </row>
        <row r="1330">
          <cell r="A1330">
            <v>40570</v>
          </cell>
          <cell r="B1330">
            <v>2.85</v>
          </cell>
        </row>
        <row r="1331">
          <cell r="A1331">
            <v>40571</v>
          </cell>
          <cell r="B1331">
            <v>2.81</v>
          </cell>
        </row>
        <row r="1332">
          <cell r="A1332">
            <v>40574</v>
          </cell>
          <cell r="B1332">
            <v>2.88</v>
          </cell>
        </row>
        <row r="1333">
          <cell r="A1333">
            <v>40575</v>
          </cell>
          <cell r="B1333">
            <v>2.93</v>
          </cell>
        </row>
        <row r="1334">
          <cell r="A1334">
            <v>40576</v>
          </cell>
          <cell r="B1334">
            <v>3.01</v>
          </cell>
        </row>
        <row r="1335">
          <cell r="A1335">
            <v>40577</v>
          </cell>
          <cell r="B1335">
            <v>3.05</v>
          </cell>
        </row>
        <row r="1336">
          <cell r="A1336">
            <v>40578</v>
          </cell>
          <cell r="B1336">
            <v>3.15</v>
          </cell>
        </row>
        <row r="1337">
          <cell r="A1337">
            <v>40581</v>
          </cell>
          <cell r="B1337">
            <v>3.15</v>
          </cell>
        </row>
        <row r="1338">
          <cell r="A1338">
            <v>40582</v>
          </cell>
          <cell r="B1338">
            <v>3.23</v>
          </cell>
        </row>
        <row r="1339">
          <cell r="A1339">
            <v>40583</v>
          </cell>
          <cell r="B1339">
            <v>3.15</v>
          </cell>
        </row>
        <row r="1340">
          <cell r="A1340">
            <v>40584</v>
          </cell>
          <cell r="B1340">
            <v>3.21</v>
          </cell>
        </row>
        <row r="1341">
          <cell r="A1341">
            <v>40585</v>
          </cell>
          <cell r="B1341">
            <v>3.16</v>
          </cell>
        </row>
        <row r="1342">
          <cell r="A1342">
            <v>40588</v>
          </cell>
          <cell r="B1342">
            <v>3.1</v>
          </cell>
        </row>
        <row r="1343">
          <cell r="A1343">
            <v>40589</v>
          </cell>
          <cell r="B1343">
            <v>3.09</v>
          </cell>
        </row>
        <row r="1344">
          <cell r="A1344">
            <v>40590</v>
          </cell>
          <cell r="B1344">
            <v>3.1</v>
          </cell>
        </row>
        <row r="1345">
          <cell r="A1345">
            <v>40591</v>
          </cell>
          <cell r="B1345">
            <v>3.05</v>
          </cell>
        </row>
        <row r="1346">
          <cell r="A1346">
            <v>40592</v>
          </cell>
          <cell r="B1346">
            <v>3.05</v>
          </cell>
        </row>
        <row r="1347">
          <cell r="A1347">
            <v>40595</v>
          </cell>
          <cell r="B1347">
            <v>3.04</v>
          </cell>
        </row>
        <row r="1348">
          <cell r="A1348">
            <v>40596</v>
          </cell>
          <cell r="B1348">
            <v>2.94</v>
          </cell>
        </row>
        <row r="1349">
          <cell r="A1349">
            <v>40597</v>
          </cell>
          <cell r="B1349">
            <v>2.97</v>
          </cell>
        </row>
        <row r="1350">
          <cell r="A1350">
            <v>40598</v>
          </cell>
          <cell r="B1350">
            <v>2.94</v>
          </cell>
        </row>
        <row r="1351">
          <cell r="A1351">
            <v>40599</v>
          </cell>
          <cell r="B1351">
            <v>2.93</v>
          </cell>
        </row>
        <row r="1352">
          <cell r="A1352">
            <v>40602</v>
          </cell>
          <cell r="B1352">
            <v>2.98</v>
          </cell>
        </row>
        <row r="1353">
          <cell r="A1353">
            <v>40603</v>
          </cell>
          <cell r="B1353">
            <v>2.98</v>
          </cell>
        </row>
        <row r="1354">
          <cell r="A1354">
            <v>40604</v>
          </cell>
          <cell r="B1354">
            <v>3.01</v>
          </cell>
        </row>
        <row r="1355">
          <cell r="A1355">
            <v>40605</v>
          </cell>
          <cell r="B1355">
            <v>3.1</v>
          </cell>
        </row>
        <row r="1356">
          <cell r="A1356">
            <v>40606</v>
          </cell>
          <cell r="B1356">
            <v>3.01</v>
          </cell>
        </row>
        <row r="1357">
          <cell r="A1357">
            <v>40609</v>
          </cell>
          <cell r="B1357">
            <v>3.02</v>
          </cell>
        </row>
        <row r="1358">
          <cell r="A1358">
            <v>40610</v>
          </cell>
          <cell r="B1358">
            <v>3.05</v>
          </cell>
        </row>
        <row r="1359">
          <cell r="A1359">
            <v>40611</v>
          </cell>
          <cell r="B1359">
            <v>2.99</v>
          </cell>
        </row>
        <row r="1360">
          <cell r="A1360">
            <v>40612</v>
          </cell>
          <cell r="B1360">
            <v>2.93</v>
          </cell>
        </row>
        <row r="1361">
          <cell r="A1361">
            <v>40613</v>
          </cell>
          <cell r="B1361">
            <v>2.92</v>
          </cell>
        </row>
        <row r="1362">
          <cell r="A1362">
            <v>40616</v>
          </cell>
          <cell r="B1362">
            <v>2.88</v>
          </cell>
        </row>
        <row r="1363">
          <cell r="A1363">
            <v>40617</v>
          </cell>
          <cell r="B1363">
            <v>2.89</v>
          </cell>
        </row>
        <row r="1364">
          <cell r="A1364">
            <v>40618</v>
          </cell>
          <cell r="B1364">
            <v>2.81</v>
          </cell>
        </row>
        <row r="1365">
          <cell r="A1365">
            <v>40619</v>
          </cell>
          <cell r="B1365">
            <v>2.84</v>
          </cell>
        </row>
        <row r="1366">
          <cell r="A1366">
            <v>40620</v>
          </cell>
          <cell r="B1366">
            <v>2.86</v>
          </cell>
        </row>
        <row r="1367">
          <cell r="A1367">
            <v>40623</v>
          </cell>
          <cell r="B1367">
            <v>2.91</v>
          </cell>
        </row>
        <row r="1368">
          <cell r="A1368">
            <v>40624</v>
          </cell>
          <cell r="B1368">
            <v>2.92</v>
          </cell>
        </row>
        <row r="1369">
          <cell r="A1369">
            <v>40625</v>
          </cell>
          <cell r="B1369">
            <v>2.92</v>
          </cell>
        </row>
        <row r="1370">
          <cell r="A1370">
            <v>40626</v>
          </cell>
          <cell r="B1370">
            <v>2.96</v>
          </cell>
        </row>
        <row r="1371">
          <cell r="A1371">
            <v>40627</v>
          </cell>
          <cell r="B1371">
            <v>3</v>
          </cell>
        </row>
        <row r="1372">
          <cell r="A1372">
            <v>40630</v>
          </cell>
          <cell r="B1372">
            <v>3.01</v>
          </cell>
        </row>
        <row r="1373">
          <cell r="A1373">
            <v>40631</v>
          </cell>
          <cell r="B1373">
            <v>3.04</v>
          </cell>
        </row>
        <row r="1374">
          <cell r="A1374">
            <v>40632</v>
          </cell>
          <cell r="B1374">
            <v>3.01</v>
          </cell>
        </row>
        <row r="1375">
          <cell r="A1375">
            <v>40633</v>
          </cell>
          <cell r="B1375">
            <v>2.96</v>
          </cell>
        </row>
        <row r="1376">
          <cell r="A1376">
            <v>40634</v>
          </cell>
          <cell r="B1376">
            <v>2.98</v>
          </cell>
        </row>
        <row r="1377">
          <cell r="A1377">
            <v>40637</v>
          </cell>
          <cell r="B1377">
            <v>2.94</v>
          </cell>
        </row>
        <row r="1378">
          <cell r="A1378">
            <v>40638</v>
          </cell>
          <cell r="B1378">
            <v>3.01</v>
          </cell>
        </row>
        <row r="1379">
          <cell r="A1379">
            <v>40639</v>
          </cell>
          <cell r="B1379">
            <v>3.05</v>
          </cell>
        </row>
        <row r="1380">
          <cell r="A1380">
            <v>40640</v>
          </cell>
          <cell r="B1380">
            <v>3.02</v>
          </cell>
        </row>
        <row r="1381">
          <cell r="A1381">
            <v>40641</v>
          </cell>
          <cell r="B1381">
            <v>3.03</v>
          </cell>
        </row>
        <row r="1382">
          <cell r="A1382">
            <v>40644</v>
          </cell>
          <cell r="B1382">
            <v>3.03</v>
          </cell>
        </row>
        <row r="1383">
          <cell r="A1383">
            <v>40645</v>
          </cell>
          <cell r="B1383">
            <v>2.96</v>
          </cell>
        </row>
        <row r="1384">
          <cell r="A1384">
            <v>40646</v>
          </cell>
          <cell r="B1384">
            <v>2.93</v>
          </cell>
        </row>
        <row r="1385">
          <cell r="A1385">
            <v>40647</v>
          </cell>
          <cell r="B1385">
            <v>2.95</v>
          </cell>
        </row>
        <row r="1386">
          <cell r="A1386">
            <v>40648</v>
          </cell>
          <cell r="B1386">
            <v>2.88</v>
          </cell>
        </row>
        <row r="1387">
          <cell r="A1387">
            <v>40651</v>
          </cell>
          <cell r="B1387">
            <v>2.85</v>
          </cell>
        </row>
        <row r="1388">
          <cell r="A1388">
            <v>40652</v>
          </cell>
          <cell r="B1388">
            <v>2.84</v>
          </cell>
        </row>
        <row r="1389">
          <cell r="A1389">
            <v>40653</v>
          </cell>
          <cell r="B1389">
            <v>2.88</v>
          </cell>
        </row>
        <row r="1390">
          <cell r="A1390">
            <v>40654</v>
          </cell>
          <cell r="B1390">
            <v>2.88</v>
          </cell>
        </row>
        <row r="1391">
          <cell r="A1391">
            <v>40658</v>
          </cell>
          <cell r="B1391">
            <v>2.85</v>
          </cell>
        </row>
        <row r="1392">
          <cell r="A1392">
            <v>40659</v>
          </cell>
          <cell r="B1392">
            <v>2.81</v>
          </cell>
        </row>
        <row r="1393">
          <cell r="A1393">
            <v>40660</v>
          </cell>
          <cell r="B1393">
            <v>2.83</v>
          </cell>
        </row>
        <row r="1394">
          <cell r="A1394">
            <v>40661</v>
          </cell>
          <cell r="B1394">
            <v>2.78</v>
          </cell>
        </row>
        <row r="1395">
          <cell r="A1395">
            <v>40662</v>
          </cell>
          <cell r="B1395">
            <v>2.74</v>
          </cell>
        </row>
        <row r="1396">
          <cell r="A1396">
            <v>40663</v>
          </cell>
          <cell r="B1396">
            <v>2.76</v>
          </cell>
        </row>
        <row r="1397">
          <cell r="A1397">
            <v>40665</v>
          </cell>
          <cell r="B1397">
            <v>2.76</v>
          </cell>
        </row>
        <row r="1398">
          <cell r="A1398">
            <v>40666</v>
          </cell>
          <cell r="B1398">
            <v>2.74</v>
          </cell>
        </row>
        <row r="1399">
          <cell r="A1399">
            <v>40667</v>
          </cell>
          <cell r="B1399">
            <v>2.72</v>
          </cell>
        </row>
        <row r="1400">
          <cell r="A1400">
            <v>40668</v>
          </cell>
          <cell r="B1400">
            <v>2.69</v>
          </cell>
        </row>
        <row r="1401">
          <cell r="A1401">
            <v>40669</v>
          </cell>
          <cell r="B1401">
            <v>2.67</v>
          </cell>
        </row>
        <row r="1402">
          <cell r="A1402">
            <v>40672</v>
          </cell>
          <cell r="B1402">
            <v>2.65</v>
          </cell>
        </row>
        <row r="1403">
          <cell r="A1403">
            <v>40673</v>
          </cell>
          <cell r="B1403">
            <v>2.7</v>
          </cell>
        </row>
        <row r="1404">
          <cell r="A1404">
            <v>40674</v>
          </cell>
          <cell r="B1404">
            <v>2.67</v>
          </cell>
        </row>
        <row r="1405">
          <cell r="A1405">
            <v>40675</v>
          </cell>
          <cell r="B1405">
            <v>2.69</v>
          </cell>
        </row>
        <row r="1406">
          <cell r="A1406">
            <v>40676</v>
          </cell>
          <cell r="B1406">
            <v>2.66</v>
          </cell>
        </row>
        <row r="1407">
          <cell r="A1407">
            <v>40679</v>
          </cell>
          <cell r="B1407">
            <v>2.63</v>
          </cell>
        </row>
        <row r="1408">
          <cell r="A1408">
            <v>40680</v>
          </cell>
          <cell r="B1408">
            <v>2.61</v>
          </cell>
        </row>
        <row r="1409">
          <cell r="A1409">
            <v>40681</v>
          </cell>
          <cell r="B1409">
            <v>2.66</v>
          </cell>
        </row>
        <row r="1410">
          <cell r="A1410">
            <v>40682</v>
          </cell>
          <cell r="B1410">
            <v>2.65</v>
          </cell>
        </row>
        <row r="1411">
          <cell r="A1411">
            <v>40683</v>
          </cell>
          <cell r="B1411">
            <v>2.64</v>
          </cell>
        </row>
        <row r="1412">
          <cell r="A1412">
            <v>40686</v>
          </cell>
          <cell r="B1412">
            <v>2.62</v>
          </cell>
        </row>
        <row r="1413">
          <cell r="A1413">
            <v>40687</v>
          </cell>
          <cell r="B1413">
            <v>2.63</v>
          </cell>
        </row>
        <row r="1414">
          <cell r="A1414">
            <v>40688</v>
          </cell>
          <cell r="B1414">
            <v>2.63</v>
          </cell>
        </row>
        <row r="1415">
          <cell r="A1415">
            <v>40689</v>
          </cell>
          <cell r="B1415">
            <v>2.57</v>
          </cell>
        </row>
        <row r="1416">
          <cell r="A1416">
            <v>40690</v>
          </cell>
          <cell r="B1416">
            <v>2.57</v>
          </cell>
        </row>
        <row r="1417">
          <cell r="A1417">
            <v>40693</v>
          </cell>
          <cell r="B1417">
            <v>2.56</v>
          </cell>
        </row>
        <row r="1418">
          <cell r="A1418">
            <v>40694</v>
          </cell>
          <cell r="B1418">
            <v>2.56</v>
          </cell>
        </row>
        <row r="1419">
          <cell r="A1419">
            <v>40695</v>
          </cell>
          <cell r="B1419">
            <v>2.5099999999999998</v>
          </cell>
        </row>
        <row r="1420">
          <cell r="A1420">
            <v>40696</v>
          </cell>
          <cell r="B1420">
            <v>2.56</v>
          </cell>
        </row>
        <row r="1421">
          <cell r="A1421">
            <v>40697</v>
          </cell>
          <cell r="B1421">
            <v>2.5299999999999998</v>
          </cell>
        </row>
        <row r="1422">
          <cell r="A1422">
            <v>40700</v>
          </cell>
          <cell r="B1422">
            <v>2.5299999999999998</v>
          </cell>
        </row>
        <row r="1423">
          <cell r="A1423">
            <v>40701</v>
          </cell>
          <cell r="B1423">
            <v>2.52</v>
          </cell>
        </row>
        <row r="1424">
          <cell r="A1424">
            <v>40702</v>
          </cell>
          <cell r="B1424">
            <v>2.4700000000000002</v>
          </cell>
        </row>
        <row r="1425">
          <cell r="A1425">
            <v>40703</v>
          </cell>
          <cell r="B1425">
            <v>2.52</v>
          </cell>
        </row>
        <row r="1426">
          <cell r="A1426">
            <v>40704</v>
          </cell>
          <cell r="B1426">
            <v>2.4900000000000002</v>
          </cell>
        </row>
        <row r="1427">
          <cell r="A1427">
            <v>40707</v>
          </cell>
          <cell r="B1427">
            <v>2.52</v>
          </cell>
        </row>
        <row r="1428">
          <cell r="A1428">
            <v>40708</v>
          </cell>
          <cell r="B1428">
            <v>2.59</v>
          </cell>
        </row>
        <row r="1429">
          <cell r="A1429">
            <v>40709</v>
          </cell>
          <cell r="B1429">
            <v>2.4900000000000002</v>
          </cell>
        </row>
        <row r="1430">
          <cell r="A1430">
            <v>40710</v>
          </cell>
          <cell r="B1430">
            <v>2.4700000000000002</v>
          </cell>
        </row>
        <row r="1431">
          <cell r="A1431">
            <v>40711</v>
          </cell>
          <cell r="B1431">
            <v>2.4900000000000002</v>
          </cell>
        </row>
        <row r="1432">
          <cell r="A1432">
            <v>40714</v>
          </cell>
          <cell r="B1432">
            <v>2.4900000000000002</v>
          </cell>
        </row>
        <row r="1433">
          <cell r="A1433">
            <v>40715</v>
          </cell>
          <cell r="B1433">
            <v>2.5099999999999998</v>
          </cell>
        </row>
        <row r="1434">
          <cell r="A1434">
            <v>40716</v>
          </cell>
          <cell r="B1434">
            <v>2.5099999999999998</v>
          </cell>
        </row>
        <row r="1435">
          <cell r="A1435">
            <v>40717</v>
          </cell>
          <cell r="B1435">
            <v>2.44</v>
          </cell>
        </row>
        <row r="1436">
          <cell r="A1436">
            <v>40718</v>
          </cell>
          <cell r="B1436">
            <v>2.41</v>
          </cell>
        </row>
        <row r="1437">
          <cell r="A1437">
            <v>40721</v>
          </cell>
          <cell r="B1437">
            <v>2.48</v>
          </cell>
        </row>
        <row r="1438">
          <cell r="A1438">
            <v>40722</v>
          </cell>
          <cell r="B1438">
            <v>2.58</v>
          </cell>
        </row>
        <row r="1439">
          <cell r="A1439">
            <v>40723</v>
          </cell>
          <cell r="B1439">
            <v>2.61</v>
          </cell>
        </row>
        <row r="1440">
          <cell r="A1440">
            <v>40724</v>
          </cell>
          <cell r="B1440">
            <v>2.64</v>
          </cell>
        </row>
        <row r="1441">
          <cell r="A1441">
            <v>40725</v>
          </cell>
          <cell r="B1441">
            <v>2.67</v>
          </cell>
        </row>
        <row r="1442">
          <cell r="A1442">
            <v>40728</v>
          </cell>
          <cell r="B1442">
            <v>2.67</v>
          </cell>
        </row>
        <row r="1443">
          <cell r="A1443">
            <v>40729</v>
          </cell>
          <cell r="B1443">
            <v>2.6</v>
          </cell>
        </row>
        <row r="1444">
          <cell r="A1444">
            <v>40730</v>
          </cell>
          <cell r="B1444">
            <v>2.57</v>
          </cell>
        </row>
        <row r="1445">
          <cell r="A1445">
            <v>40731</v>
          </cell>
          <cell r="B1445">
            <v>2.63</v>
          </cell>
        </row>
        <row r="1446">
          <cell r="A1446">
            <v>40732</v>
          </cell>
          <cell r="B1446">
            <v>2.5099999999999998</v>
          </cell>
        </row>
        <row r="1447">
          <cell r="A1447">
            <v>40735</v>
          </cell>
          <cell r="B1447">
            <v>2.4300000000000002</v>
          </cell>
        </row>
        <row r="1448">
          <cell r="A1448">
            <v>40736</v>
          </cell>
          <cell r="B1448">
            <v>2.4300000000000002</v>
          </cell>
        </row>
        <row r="1449">
          <cell r="A1449">
            <v>40737</v>
          </cell>
          <cell r="B1449">
            <v>2.42</v>
          </cell>
        </row>
        <row r="1450">
          <cell r="A1450">
            <v>40738</v>
          </cell>
          <cell r="B1450">
            <v>2.44</v>
          </cell>
        </row>
        <row r="1451">
          <cell r="A1451">
            <v>40739</v>
          </cell>
          <cell r="B1451">
            <v>2.42</v>
          </cell>
        </row>
        <row r="1452">
          <cell r="A1452">
            <v>40742</v>
          </cell>
          <cell r="B1452">
            <v>2.4300000000000002</v>
          </cell>
        </row>
        <row r="1453">
          <cell r="A1453">
            <v>40743</v>
          </cell>
          <cell r="B1453">
            <v>2.42</v>
          </cell>
        </row>
        <row r="1454">
          <cell r="A1454">
            <v>40744</v>
          </cell>
          <cell r="B1454">
            <v>2.4500000000000002</v>
          </cell>
        </row>
        <row r="1455">
          <cell r="A1455">
            <v>40745</v>
          </cell>
          <cell r="B1455">
            <v>2.5099999999999998</v>
          </cell>
        </row>
        <row r="1456">
          <cell r="A1456">
            <v>40746</v>
          </cell>
          <cell r="B1456">
            <v>2.4700000000000002</v>
          </cell>
        </row>
        <row r="1457">
          <cell r="A1457">
            <v>40749</v>
          </cell>
          <cell r="B1457">
            <v>2.5</v>
          </cell>
        </row>
        <row r="1458">
          <cell r="A1458">
            <v>40750</v>
          </cell>
          <cell r="B1458">
            <v>2.46</v>
          </cell>
        </row>
        <row r="1459">
          <cell r="A1459">
            <v>40751</v>
          </cell>
          <cell r="B1459">
            <v>2.4900000000000002</v>
          </cell>
        </row>
        <row r="1460">
          <cell r="A1460">
            <v>40752</v>
          </cell>
          <cell r="B1460">
            <v>2.5099999999999998</v>
          </cell>
        </row>
        <row r="1461">
          <cell r="A1461">
            <v>40753</v>
          </cell>
          <cell r="B1461">
            <v>2.4</v>
          </cell>
        </row>
        <row r="1462">
          <cell r="A1462">
            <v>40755</v>
          </cell>
          <cell r="B1462">
            <v>2.44</v>
          </cell>
        </row>
        <row r="1463">
          <cell r="A1463">
            <v>40756</v>
          </cell>
          <cell r="B1463">
            <v>2.41</v>
          </cell>
        </row>
        <row r="1464">
          <cell r="A1464">
            <v>40757</v>
          </cell>
          <cell r="B1464">
            <v>2.33</v>
          </cell>
        </row>
        <row r="1465">
          <cell r="A1465">
            <v>40758</v>
          </cell>
          <cell r="B1465">
            <v>2.33</v>
          </cell>
        </row>
        <row r="1466">
          <cell r="A1466">
            <v>40759</v>
          </cell>
          <cell r="B1466">
            <v>2.25</v>
          </cell>
        </row>
        <row r="1467">
          <cell r="A1467">
            <v>40760</v>
          </cell>
          <cell r="B1467">
            <v>2.33</v>
          </cell>
        </row>
        <row r="1468">
          <cell r="A1468">
            <v>40763</v>
          </cell>
          <cell r="B1468">
            <v>2.29</v>
          </cell>
        </row>
        <row r="1469">
          <cell r="A1469">
            <v>40764</v>
          </cell>
          <cell r="B1469">
            <v>2.1800000000000002</v>
          </cell>
        </row>
        <row r="1470">
          <cell r="A1470">
            <v>40765</v>
          </cell>
          <cell r="B1470">
            <v>2.15</v>
          </cell>
        </row>
        <row r="1471">
          <cell r="A1471">
            <v>40766</v>
          </cell>
          <cell r="B1471">
            <v>2.2400000000000002</v>
          </cell>
        </row>
        <row r="1472">
          <cell r="A1472">
            <v>40767</v>
          </cell>
          <cell r="B1472">
            <v>2.2000000000000002</v>
          </cell>
        </row>
        <row r="1473">
          <cell r="A1473">
            <v>40770</v>
          </cell>
          <cell r="B1473">
            <v>2.2400000000000002</v>
          </cell>
        </row>
        <row r="1474">
          <cell r="A1474">
            <v>40771</v>
          </cell>
          <cell r="B1474">
            <v>2.19</v>
          </cell>
        </row>
        <row r="1475">
          <cell r="A1475">
            <v>40772</v>
          </cell>
          <cell r="B1475">
            <v>2.16</v>
          </cell>
        </row>
        <row r="1476">
          <cell r="A1476">
            <v>40773</v>
          </cell>
          <cell r="B1476">
            <v>2.14</v>
          </cell>
        </row>
        <row r="1477">
          <cell r="A1477">
            <v>40774</v>
          </cell>
          <cell r="B1477">
            <v>2.14</v>
          </cell>
        </row>
        <row r="1478">
          <cell r="A1478">
            <v>40777</v>
          </cell>
          <cell r="B1478">
            <v>2.15</v>
          </cell>
        </row>
        <row r="1479">
          <cell r="A1479">
            <v>40778</v>
          </cell>
          <cell r="B1479">
            <v>2.1800000000000002</v>
          </cell>
        </row>
        <row r="1480">
          <cell r="A1480">
            <v>40779</v>
          </cell>
          <cell r="B1480">
            <v>2.25</v>
          </cell>
        </row>
        <row r="1481">
          <cell r="A1481">
            <v>40780</v>
          </cell>
          <cell r="B1481">
            <v>2.2200000000000002</v>
          </cell>
        </row>
        <row r="1482">
          <cell r="A1482">
            <v>40781</v>
          </cell>
          <cell r="B1482">
            <v>2.19</v>
          </cell>
        </row>
        <row r="1483">
          <cell r="A1483">
            <v>40784</v>
          </cell>
          <cell r="B1483">
            <v>2.23</v>
          </cell>
        </row>
        <row r="1484">
          <cell r="A1484">
            <v>40785</v>
          </cell>
          <cell r="B1484">
            <v>2.1800000000000002</v>
          </cell>
        </row>
        <row r="1485">
          <cell r="A1485">
            <v>40786</v>
          </cell>
          <cell r="B1485">
            <v>2.2599999999999998</v>
          </cell>
        </row>
        <row r="1486">
          <cell r="A1486">
            <v>40787</v>
          </cell>
          <cell r="B1486">
            <v>2.2200000000000002</v>
          </cell>
        </row>
        <row r="1487">
          <cell r="A1487">
            <v>40788</v>
          </cell>
          <cell r="B1487">
            <v>2.16</v>
          </cell>
        </row>
        <row r="1488">
          <cell r="A1488">
            <v>40791</v>
          </cell>
          <cell r="B1488">
            <v>2.16</v>
          </cell>
        </row>
        <row r="1489">
          <cell r="A1489">
            <v>40792</v>
          </cell>
          <cell r="B1489">
            <v>2.16</v>
          </cell>
        </row>
        <row r="1490">
          <cell r="A1490">
            <v>40793</v>
          </cell>
          <cell r="B1490">
            <v>2.19</v>
          </cell>
        </row>
        <row r="1491">
          <cell r="A1491">
            <v>40794</v>
          </cell>
          <cell r="B1491">
            <v>2.16</v>
          </cell>
        </row>
        <row r="1492">
          <cell r="A1492">
            <v>40795</v>
          </cell>
          <cell r="B1492">
            <v>2.12</v>
          </cell>
        </row>
        <row r="1493">
          <cell r="A1493">
            <v>40798</v>
          </cell>
          <cell r="B1493">
            <v>2.16</v>
          </cell>
        </row>
        <row r="1494">
          <cell r="A1494">
            <v>40799</v>
          </cell>
          <cell r="B1494">
            <v>2.21</v>
          </cell>
        </row>
        <row r="1495">
          <cell r="A1495">
            <v>40800</v>
          </cell>
          <cell r="B1495">
            <v>2.21</v>
          </cell>
        </row>
        <row r="1496">
          <cell r="A1496">
            <v>40801</v>
          </cell>
          <cell r="B1496">
            <v>2.25</v>
          </cell>
        </row>
        <row r="1497">
          <cell r="A1497">
            <v>40802</v>
          </cell>
          <cell r="B1497">
            <v>2.2400000000000002</v>
          </cell>
        </row>
        <row r="1498">
          <cell r="A1498">
            <v>40805</v>
          </cell>
          <cell r="B1498">
            <v>2.15</v>
          </cell>
        </row>
        <row r="1499">
          <cell r="A1499">
            <v>40806</v>
          </cell>
          <cell r="B1499">
            <v>2.17</v>
          </cell>
        </row>
        <row r="1500">
          <cell r="A1500">
            <v>40807</v>
          </cell>
          <cell r="B1500">
            <v>2.17</v>
          </cell>
        </row>
        <row r="1501">
          <cell r="A1501">
            <v>40808</v>
          </cell>
          <cell r="B1501">
            <v>2.12</v>
          </cell>
        </row>
        <row r="1502">
          <cell r="A1502">
            <v>40809</v>
          </cell>
          <cell r="B1502">
            <v>2.1800000000000002</v>
          </cell>
        </row>
        <row r="1503">
          <cell r="A1503">
            <v>40812</v>
          </cell>
          <cell r="B1503">
            <v>2.23</v>
          </cell>
        </row>
        <row r="1504">
          <cell r="A1504">
            <v>40813</v>
          </cell>
          <cell r="B1504">
            <v>2.2999999999999998</v>
          </cell>
        </row>
        <row r="1505">
          <cell r="A1505">
            <v>40814</v>
          </cell>
          <cell r="B1505">
            <v>2.2799999999999998</v>
          </cell>
        </row>
        <row r="1506">
          <cell r="A1506">
            <v>40815</v>
          </cell>
          <cell r="B1506">
            <v>2.25</v>
          </cell>
        </row>
        <row r="1507">
          <cell r="A1507">
            <v>40816</v>
          </cell>
          <cell r="B1507">
            <v>2.2200000000000002</v>
          </cell>
        </row>
        <row r="1508">
          <cell r="A1508">
            <v>40819</v>
          </cell>
          <cell r="B1508">
            <v>2.14</v>
          </cell>
        </row>
        <row r="1509">
          <cell r="A1509">
            <v>40820</v>
          </cell>
          <cell r="B1509">
            <v>2.16</v>
          </cell>
        </row>
        <row r="1510">
          <cell r="A1510">
            <v>40821</v>
          </cell>
          <cell r="B1510">
            <v>2.2400000000000002</v>
          </cell>
        </row>
        <row r="1511">
          <cell r="A1511">
            <v>40822</v>
          </cell>
          <cell r="B1511">
            <v>2.29</v>
          </cell>
        </row>
        <row r="1512">
          <cell r="A1512">
            <v>40823</v>
          </cell>
          <cell r="B1512">
            <v>2.34</v>
          </cell>
        </row>
        <row r="1513">
          <cell r="A1513">
            <v>40826</v>
          </cell>
          <cell r="B1513">
            <v>2.34</v>
          </cell>
        </row>
        <row r="1514">
          <cell r="A1514">
            <v>40827</v>
          </cell>
          <cell r="B1514">
            <v>2.4</v>
          </cell>
        </row>
        <row r="1515">
          <cell r="A1515">
            <v>40828</v>
          </cell>
          <cell r="B1515">
            <v>2.42</v>
          </cell>
        </row>
        <row r="1516">
          <cell r="A1516">
            <v>40829</v>
          </cell>
          <cell r="B1516">
            <v>2.37</v>
          </cell>
        </row>
        <row r="1517">
          <cell r="A1517">
            <v>40830</v>
          </cell>
          <cell r="B1517">
            <v>2.39</v>
          </cell>
        </row>
        <row r="1518">
          <cell r="A1518">
            <v>40833</v>
          </cell>
          <cell r="B1518">
            <v>2.33</v>
          </cell>
        </row>
        <row r="1519">
          <cell r="A1519">
            <v>40834</v>
          </cell>
          <cell r="B1519">
            <v>2.3199999999999998</v>
          </cell>
        </row>
        <row r="1520">
          <cell r="A1520">
            <v>40835</v>
          </cell>
          <cell r="B1520">
            <v>2.31</v>
          </cell>
        </row>
        <row r="1521">
          <cell r="A1521">
            <v>40836</v>
          </cell>
          <cell r="B1521">
            <v>2.3199999999999998</v>
          </cell>
        </row>
        <row r="1522">
          <cell r="A1522">
            <v>40837</v>
          </cell>
          <cell r="B1522">
            <v>2.2999999999999998</v>
          </cell>
        </row>
        <row r="1523">
          <cell r="A1523">
            <v>40840</v>
          </cell>
          <cell r="B1523">
            <v>2.2999999999999998</v>
          </cell>
        </row>
        <row r="1524">
          <cell r="A1524">
            <v>40841</v>
          </cell>
          <cell r="B1524">
            <v>2.23</v>
          </cell>
        </row>
        <row r="1525">
          <cell r="A1525">
            <v>40842</v>
          </cell>
          <cell r="B1525">
            <v>2.2799999999999998</v>
          </cell>
        </row>
        <row r="1526">
          <cell r="A1526">
            <v>40843</v>
          </cell>
          <cell r="B1526">
            <v>2.34</v>
          </cell>
        </row>
        <row r="1527">
          <cell r="A1527">
            <v>40844</v>
          </cell>
          <cell r="B1527">
            <v>2.2799999999999998</v>
          </cell>
        </row>
        <row r="1528">
          <cell r="A1528">
            <v>40847</v>
          </cell>
          <cell r="B1528">
            <v>2.21</v>
          </cell>
        </row>
        <row r="1529">
          <cell r="A1529">
            <v>40848</v>
          </cell>
          <cell r="B1529">
            <v>2.11</v>
          </cell>
        </row>
        <row r="1530">
          <cell r="A1530">
            <v>40849</v>
          </cell>
          <cell r="B1530">
            <v>2.13</v>
          </cell>
        </row>
        <row r="1531">
          <cell r="A1531">
            <v>40850</v>
          </cell>
          <cell r="B1531">
            <v>2.17</v>
          </cell>
        </row>
        <row r="1532">
          <cell r="A1532">
            <v>40851</v>
          </cell>
          <cell r="B1532">
            <v>2.16</v>
          </cell>
        </row>
        <row r="1533">
          <cell r="A1533">
            <v>40854</v>
          </cell>
          <cell r="B1533">
            <v>2.12</v>
          </cell>
        </row>
        <row r="1534">
          <cell r="A1534">
            <v>40855</v>
          </cell>
          <cell r="B1534">
            <v>2.1800000000000002</v>
          </cell>
        </row>
        <row r="1535">
          <cell r="A1535">
            <v>40856</v>
          </cell>
          <cell r="B1535">
            <v>2.14</v>
          </cell>
        </row>
        <row r="1536">
          <cell r="A1536">
            <v>40857</v>
          </cell>
          <cell r="B1536">
            <v>2.2000000000000002</v>
          </cell>
        </row>
        <row r="1537">
          <cell r="A1537">
            <v>40858</v>
          </cell>
          <cell r="B1537">
            <v>2.2000000000000002</v>
          </cell>
        </row>
        <row r="1538">
          <cell r="A1538">
            <v>40861</v>
          </cell>
          <cell r="B1538">
            <v>2.19</v>
          </cell>
        </row>
        <row r="1539">
          <cell r="A1539">
            <v>40862</v>
          </cell>
          <cell r="B1539">
            <v>2.21</v>
          </cell>
        </row>
        <row r="1540">
          <cell r="A1540">
            <v>40863</v>
          </cell>
          <cell r="B1540">
            <v>2.21</v>
          </cell>
        </row>
        <row r="1541">
          <cell r="A1541">
            <v>40864</v>
          </cell>
          <cell r="B1541">
            <v>2.2000000000000002</v>
          </cell>
        </row>
        <row r="1542">
          <cell r="A1542">
            <v>40865</v>
          </cell>
          <cell r="B1542">
            <v>2.2400000000000002</v>
          </cell>
        </row>
        <row r="1543">
          <cell r="A1543">
            <v>40868</v>
          </cell>
          <cell r="B1543">
            <v>2.2200000000000002</v>
          </cell>
        </row>
        <row r="1544">
          <cell r="A1544">
            <v>40869</v>
          </cell>
          <cell r="B1544">
            <v>2.2200000000000002</v>
          </cell>
        </row>
        <row r="1545">
          <cell r="A1545">
            <v>40870</v>
          </cell>
          <cell r="B1545">
            <v>2.19</v>
          </cell>
        </row>
        <row r="1546">
          <cell r="A1546">
            <v>40871</v>
          </cell>
          <cell r="B1546">
            <v>2.19</v>
          </cell>
        </row>
        <row r="1547">
          <cell r="A1547">
            <v>40872</v>
          </cell>
          <cell r="B1547">
            <v>2.2400000000000002</v>
          </cell>
        </row>
        <row r="1548">
          <cell r="A1548">
            <v>40875</v>
          </cell>
          <cell r="B1548">
            <v>2.2400000000000002</v>
          </cell>
        </row>
        <row r="1549">
          <cell r="A1549">
            <v>40876</v>
          </cell>
          <cell r="B1549">
            <v>2.25</v>
          </cell>
        </row>
        <row r="1550">
          <cell r="A1550">
            <v>40877</v>
          </cell>
          <cell r="B1550">
            <v>2.29</v>
          </cell>
        </row>
        <row r="1551">
          <cell r="A1551">
            <v>40878</v>
          </cell>
          <cell r="B1551">
            <v>2.37</v>
          </cell>
        </row>
        <row r="1552">
          <cell r="A1552">
            <v>40879</v>
          </cell>
          <cell r="B1552">
            <v>2.31</v>
          </cell>
        </row>
        <row r="1553">
          <cell r="A1553">
            <v>40882</v>
          </cell>
          <cell r="B1553">
            <v>2.3199999999999998</v>
          </cell>
        </row>
        <row r="1554">
          <cell r="A1554">
            <v>40883</v>
          </cell>
          <cell r="B1554">
            <v>2.34</v>
          </cell>
        </row>
        <row r="1555">
          <cell r="A1555">
            <v>40884</v>
          </cell>
          <cell r="B1555">
            <v>2.31</v>
          </cell>
        </row>
        <row r="1556">
          <cell r="A1556">
            <v>40885</v>
          </cell>
          <cell r="B1556">
            <v>2.2799999999999998</v>
          </cell>
        </row>
        <row r="1557">
          <cell r="A1557">
            <v>40886</v>
          </cell>
          <cell r="B1557">
            <v>2.34</v>
          </cell>
        </row>
        <row r="1558">
          <cell r="A1558">
            <v>40889</v>
          </cell>
          <cell r="B1558">
            <v>2.33</v>
          </cell>
        </row>
        <row r="1559">
          <cell r="A1559">
            <v>40890</v>
          </cell>
          <cell r="B1559">
            <v>2.33</v>
          </cell>
        </row>
        <row r="1560">
          <cell r="A1560">
            <v>40891</v>
          </cell>
          <cell r="B1560">
            <v>2.31</v>
          </cell>
        </row>
        <row r="1561">
          <cell r="A1561">
            <v>40892</v>
          </cell>
          <cell r="B1561">
            <v>2.33</v>
          </cell>
        </row>
        <row r="1562">
          <cell r="A1562">
            <v>40893</v>
          </cell>
          <cell r="B1562">
            <v>2.29</v>
          </cell>
        </row>
        <row r="1563">
          <cell r="A1563">
            <v>40896</v>
          </cell>
          <cell r="B1563">
            <v>2.27</v>
          </cell>
        </row>
        <row r="1564">
          <cell r="A1564">
            <v>40897</v>
          </cell>
          <cell r="B1564">
            <v>2.3199999999999998</v>
          </cell>
        </row>
        <row r="1565">
          <cell r="A1565">
            <v>40898</v>
          </cell>
          <cell r="B1565">
            <v>2.36</v>
          </cell>
        </row>
        <row r="1566">
          <cell r="A1566">
            <v>40899</v>
          </cell>
          <cell r="B1566">
            <v>2.36</v>
          </cell>
        </row>
        <row r="1567">
          <cell r="A1567">
            <v>40900</v>
          </cell>
          <cell r="B1567">
            <v>2.41</v>
          </cell>
        </row>
        <row r="1568">
          <cell r="A1568">
            <v>40904</v>
          </cell>
          <cell r="B1568">
            <v>2.4</v>
          </cell>
        </row>
        <row r="1569">
          <cell r="A1569">
            <v>40905</v>
          </cell>
          <cell r="B1569">
            <v>2.33</v>
          </cell>
        </row>
        <row r="1570">
          <cell r="A1570">
            <v>40906</v>
          </cell>
          <cell r="B1570">
            <v>2.3199999999999998</v>
          </cell>
        </row>
        <row r="1571">
          <cell r="A1571">
            <v>40907</v>
          </cell>
          <cell r="B1571">
            <v>2.29</v>
          </cell>
        </row>
        <row r="1572">
          <cell r="A1572">
            <v>40908</v>
          </cell>
          <cell r="B1572">
            <v>2.0699999999999998</v>
          </cell>
        </row>
        <row r="1573">
          <cell r="A1573">
            <v>40911</v>
          </cell>
          <cell r="B1573">
            <v>2.13</v>
          </cell>
        </row>
        <row r="1574">
          <cell r="A1574">
            <v>40912</v>
          </cell>
          <cell r="B1574">
            <v>2.14</v>
          </cell>
        </row>
        <row r="1575">
          <cell r="A1575">
            <v>40913</v>
          </cell>
          <cell r="B1575">
            <v>2.14</v>
          </cell>
        </row>
        <row r="1576">
          <cell r="A1576">
            <v>40914</v>
          </cell>
          <cell r="B1576">
            <v>2.12</v>
          </cell>
        </row>
        <row r="1577">
          <cell r="A1577">
            <v>40917</v>
          </cell>
          <cell r="B1577">
            <v>2.11</v>
          </cell>
        </row>
        <row r="1578">
          <cell r="A1578">
            <v>40918</v>
          </cell>
          <cell r="B1578">
            <v>2.11</v>
          </cell>
        </row>
        <row r="1579">
          <cell r="A1579">
            <v>40919</v>
          </cell>
          <cell r="B1579">
            <v>2.08</v>
          </cell>
        </row>
        <row r="1580">
          <cell r="A1580">
            <v>40920</v>
          </cell>
          <cell r="B1580">
            <v>2.09</v>
          </cell>
        </row>
        <row r="1581">
          <cell r="A1581">
            <v>40921</v>
          </cell>
          <cell r="B1581">
            <v>2.0499999999999998</v>
          </cell>
        </row>
        <row r="1582">
          <cell r="A1582">
            <v>40924</v>
          </cell>
          <cell r="B1582">
            <v>2.04</v>
          </cell>
        </row>
        <row r="1583">
          <cell r="A1583">
            <v>40925</v>
          </cell>
          <cell r="B1583">
            <v>2.04</v>
          </cell>
        </row>
        <row r="1584">
          <cell r="A1584">
            <v>40926</v>
          </cell>
          <cell r="B1584">
            <v>2.06</v>
          </cell>
        </row>
        <row r="1585">
          <cell r="A1585">
            <v>40927</v>
          </cell>
          <cell r="B1585">
            <v>2.1</v>
          </cell>
        </row>
        <row r="1586">
          <cell r="A1586">
            <v>40928</v>
          </cell>
          <cell r="B1586">
            <v>2.12</v>
          </cell>
        </row>
        <row r="1587">
          <cell r="A1587">
            <v>40931</v>
          </cell>
          <cell r="B1587">
            <v>2.14</v>
          </cell>
        </row>
        <row r="1588">
          <cell r="A1588">
            <v>40932</v>
          </cell>
          <cell r="B1588">
            <v>2.13</v>
          </cell>
        </row>
        <row r="1589">
          <cell r="A1589">
            <v>40933</v>
          </cell>
          <cell r="B1589">
            <v>2.08</v>
          </cell>
        </row>
        <row r="1590">
          <cell r="A1590">
            <v>40934</v>
          </cell>
          <cell r="B1590">
            <v>2.0299999999999998</v>
          </cell>
        </row>
        <row r="1591">
          <cell r="A1591">
            <v>40935</v>
          </cell>
          <cell r="B1591">
            <v>2.02</v>
          </cell>
        </row>
        <row r="1592">
          <cell r="A1592">
            <v>40938</v>
          </cell>
          <cell r="B1592">
            <v>1.98</v>
          </cell>
        </row>
        <row r="1593">
          <cell r="A1593">
            <v>40939</v>
          </cell>
          <cell r="B1593">
            <v>1.97</v>
          </cell>
        </row>
        <row r="1594">
          <cell r="A1594">
            <v>40940</v>
          </cell>
          <cell r="B1594">
            <v>1.99</v>
          </cell>
        </row>
        <row r="1595">
          <cell r="A1595">
            <v>40941</v>
          </cell>
          <cell r="B1595">
            <v>1.99</v>
          </cell>
        </row>
        <row r="1596">
          <cell r="A1596">
            <v>40942</v>
          </cell>
          <cell r="B1596">
            <v>2.04</v>
          </cell>
        </row>
        <row r="1597">
          <cell r="A1597">
            <v>40945</v>
          </cell>
          <cell r="B1597">
            <v>2</v>
          </cell>
        </row>
        <row r="1598">
          <cell r="A1598">
            <v>40946</v>
          </cell>
          <cell r="B1598">
            <v>2.0299999999999998</v>
          </cell>
        </row>
        <row r="1599">
          <cell r="A1599">
            <v>40947</v>
          </cell>
          <cell r="B1599">
            <v>2.02</v>
          </cell>
        </row>
        <row r="1600">
          <cell r="A1600">
            <v>40948</v>
          </cell>
          <cell r="B1600">
            <v>2.04</v>
          </cell>
        </row>
        <row r="1601">
          <cell r="A1601">
            <v>40949</v>
          </cell>
          <cell r="B1601">
            <v>1.99</v>
          </cell>
        </row>
        <row r="1602">
          <cell r="A1602">
            <v>40952</v>
          </cell>
          <cell r="B1602">
            <v>2.0099999999999998</v>
          </cell>
        </row>
        <row r="1603">
          <cell r="A1603">
            <v>40953</v>
          </cell>
          <cell r="B1603">
            <v>1.98</v>
          </cell>
        </row>
        <row r="1604">
          <cell r="A1604">
            <v>40954</v>
          </cell>
          <cell r="B1604">
            <v>1.97</v>
          </cell>
        </row>
        <row r="1605">
          <cell r="A1605">
            <v>40955</v>
          </cell>
          <cell r="B1605">
            <v>2.0099999999999998</v>
          </cell>
        </row>
        <row r="1606">
          <cell r="A1606">
            <v>40956</v>
          </cell>
          <cell r="B1606">
            <v>2.0099999999999998</v>
          </cell>
        </row>
        <row r="1607">
          <cell r="A1607">
            <v>40959</v>
          </cell>
          <cell r="B1607">
            <v>2.0099999999999998</v>
          </cell>
        </row>
        <row r="1608">
          <cell r="A1608">
            <v>40960</v>
          </cell>
          <cell r="B1608">
            <v>2.0299999999999998</v>
          </cell>
        </row>
        <row r="1609">
          <cell r="A1609">
            <v>40961</v>
          </cell>
          <cell r="B1609">
            <v>2</v>
          </cell>
        </row>
        <row r="1610">
          <cell r="A1610">
            <v>40962</v>
          </cell>
          <cell r="B1610">
            <v>1.98</v>
          </cell>
        </row>
        <row r="1611">
          <cell r="A1611">
            <v>40963</v>
          </cell>
          <cell r="B1611">
            <v>1.99</v>
          </cell>
        </row>
        <row r="1612">
          <cell r="A1612">
            <v>40966</v>
          </cell>
          <cell r="B1612">
            <v>1.95</v>
          </cell>
        </row>
        <row r="1613">
          <cell r="A1613">
            <v>40967</v>
          </cell>
          <cell r="B1613">
            <v>1.94</v>
          </cell>
        </row>
        <row r="1614">
          <cell r="A1614">
            <v>40968</v>
          </cell>
          <cell r="B1614">
            <v>1.96</v>
          </cell>
        </row>
        <row r="1615">
          <cell r="A1615">
            <v>40969</v>
          </cell>
          <cell r="B1615">
            <v>1.99</v>
          </cell>
        </row>
        <row r="1616">
          <cell r="A1616">
            <v>40970</v>
          </cell>
          <cell r="B1616">
            <v>1.95</v>
          </cell>
        </row>
        <row r="1617">
          <cell r="A1617">
            <v>40973</v>
          </cell>
          <cell r="B1617">
            <v>1.97</v>
          </cell>
        </row>
        <row r="1618">
          <cell r="A1618">
            <v>40974</v>
          </cell>
          <cell r="B1618">
            <v>1.95</v>
          </cell>
        </row>
        <row r="1619">
          <cell r="A1619">
            <v>40975</v>
          </cell>
          <cell r="B1619">
            <v>1.97</v>
          </cell>
        </row>
        <row r="1620">
          <cell r="A1620">
            <v>40976</v>
          </cell>
          <cell r="B1620">
            <v>1.99</v>
          </cell>
        </row>
        <row r="1621">
          <cell r="A1621">
            <v>40977</v>
          </cell>
          <cell r="B1621">
            <v>1.99</v>
          </cell>
        </row>
        <row r="1622">
          <cell r="A1622">
            <v>40980</v>
          </cell>
          <cell r="B1622">
            <v>1.98</v>
          </cell>
        </row>
        <row r="1623">
          <cell r="A1623">
            <v>40981</v>
          </cell>
          <cell r="B1623">
            <v>2.02</v>
          </cell>
        </row>
        <row r="1624">
          <cell r="A1624">
            <v>40982</v>
          </cell>
          <cell r="B1624">
            <v>2.14</v>
          </cell>
        </row>
        <row r="1625">
          <cell r="A1625">
            <v>40983</v>
          </cell>
          <cell r="B1625">
            <v>2.09</v>
          </cell>
        </row>
        <row r="1626">
          <cell r="A1626">
            <v>40984</v>
          </cell>
          <cell r="B1626">
            <v>2.09</v>
          </cell>
        </row>
        <row r="1627">
          <cell r="A1627">
            <v>40987</v>
          </cell>
          <cell r="B1627">
            <v>2.15</v>
          </cell>
        </row>
        <row r="1628">
          <cell r="A1628">
            <v>40988</v>
          </cell>
          <cell r="B1628">
            <v>2.14</v>
          </cell>
        </row>
        <row r="1629">
          <cell r="A1629">
            <v>40989</v>
          </cell>
          <cell r="B1629">
            <v>2.08</v>
          </cell>
        </row>
        <row r="1630">
          <cell r="A1630">
            <v>40990</v>
          </cell>
          <cell r="B1630">
            <v>2.0699999999999998</v>
          </cell>
        </row>
        <row r="1631">
          <cell r="A1631">
            <v>40991</v>
          </cell>
          <cell r="B1631">
            <v>2.04</v>
          </cell>
        </row>
        <row r="1632">
          <cell r="A1632">
            <v>40994</v>
          </cell>
          <cell r="B1632">
            <v>2.04</v>
          </cell>
        </row>
        <row r="1633">
          <cell r="A1633">
            <v>40995</v>
          </cell>
          <cell r="B1633">
            <v>2</v>
          </cell>
        </row>
        <row r="1634">
          <cell r="A1634">
            <v>40996</v>
          </cell>
          <cell r="B1634">
            <v>2.0099999999999998</v>
          </cell>
        </row>
        <row r="1635">
          <cell r="A1635">
            <v>40997</v>
          </cell>
          <cell r="B1635">
            <v>1.98</v>
          </cell>
        </row>
        <row r="1636">
          <cell r="A1636">
            <v>40998</v>
          </cell>
          <cell r="B1636">
            <v>2.0099999999999998</v>
          </cell>
        </row>
        <row r="1637">
          <cell r="A1637">
            <v>40999</v>
          </cell>
          <cell r="B1637">
            <v>1.97</v>
          </cell>
        </row>
        <row r="1638">
          <cell r="A1638">
            <v>41001</v>
          </cell>
          <cell r="B1638">
            <v>1.96</v>
          </cell>
        </row>
        <row r="1639">
          <cell r="A1639">
            <v>41002</v>
          </cell>
          <cell r="B1639">
            <v>2.02</v>
          </cell>
        </row>
        <row r="1640">
          <cell r="A1640">
            <v>41003</v>
          </cell>
          <cell r="B1640">
            <v>1.99</v>
          </cell>
        </row>
        <row r="1641">
          <cell r="A1641">
            <v>41004</v>
          </cell>
          <cell r="B1641">
            <v>1.96</v>
          </cell>
        </row>
        <row r="1642">
          <cell r="A1642">
            <v>41008</v>
          </cell>
          <cell r="B1642">
            <v>1.9</v>
          </cell>
        </row>
        <row r="1643">
          <cell r="A1643">
            <v>41009</v>
          </cell>
          <cell r="B1643">
            <v>1.86</v>
          </cell>
        </row>
        <row r="1644">
          <cell r="A1644">
            <v>41010</v>
          </cell>
          <cell r="B1644">
            <v>1.9</v>
          </cell>
        </row>
        <row r="1645">
          <cell r="A1645">
            <v>41011</v>
          </cell>
          <cell r="B1645">
            <v>1.9</v>
          </cell>
        </row>
        <row r="1646">
          <cell r="A1646">
            <v>41012</v>
          </cell>
          <cell r="B1646">
            <v>1.87</v>
          </cell>
        </row>
        <row r="1647">
          <cell r="A1647">
            <v>41015</v>
          </cell>
          <cell r="B1647">
            <v>1.86</v>
          </cell>
        </row>
        <row r="1648">
          <cell r="A1648">
            <v>41016</v>
          </cell>
          <cell r="B1648">
            <v>1.88</v>
          </cell>
        </row>
        <row r="1649">
          <cell r="A1649">
            <v>41017</v>
          </cell>
          <cell r="B1649">
            <v>1.87</v>
          </cell>
        </row>
        <row r="1650">
          <cell r="A1650">
            <v>41018</v>
          </cell>
          <cell r="B1650">
            <v>1.86</v>
          </cell>
        </row>
        <row r="1651">
          <cell r="A1651">
            <v>41019</v>
          </cell>
          <cell r="B1651">
            <v>1.88</v>
          </cell>
        </row>
        <row r="1652">
          <cell r="A1652">
            <v>41022</v>
          </cell>
          <cell r="B1652">
            <v>1.86</v>
          </cell>
        </row>
        <row r="1653">
          <cell r="A1653">
            <v>41023</v>
          </cell>
          <cell r="B1653">
            <v>1.9</v>
          </cell>
        </row>
        <row r="1654">
          <cell r="A1654">
            <v>41024</v>
          </cell>
          <cell r="B1654">
            <v>1.93</v>
          </cell>
        </row>
        <row r="1655">
          <cell r="A1655">
            <v>41025</v>
          </cell>
          <cell r="B1655">
            <v>1.91</v>
          </cell>
        </row>
        <row r="1656">
          <cell r="A1656">
            <v>41026</v>
          </cell>
          <cell r="B1656">
            <v>1.91</v>
          </cell>
        </row>
        <row r="1657">
          <cell r="A1657">
            <v>41029</v>
          </cell>
          <cell r="B1657">
            <v>1.9</v>
          </cell>
        </row>
        <row r="1658">
          <cell r="A1658">
            <v>41030</v>
          </cell>
          <cell r="B1658">
            <v>1.92</v>
          </cell>
        </row>
        <row r="1659">
          <cell r="A1659">
            <v>41031</v>
          </cell>
          <cell r="B1659">
            <v>1.91</v>
          </cell>
        </row>
        <row r="1660">
          <cell r="A1660">
            <v>41032</v>
          </cell>
          <cell r="B1660">
            <v>1.9</v>
          </cell>
        </row>
        <row r="1661">
          <cell r="A1661">
            <v>41033</v>
          </cell>
          <cell r="B1661">
            <v>1.88</v>
          </cell>
        </row>
        <row r="1662">
          <cell r="A1662">
            <v>41036</v>
          </cell>
          <cell r="B1662">
            <v>1.88</v>
          </cell>
        </row>
        <row r="1663">
          <cell r="A1663">
            <v>41037</v>
          </cell>
          <cell r="B1663">
            <v>1.86</v>
          </cell>
        </row>
        <row r="1664">
          <cell r="A1664">
            <v>41038</v>
          </cell>
          <cell r="B1664">
            <v>1.87</v>
          </cell>
        </row>
        <row r="1665">
          <cell r="A1665">
            <v>41039</v>
          </cell>
          <cell r="B1665">
            <v>1.88</v>
          </cell>
        </row>
        <row r="1666">
          <cell r="A1666">
            <v>41040</v>
          </cell>
          <cell r="B1666">
            <v>1.86</v>
          </cell>
        </row>
        <row r="1667">
          <cell r="A1667">
            <v>41043</v>
          </cell>
          <cell r="B1667">
            <v>1.85</v>
          </cell>
        </row>
        <row r="1668">
          <cell r="A1668">
            <v>41044</v>
          </cell>
          <cell r="B1668">
            <v>1.86</v>
          </cell>
        </row>
        <row r="1669">
          <cell r="A1669">
            <v>41045</v>
          </cell>
          <cell r="B1669">
            <v>1.87</v>
          </cell>
        </row>
        <row r="1670">
          <cell r="A1670">
            <v>41046</v>
          </cell>
          <cell r="B1670">
            <v>1.85</v>
          </cell>
        </row>
        <row r="1671">
          <cell r="A1671">
            <v>41047</v>
          </cell>
          <cell r="B1671">
            <v>1.87</v>
          </cell>
        </row>
        <row r="1672">
          <cell r="A1672">
            <v>41050</v>
          </cell>
          <cell r="B1672">
            <v>1.88</v>
          </cell>
        </row>
        <row r="1673">
          <cell r="A1673">
            <v>41051</v>
          </cell>
          <cell r="B1673">
            <v>1.92</v>
          </cell>
        </row>
        <row r="1674">
          <cell r="A1674">
            <v>41052</v>
          </cell>
          <cell r="B1674">
            <v>1.88</v>
          </cell>
        </row>
        <row r="1675">
          <cell r="A1675">
            <v>41053</v>
          </cell>
          <cell r="B1675">
            <v>1.91</v>
          </cell>
        </row>
        <row r="1676">
          <cell r="A1676">
            <v>41054</v>
          </cell>
          <cell r="B1676">
            <v>1.9</v>
          </cell>
        </row>
        <row r="1677">
          <cell r="A1677">
            <v>41057</v>
          </cell>
          <cell r="B1677">
            <v>1.89</v>
          </cell>
        </row>
        <row r="1678">
          <cell r="A1678">
            <v>41058</v>
          </cell>
          <cell r="B1678">
            <v>1.88</v>
          </cell>
        </row>
        <row r="1679">
          <cell r="A1679">
            <v>41059</v>
          </cell>
          <cell r="B1679">
            <v>1.83</v>
          </cell>
        </row>
        <row r="1680">
          <cell r="A1680">
            <v>41060</v>
          </cell>
          <cell r="B1680">
            <v>1.87</v>
          </cell>
        </row>
        <row r="1681">
          <cell r="A1681">
            <v>41061</v>
          </cell>
          <cell r="B1681">
            <v>1.83</v>
          </cell>
        </row>
        <row r="1682">
          <cell r="A1682">
            <v>41064</v>
          </cell>
          <cell r="B1682">
            <v>1.86</v>
          </cell>
        </row>
        <row r="1683">
          <cell r="A1683">
            <v>41065</v>
          </cell>
          <cell r="B1683">
            <v>1.86</v>
          </cell>
        </row>
        <row r="1684">
          <cell r="A1684">
            <v>41066</v>
          </cell>
          <cell r="B1684">
            <v>1.91</v>
          </cell>
        </row>
        <row r="1685">
          <cell r="A1685">
            <v>41067</v>
          </cell>
          <cell r="B1685">
            <v>1.9</v>
          </cell>
        </row>
        <row r="1686">
          <cell r="A1686">
            <v>41068</v>
          </cell>
          <cell r="B1686">
            <v>1.89</v>
          </cell>
        </row>
        <row r="1687">
          <cell r="A1687">
            <v>41071</v>
          </cell>
          <cell r="B1687">
            <v>1.87</v>
          </cell>
        </row>
        <row r="1688">
          <cell r="A1688">
            <v>41072</v>
          </cell>
          <cell r="B1688">
            <v>1.92</v>
          </cell>
        </row>
        <row r="1689">
          <cell r="A1689">
            <v>41073</v>
          </cell>
          <cell r="B1689">
            <v>1.89</v>
          </cell>
        </row>
        <row r="1690">
          <cell r="A1690">
            <v>41074</v>
          </cell>
          <cell r="B1690">
            <v>1.89</v>
          </cell>
        </row>
        <row r="1691">
          <cell r="A1691">
            <v>41075</v>
          </cell>
          <cell r="B1691">
            <v>1.85</v>
          </cell>
        </row>
        <row r="1692">
          <cell r="A1692">
            <v>41078</v>
          </cell>
          <cell r="B1692">
            <v>1.86</v>
          </cell>
        </row>
        <row r="1693">
          <cell r="A1693">
            <v>41079</v>
          </cell>
          <cell r="B1693">
            <v>1.88</v>
          </cell>
        </row>
        <row r="1694">
          <cell r="A1694">
            <v>41080</v>
          </cell>
          <cell r="B1694">
            <v>1.89</v>
          </cell>
        </row>
        <row r="1695">
          <cell r="A1695">
            <v>41081</v>
          </cell>
          <cell r="B1695">
            <v>1.87</v>
          </cell>
        </row>
        <row r="1696">
          <cell r="A1696">
            <v>41082</v>
          </cell>
          <cell r="B1696">
            <v>1.9</v>
          </cell>
        </row>
        <row r="1697">
          <cell r="A1697">
            <v>41085</v>
          </cell>
          <cell r="B1697">
            <v>1.85</v>
          </cell>
        </row>
        <row r="1698">
          <cell r="A1698">
            <v>41086</v>
          </cell>
          <cell r="B1698">
            <v>1.87</v>
          </cell>
        </row>
        <row r="1699">
          <cell r="A1699">
            <v>41087</v>
          </cell>
          <cell r="B1699">
            <v>1.86</v>
          </cell>
        </row>
        <row r="1700">
          <cell r="A1700">
            <v>41088</v>
          </cell>
          <cell r="B1700">
            <v>1.83</v>
          </cell>
        </row>
        <row r="1701">
          <cell r="A1701">
            <v>41089</v>
          </cell>
          <cell r="B1701">
            <v>1.85</v>
          </cell>
        </row>
        <row r="1702">
          <cell r="A1702">
            <v>41090</v>
          </cell>
          <cell r="B1702">
            <v>1.85</v>
          </cell>
        </row>
        <row r="1703">
          <cell r="A1703">
            <v>41092</v>
          </cell>
          <cell r="B1703">
            <v>1.8</v>
          </cell>
        </row>
        <row r="1704">
          <cell r="A1704">
            <v>41093</v>
          </cell>
          <cell r="B1704">
            <v>1.82</v>
          </cell>
        </row>
        <row r="1705">
          <cell r="A1705">
            <v>41094</v>
          </cell>
          <cell r="B1705">
            <v>1.82</v>
          </cell>
        </row>
        <row r="1706">
          <cell r="A1706">
            <v>41095</v>
          </cell>
          <cell r="B1706">
            <v>1.8</v>
          </cell>
        </row>
        <row r="1707">
          <cell r="A1707">
            <v>41096</v>
          </cell>
          <cell r="B1707">
            <v>1.77</v>
          </cell>
        </row>
        <row r="1708">
          <cell r="A1708">
            <v>41099</v>
          </cell>
          <cell r="B1708">
            <v>1.75</v>
          </cell>
        </row>
        <row r="1709">
          <cell r="A1709">
            <v>41100</v>
          </cell>
          <cell r="B1709">
            <v>1.75</v>
          </cell>
        </row>
        <row r="1710">
          <cell r="A1710">
            <v>41101</v>
          </cell>
          <cell r="B1710">
            <v>1.73</v>
          </cell>
        </row>
        <row r="1711">
          <cell r="A1711">
            <v>41102</v>
          </cell>
          <cell r="B1711">
            <v>1.72</v>
          </cell>
        </row>
        <row r="1712">
          <cell r="A1712">
            <v>41103</v>
          </cell>
          <cell r="B1712">
            <v>1.72</v>
          </cell>
        </row>
        <row r="1713">
          <cell r="A1713">
            <v>41106</v>
          </cell>
          <cell r="B1713">
            <v>1.67</v>
          </cell>
        </row>
        <row r="1714">
          <cell r="A1714">
            <v>41107</v>
          </cell>
          <cell r="B1714">
            <v>1.69</v>
          </cell>
        </row>
        <row r="1715">
          <cell r="A1715">
            <v>41108</v>
          </cell>
          <cell r="B1715">
            <v>1.66</v>
          </cell>
        </row>
        <row r="1716">
          <cell r="A1716">
            <v>41109</v>
          </cell>
          <cell r="B1716">
            <v>1.67</v>
          </cell>
        </row>
        <row r="1717">
          <cell r="A1717">
            <v>41110</v>
          </cell>
          <cell r="B1717">
            <v>1.64</v>
          </cell>
        </row>
        <row r="1718">
          <cell r="A1718">
            <v>41113</v>
          </cell>
          <cell r="B1718">
            <v>1.62</v>
          </cell>
        </row>
        <row r="1719">
          <cell r="A1719">
            <v>41114</v>
          </cell>
          <cell r="B1719">
            <v>1.61</v>
          </cell>
        </row>
        <row r="1720">
          <cell r="A1720">
            <v>41115</v>
          </cell>
          <cell r="B1720">
            <v>1.61</v>
          </cell>
        </row>
        <row r="1721">
          <cell r="A1721">
            <v>41116</v>
          </cell>
          <cell r="B1721">
            <v>1.63</v>
          </cell>
        </row>
        <row r="1722">
          <cell r="A1722">
            <v>41117</v>
          </cell>
          <cell r="B1722">
            <v>1.67</v>
          </cell>
        </row>
        <row r="1723">
          <cell r="A1723">
            <v>41120</v>
          </cell>
          <cell r="B1723">
            <v>1.63</v>
          </cell>
        </row>
        <row r="1724">
          <cell r="A1724">
            <v>41121</v>
          </cell>
          <cell r="B1724">
            <v>1.61</v>
          </cell>
        </row>
        <row r="1725">
          <cell r="A1725">
            <v>41122</v>
          </cell>
          <cell r="B1725">
            <v>1.62</v>
          </cell>
        </row>
        <row r="1726">
          <cell r="A1726">
            <v>41123</v>
          </cell>
          <cell r="B1726">
            <v>1.61</v>
          </cell>
        </row>
        <row r="1727">
          <cell r="A1727">
            <v>41124</v>
          </cell>
          <cell r="B1727">
            <v>1.65</v>
          </cell>
        </row>
        <row r="1728">
          <cell r="A1728">
            <v>41127</v>
          </cell>
          <cell r="B1728">
            <v>1.64</v>
          </cell>
        </row>
        <row r="1729">
          <cell r="A1729">
            <v>41128</v>
          </cell>
          <cell r="B1729">
            <v>1.68</v>
          </cell>
        </row>
        <row r="1730">
          <cell r="A1730">
            <v>41129</v>
          </cell>
          <cell r="B1730">
            <v>1.7</v>
          </cell>
        </row>
        <row r="1731">
          <cell r="A1731">
            <v>41130</v>
          </cell>
          <cell r="B1731">
            <v>1.7</v>
          </cell>
        </row>
        <row r="1732">
          <cell r="A1732">
            <v>41131</v>
          </cell>
          <cell r="B1732">
            <v>1.68</v>
          </cell>
        </row>
        <row r="1733">
          <cell r="A1733">
            <v>41134</v>
          </cell>
          <cell r="B1733">
            <v>1.68</v>
          </cell>
        </row>
        <row r="1734">
          <cell r="A1734">
            <v>41135</v>
          </cell>
          <cell r="B1734">
            <v>1.71</v>
          </cell>
        </row>
        <row r="1735">
          <cell r="A1735">
            <v>41136</v>
          </cell>
          <cell r="B1735">
            <v>1.75</v>
          </cell>
        </row>
        <row r="1736">
          <cell r="A1736">
            <v>41137</v>
          </cell>
          <cell r="B1736">
            <v>1.75</v>
          </cell>
        </row>
        <row r="1737">
          <cell r="A1737">
            <v>41138</v>
          </cell>
          <cell r="B1737">
            <v>1.74</v>
          </cell>
        </row>
        <row r="1738">
          <cell r="A1738">
            <v>41141</v>
          </cell>
          <cell r="B1738">
            <v>1.73</v>
          </cell>
        </row>
        <row r="1739">
          <cell r="A1739">
            <v>41142</v>
          </cell>
          <cell r="B1739">
            <v>1.73</v>
          </cell>
        </row>
        <row r="1740">
          <cell r="A1740">
            <v>41143</v>
          </cell>
          <cell r="B1740">
            <v>1.68</v>
          </cell>
        </row>
        <row r="1741">
          <cell r="A1741">
            <v>41144</v>
          </cell>
          <cell r="B1741">
            <v>1.65</v>
          </cell>
        </row>
        <row r="1742">
          <cell r="A1742">
            <v>41145</v>
          </cell>
          <cell r="B1742">
            <v>1.66</v>
          </cell>
        </row>
        <row r="1743">
          <cell r="A1743">
            <v>41148</v>
          </cell>
          <cell r="B1743">
            <v>1.65</v>
          </cell>
        </row>
        <row r="1744">
          <cell r="A1744">
            <v>41149</v>
          </cell>
          <cell r="B1744">
            <v>1.63</v>
          </cell>
        </row>
        <row r="1745">
          <cell r="A1745">
            <v>41150</v>
          </cell>
          <cell r="B1745">
            <v>1.64</v>
          </cell>
        </row>
        <row r="1746">
          <cell r="A1746">
            <v>41151</v>
          </cell>
          <cell r="B1746">
            <v>1.62</v>
          </cell>
        </row>
        <row r="1747">
          <cell r="A1747">
            <v>41152</v>
          </cell>
          <cell r="B1747">
            <v>1.59</v>
          </cell>
        </row>
        <row r="1748">
          <cell r="A1748">
            <v>41155</v>
          </cell>
          <cell r="B1748">
            <v>1.58</v>
          </cell>
        </row>
        <row r="1749">
          <cell r="A1749">
            <v>41156</v>
          </cell>
          <cell r="B1749">
            <v>1.59</v>
          </cell>
        </row>
        <row r="1750">
          <cell r="A1750">
            <v>41157</v>
          </cell>
          <cell r="B1750">
            <v>1.6</v>
          </cell>
        </row>
        <row r="1751">
          <cell r="A1751">
            <v>41158</v>
          </cell>
          <cell r="B1751">
            <v>1.65</v>
          </cell>
        </row>
        <row r="1752">
          <cell r="A1752">
            <v>41159</v>
          </cell>
          <cell r="B1752">
            <v>1.63</v>
          </cell>
        </row>
        <row r="1753">
          <cell r="A1753">
            <v>41162</v>
          </cell>
          <cell r="B1753">
            <v>1.64</v>
          </cell>
        </row>
        <row r="1754">
          <cell r="A1754">
            <v>41163</v>
          </cell>
          <cell r="B1754">
            <v>1.63</v>
          </cell>
        </row>
        <row r="1755">
          <cell r="A1755">
            <v>41164</v>
          </cell>
          <cell r="B1755">
            <v>1.66</v>
          </cell>
        </row>
        <row r="1756">
          <cell r="A1756">
            <v>41165</v>
          </cell>
          <cell r="B1756">
            <v>1.65</v>
          </cell>
        </row>
        <row r="1757">
          <cell r="A1757">
            <v>41166</v>
          </cell>
          <cell r="B1757">
            <v>1.66</v>
          </cell>
        </row>
        <row r="1758">
          <cell r="A1758">
            <v>41169</v>
          </cell>
          <cell r="B1758">
            <v>1.65</v>
          </cell>
        </row>
        <row r="1759">
          <cell r="A1759">
            <v>41170</v>
          </cell>
          <cell r="B1759">
            <v>1.64</v>
          </cell>
        </row>
        <row r="1760">
          <cell r="A1760">
            <v>41171</v>
          </cell>
          <cell r="B1760">
            <v>1.62</v>
          </cell>
        </row>
        <row r="1761">
          <cell r="A1761">
            <v>41172</v>
          </cell>
          <cell r="B1761">
            <v>1.61</v>
          </cell>
        </row>
        <row r="1762">
          <cell r="A1762">
            <v>41173</v>
          </cell>
          <cell r="B1762">
            <v>1.6</v>
          </cell>
        </row>
        <row r="1763">
          <cell r="A1763">
            <v>41176</v>
          </cell>
          <cell r="B1763">
            <v>1.58</v>
          </cell>
        </row>
        <row r="1764">
          <cell r="A1764">
            <v>41177</v>
          </cell>
          <cell r="B1764">
            <v>1.57</v>
          </cell>
        </row>
        <row r="1765">
          <cell r="A1765">
            <v>41178</v>
          </cell>
          <cell r="B1765">
            <v>1.55</v>
          </cell>
        </row>
        <row r="1766">
          <cell r="A1766">
            <v>41179</v>
          </cell>
          <cell r="B1766">
            <v>1.55</v>
          </cell>
        </row>
        <row r="1767">
          <cell r="A1767">
            <v>41180</v>
          </cell>
          <cell r="B1767">
            <v>1.53</v>
          </cell>
        </row>
        <row r="1768">
          <cell r="A1768">
            <v>41182</v>
          </cell>
          <cell r="B1768">
            <v>1.57</v>
          </cell>
        </row>
        <row r="1769">
          <cell r="A1769">
            <v>41183</v>
          </cell>
          <cell r="B1769">
            <v>1.57</v>
          </cell>
        </row>
        <row r="1770">
          <cell r="A1770">
            <v>41184</v>
          </cell>
          <cell r="B1770">
            <v>1.56</v>
          </cell>
        </row>
        <row r="1771">
          <cell r="A1771">
            <v>41185</v>
          </cell>
          <cell r="B1771">
            <v>1.56</v>
          </cell>
        </row>
        <row r="1772">
          <cell r="A1772">
            <v>41186</v>
          </cell>
          <cell r="B1772">
            <v>1.58</v>
          </cell>
        </row>
        <row r="1773">
          <cell r="A1773">
            <v>41187</v>
          </cell>
          <cell r="B1773">
            <v>1.62</v>
          </cell>
        </row>
        <row r="1774">
          <cell r="A1774">
            <v>41190</v>
          </cell>
          <cell r="B1774">
            <v>1.61</v>
          </cell>
        </row>
        <row r="1775">
          <cell r="A1775">
            <v>41191</v>
          </cell>
          <cell r="B1775">
            <v>1.6</v>
          </cell>
        </row>
        <row r="1776">
          <cell r="A1776">
            <v>41192</v>
          </cell>
          <cell r="B1776">
            <v>1.59</v>
          </cell>
        </row>
        <row r="1777">
          <cell r="A1777">
            <v>41193</v>
          </cell>
          <cell r="B1777">
            <v>1.58</v>
          </cell>
        </row>
        <row r="1778">
          <cell r="A1778">
            <v>41194</v>
          </cell>
          <cell r="B1778">
            <v>1.57</v>
          </cell>
        </row>
        <row r="1779">
          <cell r="A1779">
            <v>41197</v>
          </cell>
          <cell r="B1779">
            <v>1.57</v>
          </cell>
        </row>
        <row r="1780">
          <cell r="A1780">
            <v>41198</v>
          </cell>
          <cell r="B1780">
            <v>1.59</v>
          </cell>
        </row>
        <row r="1781">
          <cell r="A1781">
            <v>41199</v>
          </cell>
          <cell r="B1781">
            <v>1.63</v>
          </cell>
        </row>
        <row r="1782">
          <cell r="A1782">
            <v>41200</v>
          </cell>
          <cell r="B1782">
            <v>1.63</v>
          </cell>
        </row>
        <row r="1783">
          <cell r="A1783">
            <v>41201</v>
          </cell>
          <cell r="B1783">
            <v>1.61</v>
          </cell>
        </row>
        <row r="1784">
          <cell r="A1784">
            <v>41204</v>
          </cell>
          <cell r="B1784">
            <v>1.62</v>
          </cell>
        </row>
        <row r="1785">
          <cell r="A1785">
            <v>41205</v>
          </cell>
          <cell r="B1785">
            <v>1.6</v>
          </cell>
        </row>
        <row r="1786">
          <cell r="A1786">
            <v>41206</v>
          </cell>
          <cell r="B1786">
            <v>1.6</v>
          </cell>
        </row>
        <row r="1787">
          <cell r="A1787">
            <v>41207</v>
          </cell>
          <cell r="B1787">
            <v>1.63</v>
          </cell>
        </row>
        <row r="1788">
          <cell r="A1788">
            <v>41208</v>
          </cell>
          <cell r="B1788">
            <v>1.59</v>
          </cell>
        </row>
        <row r="1789">
          <cell r="A1789">
            <v>41211</v>
          </cell>
          <cell r="B1789">
            <v>1.57</v>
          </cell>
        </row>
        <row r="1790">
          <cell r="A1790">
            <v>41213</v>
          </cell>
          <cell r="B1790">
            <v>1.55</v>
          </cell>
        </row>
        <row r="1791">
          <cell r="A1791">
            <v>41214</v>
          </cell>
          <cell r="B1791">
            <v>1.56</v>
          </cell>
        </row>
        <row r="1792">
          <cell r="A1792">
            <v>41215</v>
          </cell>
          <cell r="B1792">
            <v>1.56</v>
          </cell>
        </row>
        <row r="1793">
          <cell r="A1793">
            <v>41218</v>
          </cell>
          <cell r="B1793">
            <v>1.54</v>
          </cell>
        </row>
        <row r="1794">
          <cell r="A1794">
            <v>41219</v>
          </cell>
          <cell r="B1794">
            <v>1.57</v>
          </cell>
        </row>
        <row r="1795">
          <cell r="A1795">
            <v>41220</v>
          </cell>
          <cell r="B1795">
            <v>1.52</v>
          </cell>
        </row>
        <row r="1796">
          <cell r="A1796">
            <v>41221</v>
          </cell>
          <cell r="B1796">
            <v>1.51</v>
          </cell>
        </row>
        <row r="1797">
          <cell r="A1797">
            <v>41222</v>
          </cell>
          <cell r="B1797">
            <v>1.51</v>
          </cell>
        </row>
        <row r="1798">
          <cell r="A1798">
            <v>41225</v>
          </cell>
          <cell r="B1798">
            <v>1.51</v>
          </cell>
        </row>
        <row r="1799">
          <cell r="A1799">
            <v>41226</v>
          </cell>
          <cell r="B1799">
            <v>1.5</v>
          </cell>
        </row>
        <row r="1800">
          <cell r="A1800">
            <v>41227</v>
          </cell>
          <cell r="B1800">
            <v>1.5</v>
          </cell>
        </row>
        <row r="1801">
          <cell r="A1801">
            <v>41228</v>
          </cell>
          <cell r="B1801">
            <v>1.52</v>
          </cell>
        </row>
        <row r="1802">
          <cell r="A1802">
            <v>41229</v>
          </cell>
          <cell r="B1802">
            <v>1.51</v>
          </cell>
        </row>
        <row r="1803">
          <cell r="A1803">
            <v>41232</v>
          </cell>
          <cell r="B1803">
            <v>1.53</v>
          </cell>
        </row>
        <row r="1804">
          <cell r="A1804">
            <v>41233</v>
          </cell>
          <cell r="B1804">
            <v>1.55</v>
          </cell>
        </row>
        <row r="1805">
          <cell r="A1805">
            <v>41234</v>
          </cell>
          <cell r="B1805">
            <v>1.57</v>
          </cell>
        </row>
        <row r="1806">
          <cell r="A1806">
            <v>41235</v>
          </cell>
          <cell r="B1806">
            <v>1.57</v>
          </cell>
        </row>
        <row r="1807">
          <cell r="A1807">
            <v>41236</v>
          </cell>
          <cell r="B1807">
            <v>1.58</v>
          </cell>
        </row>
        <row r="1808">
          <cell r="A1808">
            <v>41239</v>
          </cell>
          <cell r="B1808">
            <v>1.56</v>
          </cell>
        </row>
        <row r="1809">
          <cell r="A1809">
            <v>41240</v>
          </cell>
          <cell r="B1809">
            <v>1.55</v>
          </cell>
        </row>
        <row r="1810">
          <cell r="A1810">
            <v>41241</v>
          </cell>
          <cell r="B1810">
            <v>1.53</v>
          </cell>
        </row>
        <row r="1811">
          <cell r="A1811">
            <v>41242</v>
          </cell>
          <cell r="B1811">
            <v>1.53</v>
          </cell>
        </row>
        <row r="1812">
          <cell r="A1812">
            <v>41243</v>
          </cell>
          <cell r="B1812">
            <v>1.53</v>
          </cell>
        </row>
        <row r="1813">
          <cell r="A1813">
            <v>41246</v>
          </cell>
          <cell r="B1813">
            <v>1.53</v>
          </cell>
        </row>
        <row r="1814">
          <cell r="A1814">
            <v>41247</v>
          </cell>
          <cell r="B1814">
            <v>1.53</v>
          </cell>
        </row>
        <row r="1815">
          <cell r="A1815">
            <v>41248</v>
          </cell>
          <cell r="B1815">
            <v>1.52</v>
          </cell>
        </row>
        <row r="1816">
          <cell r="A1816">
            <v>41249</v>
          </cell>
          <cell r="B1816">
            <v>1.51</v>
          </cell>
        </row>
        <row r="1817">
          <cell r="A1817">
            <v>41250</v>
          </cell>
          <cell r="B1817">
            <v>1.53</v>
          </cell>
        </row>
        <row r="1818">
          <cell r="A1818">
            <v>41253</v>
          </cell>
          <cell r="B1818">
            <v>1.52</v>
          </cell>
        </row>
        <row r="1819">
          <cell r="A1819">
            <v>41254</v>
          </cell>
          <cell r="B1819">
            <v>1.54</v>
          </cell>
        </row>
        <row r="1820">
          <cell r="A1820">
            <v>41255</v>
          </cell>
          <cell r="B1820">
            <v>1.55</v>
          </cell>
        </row>
        <row r="1821">
          <cell r="A1821">
            <v>41256</v>
          </cell>
          <cell r="B1821">
            <v>1.57</v>
          </cell>
        </row>
        <row r="1822">
          <cell r="A1822">
            <v>41257</v>
          </cell>
          <cell r="B1822">
            <v>1.58</v>
          </cell>
        </row>
        <row r="1823">
          <cell r="A1823">
            <v>41260</v>
          </cell>
          <cell r="B1823">
            <v>1.58</v>
          </cell>
        </row>
        <row r="1824">
          <cell r="A1824">
            <v>41261</v>
          </cell>
          <cell r="B1824">
            <v>1.63</v>
          </cell>
        </row>
        <row r="1825">
          <cell r="A1825">
            <v>41262</v>
          </cell>
          <cell r="B1825">
            <v>1.61</v>
          </cell>
        </row>
        <row r="1826">
          <cell r="A1826">
            <v>41263</v>
          </cell>
          <cell r="B1826">
            <v>1.61</v>
          </cell>
        </row>
        <row r="1827">
          <cell r="A1827">
            <v>41264</v>
          </cell>
          <cell r="B1827">
            <v>1.59</v>
          </cell>
        </row>
        <row r="1828">
          <cell r="A1828">
            <v>41267</v>
          </cell>
          <cell r="B1828">
            <v>1.6</v>
          </cell>
        </row>
        <row r="1829">
          <cell r="A1829">
            <v>41269</v>
          </cell>
          <cell r="B1829">
            <v>1.6</v>
          </cell>
        </row>
        <row r="1830">
          <cell r="A1830">
            <v>41270</v>
          </cell>
          <cell r="B1830">
            <v>1.57</v>
          </cell>
        </row>
        <row r="1831">
          <cell r="A1831">
            <v>41271</v>
          </cell>
          <cell r="B1831">
            <v>1.57</v>
          </cell>
        </row>
        <row r="1832">
          <cell r="A1832">
            <v>41274</v>
          </cell>
          <cell r="B1832">
            <v>2</v>
          </cell>
        </row>
        <row r="1833">
          <cell r="A1833">
            <v>41276</v>
          </cell>
          <cell r="B1833">
            <v>2.0499999999999998</v>
          </cell>
        </row>
        <row r="1834">
          <cell r="A1834">
            <v>41277</v>
          </cell>
          <cell r="B1834">
            <v>2.08</v>
          </cell>
        </row>
        <row r="1835">
          <cell r="A1835">
            <v>41278</v>
          </cell>
          <cell r="B1835">
            <v>2.09</v>
          </cell>
        </row>
        <row r="1836">
          <cell r="A1836">
            <v>41281</v>
          </cell>
          <cell r="B1836">
            <v>2.08</v>
          </cell>
        </row>
        <row r="1837">
          <cell r="A1837">
            <v>41282</v>
          </cell>
          <cell r="B1837">
            <v>2.0499999999999998</v>
          </cell>
        </row>
        <row r="1838">
          <cell r="A1838">
            <v>41283</v>
          </cell>
          <cell r="B1838">
            <v>2.04</v>
          </cell>
        </row>
        <row r="1839">
          <cell r="A1839">
            <v>41284</v>
          </cell>
          <cell r="B1839">
            <v>2.06</v>
          </cell>
        </row>
        <row r="1840">
          <cell r="A1840">
            <v>41285</v>
          </cell>
          <cell r="B1840">
            <v>2.0499999999999998</v>
          </cell>
        </row>
        <row r="1841">
          <cell r="A1841">
            <v>41288</v>
          </cell>
          <cell r="B1841">
            <v>2.0299999999999998</v>
          </cell>
        </row>
        <row r="1842">
          <cell r="A1842">
            <v>41289</v>
          </cell>
          <cell r="B1842">
            <v>2.0099999999999998</v>
          </cell>
        </row>
        <row r="1843">
          <cell r="A1843">
            <v>41290</v>
          </cell>
          <cell r="B1843">
            <v>2.0099999999999998</v>
          </cell>
        </row>
        <row r="1844">
          <cell r="A1844">
            <v>41291</v>
          </cell>
          <cell r="B1844">
            <v>2.0499999999999998</v>
          </cell>
        </row>
        <row r="1845">
          <cell r="A1845">
            <v>41292</v>
          </cell>
          <cell r="B1845">
            <v>2.02</v>
          </cell>
        </row>
        <row r="1846">
          <cell r="A1846">
            <v>41295</v>
          </cell>
          <cell r="B1846">
            <v>2.02</v>
          </cell>
        </row>
        <row r="1847">
          <cell r="A1847">
            <v>41296</v>
          </cell>
          <cell r="B1847">
            <v>2.0099999999999998</v>
          </cell>
        </row>
        <row r="1848">
          <cell r="A1848">
            <v>41297</v>
          </cell>
          <cell r="B1848">
            <v>2.02</v>
          </cell>
        </row>
        <row r="1849">
          <cell r="A1849">
            <v>41298</v>
          </cell>
          <cell r="B1849">
            <v>2.02</v>
          </cell>
        </row>
        <row r="1850">
          <cell r="A1850">
            <v>41299</v>
          </cell>
          <cell r="B1850">
            <v>2.09</v>
          </cell>
        </row>
        <row r="1851">
          <cell r="A1851">
            <v>41302</v>
          </cell>
          <cell r="B1851">
            <v>2.1</v>
          </cell>
        </row>
        <row r="1852">
          <cell r="A1852">
            <v>41303</v>
          </cell>
          <cell r="B1852">
            <v>2.09</v>
          </cell>
        </row>
        <row r="1853">
          <cell r="A1853">
            <v>41304</v>
          </cell>
          <cell r="B1853">
            <v>2.11</v>
          </cell>
        </row>
        <row r="1854">
          <cell r="A1854">
            <v>41305</v>
          </cell>
          <cell r="B1854">
            <v>2.11</v>
          </cell>
        </row>
        <row r="1855">
          <cell r="A1855">
            <v>41306</v>
          </cell>
          <cell r="B1855">
            <v>2.12</v>
          </cell>
        </row>
        <row r="1856">
          <cell r="A1856">
            <v>41309</v>
          </cell>
          <cell r="B1856">
            <v>2.1</v>
          </cell>
        </row>
        <row r="1857">
          <cell r="A1857">
            <v>41310</v>
          </cell>
          <cell r="B1857">
            <v>2.12</v>
          </cell>
        </row>
        <row r="1858">
          <cell r="A1858">
            <v>41311</v>
          </cell>
          <cell r="B1858">
            <v>2.1</v>
          </cell>
        </row>
        <row r="1859">
          <cell r="A1859">
            <v>41312</v>
          </cell>
          <cell r="B1859">
            <v>2.08</v>
          </cell>
        </row>
        <row r="1860">
          <cell r="A1860">
            <v>41313</v>
          </cell>
          <cell r="B1860">
            <v>2.08</v>
          </cell>
        </row>
        <row r="1861">
          <cell r="A1861">
            <v>41316</v>
          </cell>
          <cell r="B1861">
            <v>2.08</v>
          </cell>
        </row>
        <row r="1862">
          <cell r="A1862">
            <v>41317</v>
          </cell>
          <cell r="B1862">
            <v>2.1</v>
          </cell>
        </row>
        <row r="1863">
          <cell r="A1863">
            <v>41318</v>
          </cell>
          <cell r="B1863">
            <v>2.12</v>
          </cell>
        </row>
        <row r="1864">
          <cell r="A1864">
            <v>41319</v>
          </cell>
          <cell r="B1864">
            <v>2.09</v>
          </cell>
        </row>
        <row r="1865">
          <cell r="A1865">
            <v>41320</v>
          </cell>
          <cell r="B1865">
            <v>2.09</v>
          </cell>
        </row>
        <row r="1866">
          <cell r="A1866">
            <v>41323</v>
          </cell>
          <cell r="B1866">
            <v>2.09</v>
          </cell>
        </row>
        <row r="1867">
          <cell r="A1867">
            <v>41324</v>
          </cell>
          <cell r="B1867">
            <v>2.11</v>
          </cell>
        </row>
        <row r="1868">
          <cell r="A1868">
            <v>41325</v>
          </cell>
          <cell r="B1868">
            <v>2.11</v>
          </cell>
        </row>
        <row r="1869">
          <cell r="A1869">
            <v>41326</v>
          </cell>
          <cell r="B1869">
            <v>2.08</v>
          </cell>
        </row>
        <row r="1870">
          <cell r="A1870">
            <v>41327</v>
          </cell>
          <cell r="B1870">
            <v>2.0699999999999998</v>
          </cell>
        </row>
        <row r="1871">
          <cell r="A1871">
            <v>41330</v>
          </cell>
          <cell r="B1871">
            <v>2.02</v>
          </cell>
        </row>
        <row r="1872">
          <cell r="A1872">
            <v>41331</v>
          </cell>
          <cell r="B1872">
            <v>2.0099999999999998</v>
          </cell>
        </row>
        <row r="1873">
          <cell r="A1873">
            <v>41332</v>
          </cell>
          <cell r="B1873">
            <v>2.0299999999999998</v>
          </cell>
        </row>
        <row r="1874">
          <cell r="A1874">
            <v>41333</v>
          </cell>
          <cell r="B1874">
            <v>2.0099999999999998</v>
          </cell>
        </row>
        <row r="1875">
          <cell r="A1875">
            <v>41334</v>
          </cell>
          <cell r="B1875">
            <v>1.99</v>
          </cell>
        </row>
        <row r="1876">
          <cell r="A1876">
            <v>41337</v>
          </cell>
          <cell r="B1876">
            <v>2.0099999999999998</v>
          </cell>
        </row>
        <row r="1877">
          <cell r="A1877">
            <v>41338</v>
          </cell>
          <cell r="B1877">
            <v>2.02</v>
          </cell>
        </row>
        <row r="1878">
          <cell r="A1878">
            <v>41339</v>
          </cell>
          <cell r="B1878">
            <v>2.0499999999999998</v>
          </cell>
        </row>
        <row r="1879">
          <cell r="A1879">
            <v>41340</v>
          </cell>
          <cell r="B1879">
            <v>2.08</v>
          </cell>
        </row>
        <row r="1880">
          <cell r="A1880">
            <v>41341</v>
          </cell>
          <cell r="B1880">
            <v>2.11</v>
          </cell>
        </row>
        <row r="1881">
          <cell r="A1881">
            <v>41344</v>
          </cell>
          <cell r="B1881">
            <v>2.11</v>
          </cell>
        </row>
        <row r="1882">
          <cell r="A1882">
            <v>41345</v>
          </cell>
          <cell r="B1882">
            <v>2.09</v>
          </cell>
        </row>
        <row r="1883">
          <cell r="A1883">
            <v>41346</v>
          </cell>
          <cell r="B1883">
            <v>2.09</v>
          </cell>
        </row>
        <row r="1884">
          <cell r="A1884">
            <v>41347</v>
          </cell>
          <cell r="B1884">
            <v>2.1</v>
          </cell>
        </row>
        <row r="1885">
          <cell r="A1885">
            <v>41348</v>
          </cell>
          <cell r="B1885">
            <v>2.08</v>
          </cell>
        </row>
        <row r="1886">
          <cell r="A1886">
            <v>41351</v>
          </cell>
          <cell r="B1886">
            <v>2.06</v>
          </cell>
        </row>
        <row r="1887">
          <cell r="A1887">
            <v>41352</v>
          </cell>
          <cell r="B1887">
            <v>2.0299999999999998</v>
          </cell>
        </row>
        <row r="1888">
          <cell r="A1888">
            <v>41353</v>
          </cell>
          <cell r="B1888">
            <v>2.0499999999999998</v>
          </cell>
        </row>
        <row r="1889">
          <cell r="A1889">
            <v>41354</v>
          </cell>
          <cell r="B1889">
            <v>2.0499999999999998</v>
          </cell>
        </row>
        <row r="1890">
          <cell r="A1890">
            <v>41355</v>
          </cell>
          <cell r="B1890">
            <v>2.04</v>
          </cell>
        </row>
        <row r="1891">
          <cell r="A1891">
            <v>41358</v>
          </cell>
          <cell r="B1891">
            <v>2.04</v>
          </cell>
        </row>
        <row r="1892">
          <cell r="A1892">
            <v>41359</v>
          </cell>
          <cell r="B1892">
            <v>2.04</v>
          </cell>
        </row>
        <row r="1893">
          <cell r="A1893">
            <v>41360</v>
          </cell>
          <cell r="B1893">
            <v>2.0099999999999998</v>
          </cell>
        </row>
        <row r="1894">
          <cell r="A1894">
            <v>41361</v>
          </cell>
          <cell r="B1894">
            <v>2.0299999999999998</v>
          </cell>
        </row>
        <row r="1895">
          <cell r="A1895">
            <v>41364</v>
          </cell>
          <cell r="B1895">
            <v>2.0299999999999998</v>
          </cell>
        </row>
        <row r="1896">
          <cell r="A1896">
            <v>41365</v>
          </cell>
          <cell r="B1896">
            <v>2.02</v>
          </cell>
        </row>
        <row r="1897">
          <cell r="A1897">
            <v>41366</v>
          </cell>
          <cell r="B1897">
            <v>2.0299999999999998</v>
          </cell>
        </row>
        <row r="1898">
          <cell r="A1898">
            <v>41367</v>
          </cell>
          <cell r="B1898">
            <v>1.99</v>
          </cell>
        </row>
        <row r="1899">
          <cell r="A1899">
            <v>41368</v>
          </cell>
          <cell r="B1899">
            <v>1.97</v>
          </cell>
        </row>
        <row r="1900">
          <cell r="A1900">
            <v>41369</v>
          </cell>
          <cell r="B1900">
            <v>1.93</v>
          </cell>
        </row>
        <row r="1901">
          <cell r="A1901">
            <v>41372</v>
          </cell>
          <cell r="B1901">
            <v>1.95</v>
          </cell>
        </row>
        <row r="1902">
          <cell r="A1902">
            <v>41373</v>
          </cell>
          <cell r="B1902">
            <v>1.96</v>
          </cell>
        </row>
        <row r="1903">
          <cell r="A1903">
            <v>41374</v>
          </cell>
          <cell r="B1903">
            <v>1.99</v>
          </cell>
        </row>
        <row r="1904">
          <cell r="A1904">
            <v>41375</v>
          </cell>
          <cell r="B1904">
            <v>1.98</v>
          </cell>
        </row>
        <row r="1905">
          <cell r="A1905">
            <v>41376</v>
          </cell>
          <cell r="B1905">
            <v>1.94</v>
          </cell>
        </row>
        <row r="1906">
          <cell r="A1906">
            <v>41379</v>
          </cell>
          <cell r="B1906">
            <v>1.93</v>
          </cell>
        </row>
        <row r="1907">
          <cell r="A1907">
            <v>41380</v>
          </cell>
          <cell r="B1907">
            <v>1.95</v>
          </cell>
        </row>
        <row r="1908">
          <cell r="A1908">
            <v>41381</v>
          </cell>
          <cell r="B1908">
            <v>1.95</v>
          </cell>
        </row>
        <row r="1909">
          <cell r="A1909">
            <v>41382</v>
          </cell>
          <cell r="B1909">
            <v>1.94</v>
          </cell>
        </row>
        <row r="1910">
          <cell r="A1910">
            <v>41383</v>
          </cell>
          <cell r="B1910">
            <v>1.95</v>
          </cell>
        </row>
        <row r="1911">
          <cell r="A1911">
            <v>41386</v>
          </cell>
          <cell r="B1911">
            <v>1.94</v>
          </cell>
        </row>
        <row r="1912">
          <cell r="A1912">
            <v>41387</v>
          </cell>
          <cell r="B1912">
            <v>1.94</v>
          </cell>
        </row>
        <row r="1913">
          <cell r="A1913">
            <v>41388</v>
          </cell>
          <cell r="B1913">
            <v>1.94</v>
          </cell>
        </row>
        <row r="1914">
          <cell r="A1914">
            <v>41389</v>
          </cell>
          <cell r="B1914">
            <v>1.95</v>
          </cell>
        </row>
        <row r="1915">
          <cell r="A1915">
            <v>41390</v>
          </cell>
          <cell r="B1915">
            <v>1.92</v>
          </cell>
        </row>
        <row r="1916">
          <cell r="A1916">
            <v>41393</v>
          </cell>
          <cell r="B1916">
            <v>1.93</v>
          </cell>
        </row>
        <row r="1917">
          <cell r="A1917">
            <v>41394</v>
          </cell>
          <cell r="B1917">
            <v>1.93</v>
          </cell>
        </row>
        <row r="1918">
          <cell r="A1918">
            <v>41395</v>
          </cell>
          <cell r="B1918">
            <v>1.91</v>
          </cell>
        </row>
        <row r="1919">
          <cell r="A1919">
            <v>41396</v>
          </cell>
          <cell r="B1919">
            <v>1.91</v>
          </cell>
        </row>
        <row r="1920">
          <cell r="A1920">
            <v>41397</v>
          </cell>
          <cell r="B1920">
            <v>1.97</v>
          </cell>
        </row>
        <row r="1921">
          <cell r="A1921">
            <v>41400</v>
          </cell>
          <cell r="B1921">
            <v>1.98</v>
          </cell>
        </row>
        <row r="1922">
          <cell r="A1922">
            <v>41401</v>
          </cell>
          <cell r="B1922">
            <v>1.99</v>
          </cell>
        </row>
        <row r="1923">
          <cell r="A1923">
            <v>41402</v>
          </cell>
          <cell r="B1923">
            <v>1.98</v>
          </cell>
        </row>
        <row r="1924">
          <cell r="A1924">
            <v>41403</v>
          </cell>
          <cell r="B1924">
            <v>1.99</v>
          </cell>
        </row>
        <row r="1925">
          <cell r="A1925">
            <v>41404</v>
          </cell>
          <cell r="B1925">
            <v>2.0499999999999998</v>
          </cell>
        </row>
        <row r="1926">
          <cell r="A1926">
            <v>41407</v>
          </cell>
          <cell r="B1926">
            <v>2.0499999999999998</v>
          </cell>
        </row>
        <row r="1927">
          <cell r="A1927">
            <v>41408</v>
          </cell>
          <cell r="B1927">
            <v>2.0699999999999998</v>
          </cell>
        </row>
        <row r="1928">
          <cell r="A1928">
            <v>41409</v>
          </cell>
          <cell r="B1928">
            <v>2.06</v>
          </cell>
        </row>
        <row r="1929">
          <cell r="A1929">
            <v>41410</v>
          </cell>
          <cell r="B1929">
            <v>2.02</v>
          </cell>
        </row>
        <row r="1930">
          <cell r="A1930">
            <v>41411</v>
          </cell>
          <cell r="B1930">
            <v>2.0699999999999998</v>
          </cell>
        </row>
        <row r="1931">
          <cell r="A1931">
            <v>41414</v>
          </cell>
          <cell r="B1931">
            <v>2.0699999999999998</v>
          </cell>
        </row>
        <row r="1932">
          <cell r="A1932">
            <v>41415</v>
          </cell>
          <cell r="B1932">
            <v>2.06</v>
          </cell>
        </row>
        <row r="1933">
          <cell r="A1933">
            <v>41416</v>
          </cell>
          <cell r="B1933">
            <v>2.1</v>
          </cell>
        </row>
        <row r="1934">
          <cell r="A1934">
            <v>41417</v>
          </cell>
          <cell r="B1934">
            <v>2.1</v>
          </cell>
        </row>
        <row r="1935">
          <cell r="A1935">
            <v>41418</v>
          </cell>
          <cell r="B1935">
            <v>2.09</v>
          </cell>
        </row>
        <row r="1936">
          <cell r="A1936">
            <v>41421</v>
          </cell>
          <cell r="B1936">
            <v>2.09</v>
          </cell>
        </row>
        <row r="1937">
          <cell r="A1937">
            <v>41422</v>
          </cell>
          <cell r="B1937">
            <v>2.16</v>
          </cell>
        </row>
        <row r="1938">
          <cell r="A1938">
            <v>41423</v>
          </cell>
          <cell r="B1938">
            <v>2.16</v>
          </cell>
        </row>
        <row r="1939">
          <cell r="A1939">
            <v>41424</v>
          </cell>
          <cell r="B1939">
            <v>2.16</v>
          </cell>
        </row>
        <row r="1940">
          <cell r="A1940">
            <v>41425</v>
          </cell>
          <cell r="B1940">
            <v>2.2999999999999998</v>
          </cell>
        </row>
        <row r="1941">
          <cell r="A1941">
            <v>41428</v>
          </cell>
          <cell r="B1941">
            <v>2.29</v>
          </cell>
        </row>
        <row r="1942">
          <cell r="A1942">
            <v>41429</v>
          </cell>
          <cell r="B1942">
            <v>2.2999999999999998</v>
          </cell>
        </row>
        <row r="1943">
          <cell r="A1943">
            <v>41430</v>
          </cell>
          <cell r="B1943">
            <v>2.29</v>
          </cell>
        </row>
        <row r="1944">
          <cell r="A1944">
            <v>41431</v>
          </cell>
          <cell r="B1944">
            <v>2.2799999999999998</v>
          </cell>
        </row>
        <row r="1945">
          <cell r="A1945">
            <v>41432</v>
          </cell>
          <cell r="B1945">
            <v>2.35</v>
          </cell>
        </row>
        <row r="1946">
          <cell r="A1946">
            <v>41435</v>
          </cell>
          <cell r="B1946">
            <v>2.38</v>
          </cell>
        </row>
        <row r="1947">
          <cell r="A1947">
            <v>41436</v>
          </cell>
          <cell r="B1947">
            <v>2.38</v>
          </cell>
        </row>
        <row r="1948">
          <cell r="A1948">
            <v>41437</v>
          </cell>
          <cell r="B1948">
            <v>2.4</v>
          </cell>
        </row>
        <row r="1949">
          <cell r="A1949">
            <v>41438</v>
          </cell>
          <cell r="B1949">
            <v>2.37</v>
          </cell>
        </row>
        <row r="1950">
          <cell r="A1950">
            <v>41439</v>
          </cell>
          <cell r="B1950">
            <v>2.3199999999999998</v>
          </cell>
        </row>
        <row r="1951">
          <cell r="A1951">
            <v>41442</v>
          </cell>
          <cell r="B1951">
            <v>2.34</v>
          </cell>
        </row>
        <row r="1952">
          <cell r="A1952">
            <v>41443</v>
          </cell>
          <cell r="B1952">
            <v>2.34</v>
          </cell>
        </row>
        <row r="1953">
          <cell r="A1953">
            <v>41444</v>
          </cell>
          <cell r="B1953">
            <v>2.44</v>
          </cell>
        </row>
        <row r="1954">
          <cell r="A1954">
            <v>41445</v>
          </cell>
          <cell r="B1954">
            <v>2.5299999999999998</v>
          </cell>
        </row>
        <row r="1955">
          <cell r="A1955">
            <v>41446</v>
          </cell>
          <cell r="B1955">
            <v>2.59</v>
          </cell>
        </row>
        <row r="1956">
          <cell r="A1956">
            <v>41449</v>
          </cell>
          <cell r="B1956">
            <v>2.63</v>
          </cell>
        </row>
        <row r="1957">
          <cell r="A1957">
            <v>41450</v>
          </cell>
          <cell r="B1957">
            <v>2.65</v>
          </cell>
        </row>
        <row r="1958">
          <cell r="A1958">
            <v>41451</v>
          </cell>
          <cell r="B1958">
            <v>2.61</v>
          </cell>
        </row>
        <row r="1959">
          <cell r="A1959">
            <v>41452</v>
          </cell>
          <cell r="B1959">
            <v>2.56</v>
          </cell>
        </row>
        <row r="1960">
          <cell r="A1960">
            <v>41453</v>
          </cell>
          <cell r="B1960">
            <v>2.5499999999999998</v>
          </cell>
        </row>
        <row r="1961">
          <cell r="A1961">
            <v>41455</v>
          </cell>
          <cell r="B1961">
            <v>2.7</v>
          </cell>
        </row>
        <row r="1962">
          <cell r="A1962">
            <v>41456</v>
          </cell>
          <cell r="B1962">
            <v>2.69</v>
          </cell>
        </row>
        <row r="1963">
          <cell r="A1963">
            <v>41457</v>
          </cell>
          <cell r="B1963">
            <v>2.68</v>
          </cell>
        </row>
        <row r="1964">
          <cell r="A1964">
            <v>41458</v>
          </cell>
          <cell r="B1964">
            <v>2.7</v>
          </cell>
        </row>
        <row r="1965">
          <cell r="A1965">
            <v>41459</v>
          </cell>
          <cell r="B1965">
            <v>2.7</v>
          </cell>
        </row>
        <row r="1966">
          <cell r="A1966">
            <v>41460</v>
          </cell>
          <cell r="B1966">
            <v>2.84</v>
          </cell>
        </row>
        <row r="1967">
          <cell r="A1967">
            <v>41463</v>
          </cell>
          <cell r="B1967">
            <v>2.77</v>
          </cell>
        </row>
        <row r="1968">
          <cell r="A1968">
            <v>41464</v>
          </cell>
          <cell r="B1968">
            <v>2.76</v>
          </cell>
        </row>
        <row r="1969">
          <cell r="A1969">
            <v>41465</v>
          </cell>
          <cell r="B1969">
            <v>2.79</v>
          </cell>
        </row>
        <row r="1970">
          <cell r="A1970">
            <v>41466</v>
          </cell>
          <cell r="B1970">
            <v>2.71</v>
          </cell>
        </row>
        <row r="1971">
          <cell r="A1971">
            <v>41467</v>
          </cell>
          <cell r="B1971">
            <v>2.74</v>
          </cell>
        </row>
        <row r="1972">
          <cell r="A1972">
            <v>41470</v>
          </cell>
          <cell r="B1972">
            <v>2.7</v>
          </cell>
        </row>
        <row r="1973">
          <cell r="A1973">
            <v>41471</v>
          </cell>
          <cell r="B1973">
            <v>2.68</v>
          </cell>
        </row>
        <row r="1974">
          <cell r="A1974">
            <v>41472</v>
          </cell>
          <cell r="B1974">
            <v>2.65</v>
          </cell>
        </row>
        <row r="1975">
          <cell r="A1975">
            <v>41473</v>
          </cell>
          <cell r="B1975">
            <v>2.67</v>
          </cell>
        </row>
        <row r="1976">
          <cell r="A1976">
            <v>41474</v>
          </cell>
          <cell r="B1976">
            <v>2.63</v>
          </cell>
        </row>
        <row r="1977">
          <cell r="A1977">
            <v>41477</v>
          </cell>
          <cell r="B1977">
            <v>2.62</v>
          </cell>
        </row>
        <row r="1978">
          <cell r="A1978">
            <v>41478</v>
          </cell>
          <cell r="B1978">
            <v>2.64</v>
          </cell>
        </row>
        <row r="1979">
          <cell r="A1979">
            <v>41479</v>
          </cell>
          <cell r="B1979">
            <v>2.69</v>
          </cell>
        </row>
        <row r="1980">
          <cell r="A1980">
            <v>41480</v>
          </cell>
          <cell r="B1980">
            <v>2.69</v>
          </cell>
        </row>
        <row r="1981">
          <cell r="A1981">
            <v>41481</v>
          </cell>
          <cell r="B1981">
            <v>2.65</v>
          </cell>
        </row>
        <row r="1982">
          <cell r="A1982">
            <v>41484</v>
          </cell>
          <cell r="B1982">
            <v>2.68</v>
          </cell>
        </row>
        <row r="1983">
          <cell r="A1983">
            <v>41485</v>
          </cell>
          <cell r="B1983">
            <v>2.68</v>
          </cell>
        </row>
        <row r="1984">
          <cell r="A1984">
            <v>41486</v>
          </cell>
          <cell r="B1984">
            <v>2.75</v>
          </cell>
        </row>
        <row r="1985">
          <cell r="A1985">
            <v>41487</v>
          </cell>
          <cell r="B1985">
            <v>2.84</v>
          </cell>
        </row>
        <row r="1986">
          <cell r="A1986">
            <v>41488</v>
          </cell>
          <cell r="B1986">
            <v>2.75</v>
          </cell>
        </row>
        <row r="1987">
          <cell r="A1987">
            <v>41491</v>
          </cell>
          <cell r="B1987">
            <v>2.77</v>
          </cell>
        </row>
        <row r="1988">
          <cell r="A1988">
            <v>41492</v>
          </cell>
          <cell r="B1988">
            <v>2.77</v>
          </cell>
        </row>
        <row r="1989">
          <cell r="A1989">
            <v>41493</v>
          </cell>
          <cell r="B1989">
            <v>2.74</v>
          </cell>
        </row>
        <row r="1990">
          <cell r="A1990">
            <v>41494</v>
          </cell>
          <cell r="B1990">
            <v>2.74</v>
          </cell>
        </row>
        <row r="1991">
          <cell r="A1991">
            <v>41495</v>
          </cell>
          <cell r="B1991">
            <v>2.73</v>
          </cell>
        </row>
        <row r="1992">
          <cell r="A1992">
            <v>41498</v>
          </cell>
          <cell r="B1992">
            <v>2.75</v>
          </cell>
        </row>
        <row r="1993">
          <cell r="A1993">
            <v>41499</v>
          </cell>
          <cell r="B1993">
            <v>2.83</v>
          </cell>
        </row>
        <row r="1994">
          <cell r="A1994">
            <v>41500</v>
          </cell>
          <cell r="B1994">
            <v>2.82</v>
          </cell>
        </row>
        <row r="1995">
          <cell r="A1995">
            <v>41501</v>
          </cell>
          <cell r="B1995">
            <v>2.86</v>
          </cell>
        </row>
        <row r="1996">
          <cell r="A1996">
            <v>41502</v>
          </cell>
          <cell r="B1996">
            <v>2.91</v>
          </cell>
        </row>
        <row r="1997">
          <cell r="A1997">
            <v>41505</v>
          </cell>
          <cell r="B1997">
            <v>2.95</v>
          </cell>
        </row>
        <row r="1998">
          <cell r="A1998">
            <v>41506</v>
          </cell>
          <cell r="B1998">
            <v>2.9</v>
          </cell>
        </row>
        <row r="1999">
          <cell r="A1999">
            <v>41507</v>
          </cell>
          <cell r="B1999">
            <v>2.94</v>
          </cell>
        </row>
        <row r="2000">
          <cell r="A2000">
            <v>41508</v>
          </cell>
          <cell r="B2000">
            <v>2.98</v>
          </cell>
        </row>
        <row r="2001">
          <cell r="A2001">
            <v>41509</v>
          </cell>
          <cell r="B2001">
            <v>2.92</v>
          </cell>
        </row>
        <row r="2002">
          <cell r="A2002">
            <v>41512</v>
          </cell>
          <cell r="B2002">
            <v>2.9</v>
          </cell>
        </row>
        <row r="2003">
          <cell r="A2003">
            <v>41513</v>
          </cell>
          <cell r="B2003">
            <v>2.83</v>
          </cell>
        </row>
        <row r="2004">
          <cell r="A2004">
            <v>41514</v>
          </cell>
          <cell r="B2004">
            <v>2.88</v>
          </cell>
        </row>
        <row r="2005">
          <cell r="A2005">
            <v>41515</v>
          </cell>
          <cell r="B2005">
            <v>2.86</v>
          </cell>
        </row>
        <row r="2006">
          <cell r="A2006">
            <v>41519</v>
          </cell>
          <cell r="B2006">
            <v>2.85</v>
          </cell>
        </row>
        <row r="2007">
          <cell r="A2007">
            <v>41520</v>
          </cell>
          <cell r="B2007">
            <v>2.93</v>
          </cell>
        </row>
        <row r="2008">
          <cell r="A2008">
            <v>41521</v>
          </cell>
          <cell r="B2008">
            <v>2.97</v>
          </cell>
        </row>
        <row r="2009">
          <cell r="A2009">
            <v>41522</v>
          </cell>
          <cell r="B2009">
            <v>3.06</v>
          </cell>
        </row>
        <row r="2010">
          <cell r="A2010">
            <v>41523</v>
          </cell>
          <cell r="B2010">
            <v>3.02</v>
          </cell>
        </row>
        <row r="2011">
          <cell r="A2011">
            <v>41526</v>
          </cell>
          <cell r="B2011">
            <v>2.98</v>
          </cell>
        </row>
        <row r="2012">
          <cell r="A2012">
            <v>41527</v>
          </cell>
          <cell r="B2012">
            <v>3.02</v>
          </cell>
        </row>
        <row r="2013">
          <cell r="A2013">
            <v>41528</v>
          </cell>
          <cell r="B2013">
            <v>2.99</v>
          </cell>
        </row>
        <row r="2014">
          <cell r="A2014">
            <v>41529</v>
          </cell>
          <cell r="B2014">
            <v>2.98</v>
          </cell>
        </row>
        <row r="2015">
          <cell r="A2015">
            <v>41530</v>
          </cell>
          <cell r="B2015">
            <v>2.98</v>
          </cell>
        </row>
        <row r="2016">
          <cell r="A2016">
            <v>41533</v>
          </cell>
          <cell r="B2016">
            <v>2.96</v>
          </cell>
        </row>
        <row r="2017">
          <cell r="A2017">
            <v>41534</v>
          </cell>
          <cell r="B2017">
            <v>2.95</v>
          </cell>
        </row>
        <row r="2018">
          <cell r="A2018">
            <v>41535</v>
          </cell>
          <cell r="B2018">
            <v>2.84</v>
          </cell>
        </row>
        <row r="2019">
          <cell r="A2019">
            <v>41536</v>
          </cell>
          <cell r="B2019">
            <v>2.86</v>
          </cell>
        </row>
        <row r="2020">
          <cell r="A2020">
            <v>41537</v>
          </cell>
          <cell r="B2020">
            <v>2.84</v>
          </cell>
        </row>
        <row r="2021">
          <cell r="A2021">
            <v>41540</v>
          </cell>
          <cell r="B2021">
            <v>2.83</v>
          </cell>
        </row>
        <row r="2022">
          <cell r="A2022">
            <v>41541</v>
          </cell>
          <cell r="B2022">
            <v>2.79</v>
          </cell>
        </row>
        <row r="2023">
          <cell r="A2023">
            <v>41542</v>
          </cell>
          <cell r="B2023">
            <v>2.75</v>
          </cell>
        </row>
        <row r="2024">
          <cell r="A2024">
            <v>41543</v>
          </cell>
          <cell r="B2024">
            <v>2.77</v>
          </cell>
        </row>
        <row r="2025">
          <cell r="A2025">
            <v>41544</v>
          </cell>
          <cell r="B2025">
            <v>2.76</v>
          </cell>
        </row>
        <row r="2026">
          <cell r="A2026">
            <v>41547</v>
          </cell>
          <cell r="B2026">
            <v>2.76</v>
          </cell>
        </row>
        <row r="2027">
          <cell r="A2027">
            <v>41548</v>
          </cell>
          <cell r="B2027">
            <v>2.79</v>
          </cell>
        </row>
        <row r="2028">
          <cell r="A2028">
            <v>41549</v>
          </cell>
          <cell r="B2028">
            <v>2.77</v>
          </cell>
        </row>
        <row r="2029">
          <cell r="A2029">
            <v>41550</v>
          </cell>
          <cell r="B2029">
            <v>2.76</v>
          </cell>
        </row>
        <row r="2030">
          <cell r="A2030">
            <v>41551</v>
          </cell>
          <cell r="B2030">
            <v>2.79</v>
          </cell>
        </row>
        <row r="2031">
          <cell r="A2031">
            <v>41554</v>
          </cell>
          <cell r="B2031">
            <v>2.78</v>
          </cell>
        </row>
        <row r="2032">
          <cell r="A2032">
            <v>41555</v>
          </cell>
          <cell r="B2032">
            <v>2.79</v>
          </cell>
        </row>
        <row r="2033">
          <cell r="A2033">
            <v>41556</v>
          </cell>
          <cell r="B2033">
            <v>2.8</v>
          </cell>
        </row>
        <row r="2034">
          <cell r="A2034">
            <v>41557</v>
          </cell>
          <cell r="B2034">
            <v>2.81</v>
          </cell>
        </row>
        <row r="2035">
          <cell r="A2035">
            <v>41558</v>
          </cell>
          <cell r="B2035">
            <v>2.79</v>
          </cell>
        </row>
        <row r="2036">
          <cell r="A2036">
            <v>41561</v>
          </cell>
          <cell r="B2036">
            <v>2.79</v>
          </cell>
        </row>
        <row r="2037">
          <cell r="A2037">
            <v>41562</v>
          </cell>
          <cell r="B2037">
            <v>2.81</v>
          </cell>
        </row>
        <row r="2038">
          <cell r="A2038">
            <v>41563</v>
          </cell>
          <cell r="B2038">
            <v>2.77</v>
          </cell>
        </row>
        <row r="2039">
          <cell r="A2039">
            <v>41564</v>
          </cell>
          <cell r="B2039">
            <v>2.71</v>
          </cell>
        </row>
        <row r="2040">
          <cell r="A2040">
            <v>41565</v>
          </cell>
          <cell r="B2040">
            <v>2.72</v>
          </cell>
        </row>
        <row r="2041">
          <cell r="A2041">
            <v>41568</v>
          </cell>
          <cell r="B2041">
            <v>2.74</v>
          </cell>
        </row>
        <row r="2042">
          <cell r="A2042">
            <v>41569</v>
          </cell>
          <cell r="B2042">
            <v>2.67</v>
          </cell>
        </row>
        <row r="2043">
          <cell r="A2043">
            <v>41570</v>
          </cell>
          <cell r="B2043">
            <v>2.66</v>
          </cell>
        </row>
        <row r="2044">
          <cell r="A2044">
            <v>41571</v>
          </cell>
          <cell r="B2044">
            <v>2.69</v>
          </cell>
        </row>
        <row r="2045">
          <cell r="A2045">
            <v>41572</v>
          </cell>
          <cell r="B2045">
            <v>2.67</v>
          </cell>
        </row>
        <row r="2046">
          <cell r="A2046">
            <v>41575</v>
          </cell>
          <cell r="B2046">
            <v>2.68</v>
          </cell>
        </row>
        <row r="2047">
          <cell r="A2047">
            <v>41576</v>
          </cell>
          <cell r="B2047">
            <v>2.67</v>
          </cell>
        </row>
        <row r="2048">
          <cell r="A2048">
            <v>41577</v>
          </cell>
          <cell r="B2048">
            <v>2.67</v>
          </cell>
        </row>
        <row r="2049">
          <cell r="A2049">
            <v>41578</v>
          </cell>
          <cell r="B2049">
            <v>2.74</v>
          </cell>
        </row>
        <row r="2050">
          <cell r="A2050">
            <v>41579</v>
          </cell>
          <cell r="B2050">
            <v>2.79</v>
          </cell>
        </row>
        <row r="2051">
          <cell r="A2051">
            <v>41582</v>
          </cell>
          <cell r="B2051">
            <v>2.78</v>
          </cell>
        </row>
        <row r="2052">
          <cell r="A2052">
            <v>41583</v>
          </cell>
          <cell r="B2052">
            <v>2.81</v>
          </cell>
        </row>
        <row r="2053">
          <cell r="A2053">
            <v>41584</v>
          </cell>
          <cell r="B2053">
            <v>2.79</v>
          </cell>
        </row>
        <row r="2054">
          <cell r="A2054">
            <v>41585</v>
          </cell>
          <cell r="B2054">
            <v>2.77</v>
          </cell>
        </row>
        <row r="2055">
          <cell r="A2055">
            <v>41586</v>
          </cell>
          <cell r="B2055">
            <v>2.85</v>
          </cell>
        </row>
        <row r="2056">
          <cell r="A2056">
            <v>41589</v>
          </cell>
          <cell r="B2056">
            <v>2.85</v>
          </cell>
        </row>
        <row r="2057">
          <cell r="A2057">
            <v>41590</v>
          </cell>
          <cell r="B2057">
            <v>2.87</v>
          </cell>
        </row>
        <row r="2058">
          <cell r="A2058">
            <v>41591</v>
          </cell>
          <cell r="B2058">
            <v>2.84</v>
          </cell>
        </row>
        <row r="2059">
          <cell r="A2059">
            <v>41592</v>
          </cell>
          <cell r="B2059">
            <v>2.79</v>
          </cell>
        </row>
        <row r="2060">
          <cell r="A2060">
            <v>41593</v>
          </cell>
          <cell r="B2060">
            <v>2.8</v>
          </cell>
        </row>
        <row r="2061">
          <cell r="A2061">
            <v>41596</v>
          </cell>
          <cell r="B2061">
            <v>2.77</v>
          </cell>
        </row>
        <row r="2062">
          <cell r="A2062">
            <v>41597</v>
          </cell>
          <cell r="B2062">
            <v>2.8</v>
          </cell>
        </row>
        <row r="2063">
          <cell r="A2063">
            <v>41598</v>
          </cell>
          <cell r="B2063">
            <v>2.84</v>
          </cell>
        </row>
        <row r="2064">
          <cell r="A2064">
            <v>41599</v>
          </cell>
          <cell r="B2064">
            <v>2.83</v>
          </cell>
        </row>
        <row r="2065">
          <cell r="A2065">
            <v>41600</v>
          </cell>
          <cell r="B2065">
            <v>2.8</v>
          </cell>
        </row>
        <row r="2066">
          <cell r="A2066">
            <v>41603</v>
          </cell>
          <cell r="B2066">
            <v>2.78</v>
          </cell>
        </row>
        <row r="2067">
          <cell r="A2067">
            <v>41604</v>
          </cell>
          <cell r="B2067">
            <v>2.76</v>
          </cell>
        </row>
        <row r="2068">
          <cell r="A2068">
            <v>41605</v>
          </cell>
          <cell r="B2068">
            <v>2.78</v>
          </cell>
        </row>
        <row r="2069">
          <cell r="A2069">
            <v>41606</v>
          </cell>
          <cell r="B2069">
            <v>2.78</v>
          </cell>
        </row>
        <row r="2070">
          <cell r="A2070">
            <v>41607</v>
          </cell>
          <cell r="B2070">
            <v>2.78</v>
          </cell>
        </row>
        <row r="2071">
          <cell r="A2071">
            <v>41608</v>
          </cell>
          <cell r="B2071">
            <v>2.79</v>
          </cell>
        </row>
        <row r="2072">
          <cell r="A2072">
            <v>41610</v>
          </cell>
          <cell r="B2072">
            <v>2.84</v>
          </cell>
        </row>
        <row r="2073">
          <cell r="A2073">
            <v>41611</v>
          </cell>
          <cell r="B2073">
            <v>2.82</v>
          </cell>
        </row>
        <row r="2074">
          <cell r="A2074">
            <v>41612</v>
          </cell>
          <cell r="B2074">
            <v>2.87</v>
          </cell>
        </row>
        <row r="2075">
          <cell r="A2075">
            <v>41613</v>
          </cell>
          <cell r="B2075">
            <v>2.88</v>
          </cell>
        </row>
        <row r="2076">
          <cell r="A2076">
            <v>41614</v>
          </cell>
          <cell r="B2076">
            <v>2.88</v>
          </cell>
        </row>
        <row r="2077">
          <cell r="A2077">
            <v>41617</v>
          </cell>
          <cell r="B2077">
            <v>2.87</v>
          </cell>
        </row>
        <row r="2078">
          <cell r="A2078">
            <v>41618</v>
          </cell>
          <cell r="B2078">
            <v>2.83</v>
          </cell>
        </row>
        <row r="2079">
          <cell r="A2079">
            <v>41619</v>
          </cell>
          <cell r="B2079">
            <v>2.86</v>
          </cell>
        </row>
        <row r="2080">
          <cell r="A2080">
            <v>41620</v>
          </cell>
          <cell r="B2080">
            <v>2.87</v>
          </cell>
        </row>
        <row r="2081">
          <cell r="A2081">
            <v>41621</v>
          </cell>
          <cell r="B2081">
            <v>2.86</v>
          </cell>
        </row>
        <row r="2082">
          <cell r="A2082">
            <v>41624</v>
          </cell>
          <cell r="B2082">
            <v>2.86</v>
          </cell>
        </row>
        <row r="2083">
          <cell r="A2083">
            <v>41625</v>
          </cell>
          <cell r="B2083">
            <v>2.84</v>
          </cell>
        </row>
        <row r="2084">
          <cell r="A2084">
            <v>41626</v>
          </cell>
          <cell r="B2084">
            <v>2.84</v>
          </cell>
        </row>
        <row r="2085">
          <cell r="A2085">
            <v>41627</v>
          </cell>
          <cell r="B2085">
            <v>2.87</v>
          </cell>
        </row>
        <row r="2086">
          <cell r="A2086">
            <v>41628</v>
          </cell>
          <cell r="B2086">
            <v>2.84</v>
          </cell>
        </row>
        <row r="2087">
          <cell r="A2087">
            <v>41631</v>
          </cell>
          <cell r="B2087">
            <v>2.87</v>
          </cell>
        </row>
        <row r="2088">
          <cell r="A2088">
            <v>41632</v>
          </cell>
          <cell r="B2088">
            <v>2.91</v>
          </cell>
        </row>
        <row r="2089">
          <cell r="A2089">
            <v>41634</v>
          </cell>
          <cell r="B2089">
            <v>2.92</v>
          </cell>
        </row>
        <row r="2090">
          <cell r="A2090">
            <v>41635</v>
          </cell>
          <cell r="B2090">
            <v>2.92</v>
          </cell>
        </row>
        <row r="2091">
          <cell r="A2091">
            <v>41638</v>
          </cell>
          <cell r="B2091">
            <v>2.89</v>
          </cell>
        </row>
        <row r="2092">
          <cell r="A2092">
            <v>41639</v>
          </cell>
          <cell r="B2092">
            <v>2.94</v>
          </cell>
        </row>
        <row r="2093">
          <cell r="A2093">
            <v>41641</v>
          </cell>
          <cell r="B2093">
            <v>2.92</v>
          </cell>
        </row>
        <row r="2094">
          <cell r="A2094">
            <v>41642</v>
          </cell>
          <cell r="B2094">
            <v>2.93</v>
          </cell>
        </row>
        <row r="2095">
          <cell r="A2095">
            <v>41645</v>
          </cell>
          <cell r="B2095">
            <v>2.9</v>
          </cell>
        </row>
        <row r="2096">
          <cell r="A2096">
            <v>41646</v>
          </cell>
          <cell r="B2096">
            <v>2.89</v>
          </cell>
        </row>
        <row r="2097">
          <cell r="A2097">
            <v>41647</v>
          </cell>
          <cell r="B2097">
            <v>2.91</v>
          </cell>
        </row>
        <row r="2098">
          <cell r="A2098">
            <v>41648</v>
          </cell>
          <cell r="B2098">
            <v>2.89</v>
          </cell>
        </row>
        <row r="2099">
          <cell r="A2099">
            <v>41649</v>
          </cell>
          <cell r="B2099">
            <v>2.81</v>
          </cell>
        </row>
        <row r="2100">
          <cell r="A2100">
            <v>41652</v>
          </cell>
          <cell r="B2100">
            <v>2.78</v>
          </cell>
        </row>
        <row r="2101">
          <cell r="A2101">
            <v>41653</v>
          </cell>
          <cell r="B2101">
            <v>2.81</v>
          </cell>
        </row>
        <row r="2102">
          <cell r="A2102">
            <v>41654</v>
          </cell>
          <cell r="B2102">
            <v>2.83</v>
          </cell>
        </row>
        <row r="2103">
          <cell r="A2103">
            <v>41655</v>
          </cell>
          <cell r="B2103">
            <v>2.81</v>
          </cell>
        </row>
        <row r="2104">
          <cell r="A2104">
            <v>41656</v>
          </cell>
          <cell r="B2104">
            <v>2.79</v>
          </cell>
        </row>
        <row r="2105">
          <cell r="A2105">
            <v>41659</v>
          </cell>
          <cell r="B2105">
            <v>2.79</v>
          </cell>
        </row>
        <row r="2106">
          <cell r="A2106">
            <v>41660</v>
          </cell>
          <cell r="B2106">
            <v>2.78</v>
          </cell>
        </row>
        <row r="2107">
          <cell r="A2107">
            <v>41661</v>
          </cell>
          <cell r="B2107">
            <v>2.82</v>
          </cell>
        </row>
        <row r="2108">
          <cell r="A2108">
            <v>41662</v>
          </cell>
          <cell r="B2108">
            <v>2.76</v>
          </cell>
        </row>
        <row r="2109">
          <cell r="A2109">
            <v>41663</v>
          </cell>
          <cell r="B2109">
            <v>2.74</v>
          </cell>
        </row>
        <row r="2110">
          <cell r="A2110">
            <v>41666</v>
          </cell>
          <cell r="B2110">
            <v>2.76</v>
          </cell>
        </row>
        <row r="2111">
          <cell r="A2111">
            <v>41667</v>
          </cell>
          <cell r="B2111">
            <v>2.74</v>
          </cell>
        </row>
        <row r="2112">
          <cell r="A2112">
            <v>41668</v>
          </cell>
          <cell r="B2112">
            <v>2.7</v>
          </cell>
        </row>
        <row r="2113">
          <cell r="A2113">
            <v>41669</v>
          </cell>
          <cell r="B2113">
            <v>2.71</v>
          </cell>
        </row>
        <row r="2114">
          <cell r="A2114">
            <v>41670</v>
          </cell>
          <cell r="B2114">
            <v>2.7</v>
          </cell>
        </row>
        <row r="2115">
          <cell r="A2115">
            <v>41673</v>
          </cell>
          <cell r="B2115">
            <v>2.65</v>
          </cell>
        </row>
        <row r="2116">
          <cell r="A2116">
            <v>41674</v>
          </cell>
          <cell r="B2116">
            <v>2.67</v>
          </cell>
        </row>
        <row r="2117">
          <cell r="A2117">
            <v>41675</v>
          </cell>
          <cell r="B2117">
            <v>2.7</v>
          </cell>
        </row>
        <row r="2118">
          <cell r="A2118">
            <v>41676</v>
          </cell>
          <cell r="B2118">
            <v>2.73</v>
          </cell>
        </row>
        <row r="2119">
          <cell r="A2119">
            <v>41677</v>
          </cell>
          <cell r="B2119">
            <v>2.7</v>
          </cell>
        </row>
        <row r="2120">
          <cell r="A2120">
            <v>41680</v>
          </cell>
          <cell r="B2120">
            <v>2.7</v>
          </cell>
        </row>
        <row r="2121">
          <cell r="A2121">
            <v>41681</v>
          </cell>
          <cell r="B2121">
            <v>2.73</v>
          </cell>
        </row>
        <row r="2122">
          <cell r="A2122">
            <v>41682</v>
          </cell>
          <cell r="B2122">
            <v>2.77</v>
          </cell>
        </row>
        <row r="2123">
          <cell r="A2123">
            <v>41683</v>
          </cell>
          <cell r="B2123">
            <v>2.72</v>
          </cell>
        </row>
        <row r="2124">
          <cell r="A2124">
            <v>41684</v>
          </cell>
          <cell r="B2124">
            <v>2.73</v>
          </cell>
        </row>
        <row r="2125">
          <cell r="A2125">
            <v>41687</v>
          </cell>
          <cell r="B2125">
            <v>2.73</v>
          </cell>
        </row>
        <row r="2126">
          <cell r="A2126">
            <v>41688</v>
          </cell>
          <cell r="B2126">
            <v>2.7</v>
          </cell>
        </row>
        <row r="2127">
          <cell r="A2127">
            <v>41689</v>
          </cell>
          <cell r="B2127">
            <v>2.72</v>
          </cell>
        </row>
        <row r="2128">
          <cell r="A2128">
            <v>41690</v>
          </cell>
          <cell r="B2128">
            <v>2.74</v>
          </cell>
        </row>
        <row r="2129">
          <cell r="A2129">
            <v>41691</v>
          </cell>
          <cell r="B2129">
            <v>2.72</v>
          </cell>
        </row>
        <row r="2130">
          <cell r="A2130">
            <v>41694</v>
          </cell>
          <cell r="B2130">
            <v>2.73</v>
          </cell>
        </row>
        <row r="2131">
          <cell r="A2131">
            <v>41695</v>
          </cell>
          <cell r="B2131">
            <v>2.69</v>
          </cell>
        </row>
        <row r="2132">
          <cell r="A2132">
            <v>41696</v>
          </cell>
          <cell r="B2132">
            <v>2.67</v>
          </cell>
        </row>
        <row r="2133">
          <cell r="A2133">
            <v>41697</v>
          </cell>
          <cell r="B2133">
            <v>2.64</v>
          </cell>
        </row>
        <row r="2134">
          <cell r="A2134">
            <v>41698</v>
          </cell>
          <cell r="B2134">
            <v>2.66</v>
          </cell>
        </row>
        <row r="2135">
          <cell r="A2135">
            <v>41701</v>
          </cell>
          <cell r="B2135">
            <v>2.63</v>
          </cell>
        </row>
        <row r="2136">
          <cell r="A2136">
            <v>41702</v>
          </cell>
          <cell r="B2136">
            <v>2.68</v>
          </cell>
        </row>
        <row r="2137">
          <cell r="A2137">
            <v>41703</v>
          </cell>
          <cell r="B2137">
            <v>2.69</v>
          </cell>
        </row>
        <row r="2138">
          <cell r="A2138">
            <v>41704</v>
          </cell>
          <cell r="B2138">
            <v>2.72</v>
          </cell>
        </row>
        <row r="2139">
          <cell r="A2139">
            <v>41705</v>
          </cell>
          <cell r="B2139">
            <v>2.76</v>
          </cell>
        </row>
        <row r="2140">
          <cell r="A2140">
            <v>41708</v>
          </cell>
          <cell r="B2140">
            <v>2.76</v>
          </cell>
        </row>
        <row r="2141">
          <cell r="A2141">
            <v>41709</v>
          </cell>
          <cell r="B2141">
            <v>2.75</v>
          </cell>
        </row>
        <row r="2142">
          <cell r="A2142">
            <v>41710</v>
          </cell>
          <cell r="B2142">
            <v>2.72</v>
          </cell>
        </row>
        <row r="2143">
          <cell r="A2143">
            <v>41711</v>
          </cell>
          <cell r="B2143">
            <v>2.67</v>
          </cell>
        </row>
        <row r="2144">
          <cell r="A2144">
            <v>41712</v>
          </cell>
          <cell r="B2144">
            <v>2.68</v>
          </cell>
        </row>
        <row r="2145">
          <cell r="A2145">
            <v>41715</v>
          </cell>
          <cell r="B2145">
            <v>2.72</v>
          </cell>
        </row>
        <row r="2146">
          <cell r="A2146">
            <v>41716</v>
          </cell>
          <cell r="B2146">
            <v>2.7</v>
          </cell>
        </row>
        <row r="2147">
          <cell r="A2147">
            <v>41717</v>
          </cell>
          <cell r="B2147">
            <v>2.79</v>
          </cell>
        </row>
        <row r="2148">
          <cell r="A2148">
            <v>41718</v>
          </cell>
          <cell r="B2148">
            <v>2.79</v>
          </cell>
        </row>
        <row r="2149">
          <cell r="A2149">
            <v>41719</v>
          </cell>
          <cell r="B2149">
            <v>2.78</v>
          </cell>
        </row>
        <row r="2150">
          <cell r="A2150">
            <v>41722</v>
          </cell>
          <cell r="B2150">
            <v>2.77</v>
          </cell>
        </row>
        <row r="2151">
          <cell r="A2151">
            <v>41723</v>
          </cell>
          <cell r="B2151">
            <v>2.76</v>
          </cell>
        </row>
        <row r="2152">
          <cell r="A2152">
            <v>41724</v>
          </cell>
          <cell r="B2152">
            <v>2.72</v>
          </cell>
        </row>
        <row r="2153">
          <cell r="A2153">
            <v>41725</v>
          </cell>
          <cell r="B2153">
            <v>2.71</v>
          </cell>
        </row>
        <row r="2154">
          <cell r="A2154">
            <v>41726</v>
          </cell>
          <cell r="B2154">
            <v>2.74</v>
          </cell>
        </row>
        <row r="2155">
          <cell r="A2155">
            <v>41729</v>
          </cell>
          <cell r="B2155">
            <v>2.66</v>
          </cell>
        </row>
        <row r="2156">
          <cell r="A2156">
            <v>41730</v>
          </cell>
          <cell r="B2156">
            <v>2.67</v>
          </cell>
        </row>
        <row r="2157">
          <cell r="A2157">
            <v>41731</v>
          </cell>
          <cell r="B2157">
            <v>2.7</v>
          </cell>
        </row>
        <row r="2158">
          <cell r="A2158">
            <v>41732</v>
          </cell>
          <cell r="B2158">
            <v>2.69</v>
          </cell>
        </row>
        <row r="2159">
          <cell r="A2159">
            <v>41733</v>
          </cell>
          <cell r="B2159">
            <v>2.63</v>
          </cell>
        </row>
        <row r="2160">
          <cell r="A2160">
            <v>41736</v>
          </cell>
          <cell r="B2160">
            <v>2.61</v>
          </cell>
        </row>
        <row r="2161">
          <cell r="A2161">
            <v>41737</v>
          </cell>
          <cell r="B2161">
            <v>2.6</v>
          </cell>
        </row>
        <row r="2162">
          <cell r="A2162">
            <v>41738</v>
          </cell>
          <cell r="B2162">
            <v>2.59</v>
          </cell>
        </row>
        <row r="2163">
          <cell r="A2163">
            <v>41739</v>
          </cell>
          <cell r="B2163">
            <v>2.54</v>
          </cell>
        </row>
        <row r="2164">
          <cell r="A2164">
            <v>41740</v>
          </cell>
          <cell r="B2164">
            <v>2.5299999999999998</v>
          </cell>
        </row>
        <row r="2165">
          <cell r="A2165">
            <v>41743</v>
          </cell>
          <cell r="B2165">
            <v>2.5499999999999998</v>
          </cell>
        </row>
        <row r="2166">
          <cell r="A2166">
            <v>41744</v>
          </cell>
          <cell r="B2166">
            <v>2.5499999999999998</v>
          </cell>
        </row>
        <row r="2167">
          <cell r="A2167">
            <v>41745</v>
          </cell>
          <cell r="B2167">
            <v>2.56</v>
          </cell>
        </row>
        <row r="2168">
          <cell r="A2168">
            <v>41746</v>
          </cell>
          <cell r="B2168">
            <v>2.62</v>
          </cell>
        </row>
        <row r="2169">
          <cell r="A2169">
            <v>41750</v>
          </cell>
          <cell r="B2169">
            <v>2.62</v>
          </cell>
        </row>
        <row r="2170">
          <cell r="A2170">
            <v>41751</v>
          </cell>
          <cell r="B2170">
            <v>2.62</v>
          </cell>
        </row>
        <row r="2171">
          <cell r="A2171">
            <v>41752</v>
          </cell>
          <cell r="B2171">
            <v>2.59</v>
          </cell>
        </row>
        <row r="2172">
          <cell r="A2172">
            <v>41753</v>
          </cell>
          <cell r="B2172">
            <v>2.6</v>
          </cell>
        </row>
        <row r="2173">
          <cell r="A2173">
            <v>41754</v>
          </cell>
          <cell r="B2173">
            <v>2.58</v>
          </cell>
        </row>
        <row r="2174">
          <cell r="A2174">
            <v>41757</v>
          </cell>
          <cell r="B2174">
            <v>2.6</v>
          </cell>
        </row>
        <row r="2175">
          <cell r="A2175">
            <v>41758</v>
          </cell>
          <cell r="B2175">
            <v>2.61</v>
          </cell>
        </row>
        <row r="2176">
          <cell r="A2176">
            <v>41759</v>
          </cell>
          <cell r="B2176">
            <v>2.6</v>
          </cell>
        </row>
        <row r="2177">
          <cell r="A2177">
            <v>41760</v>
          </cell>
          <cell r="B2177">
            <v>2.57</v>
          </cell>
        </row>
        <row r="2178">
          <cell r="A2178">
            <v>41761</v>
          </cell>
          <cell r="B2178">
            <v>2.57</v>
          </cell>
        </row>
        <row r="2179">
          <cell r="A2179">
            <v>41764</v>
          </cell>
          <cell r="B2179">
            <v>2.58</v>
          </cell>
        </row>
        <row r="2180">
          <cell r="A2180">
            <v>41765</v>
          </cell>
          <cell r="B2180">
            <v>2.57</v>
          </cell>
        </row>
        <row r="2181">
          <cell r="A2181">
            <v>41766</v>
          </cell>
          <cell r="B2181">
            <v>2.56</v>
          </cell>
        </row>
        <row r="2182">
          <cell r="A2182">
            <v>41767</v>
          </cell>
          <cell r="B2182">
            <v>2.54</v>
          </cell>
        </row>
        <row r="2183">
          <cell r="A2183">
            <v>41768</v>
          </cell>
          <cell r="B2183">
            <v>2.5499999999999998</v>
          </cell>
        </row>
        <row r="2184">
          <cell r="A2184">
            <v>41771</v>
          </cell>
          <cell r="B2184">
            <v>2.58</v>
          </cell>
        </row>
        <row r="2185">
          <cell r="A2185">
            <v>41772</v>
          </cell>
          <cell r="B2185">
            <v>2.5499999999999998</v>
          </cell>
        </row>
        <row r="2186">
          <cell r="A2186">
            <v>41773</v>
          </cell>
          <cell r="B2186">
            <v>2.4900000000000002</v>
          </cell>
        </row>
        <row r="2187">
          <cell r="A2187">
            <v>41774</v>
          </cell>
          <cell r="B2187">
            <v>2.4700000000000002</v>
          </cell>
        </row>
        <row r="2188">
          <cell r="A2188">
            <v>41775</v>
          </cell>
          <cell r="B2188">
            <v>2.48</v>
          </cell>
        </row>
        <row r="2189">
          <cell r="A2189">
            <v>41778</v>
          </cell>
          <cell r="B2189">
            <v>2.48</v>
          </cell>
        </row>
        <row r="2190">
          <cell r="A2190">
            <v>41779</v>
          </cell>
          <cell r="B2190">
            <v>2.46</v>
          </cell>
        </row>
        <row r="2191">
          <cell r="A2191">
            <v>41780</v>
          </cell>
          <cell r="B2191">
            <v>2.4900000000000002</v>
          </cell>
        </row>
        <row r="2192">
          <cell r="A2192">
            <v>41781</v>
          </cell>
          <cell r="B2192">
            <v>2.5</v>
          </cell>
        </row>
        <row r="2193">
          <cell r="A2193">
            <v>41782</v>
          </cell>
          <cell r="B2193">
            <v>2.48</v>
          </cell>
        </row>
        <row r="2194">
          <cell r="A2194">
            <v>41785</v>
          </cell>
          <cell r="B2194">
            <v>2.48</v>
          </cell>
        </row>
        <row r="2195">
          <cell r="A2195">
            <v>41786</v>
          </cell>
          <cell r="B2195">
            <v>2.4700000000000002</v>
          </cell>
        </row>
        <row r="2196">
          <cell r="A2196">
            <v>41787</v>
          </cell>
          <cell r="B2196">
            <v>2.42</v>
          </cell>
        </row>
        <row r="2197">
          <cell r="A2197">
            <v>41788</v>
          </cell>
          <cell r="B2197">
            <v>2.4300000000000002</v>
          </cell>
        </row>
        <row r="2198">
          <cell r="A2198">
            <v>41789</v>
          </cell>
          <cell r="B2198">
            <v>2.4300000000000002</v>
          </cell>
        </row>
        <row r="2199">
          <cell r="A2199">
            <v>41790</v>
          </cell>
          <cell r="B2199">
            <v>2.4700000000000002</v>
          </cell>
        </row>
        <row r="2200">
          <cell r="A2200">
            <v>41792</v>
          </cell>
          <cell r="B2200">
            <v>2.5299999999999998</v>
          </cell>
        </row>
        <row r="2201">
          <cell r="A2201">
            <v>41793</v>
          </cell>
          <cell r="B2201">
            <v>2.57</v>
          </cell>
        </row>
        <row r="2202">
          <cell r="A2202">
            <v>41794</v>
          </cell>
          <cell r="B2202">
            <v>2.57</v>
          </cell>
        </row>
        <row r="2203">
          <cell r="A2203">
            <v>41795</v>
          </cell>
          <cell r="B2203">
            <v>2.56</v>
          </cell>
        </row>
        <row r="2204">
          <cell r="A2204">
            <v>41796</v>
          </cell>
          <cell r="B2204">
            <v>2.57</v>
          </cell>
        </row>
        <row r="2205">
          <cell r="A2205">
            <v>41799</v>
          </cell>
          <cell r="B2205">
            <v>2.59</v>
          </cell>
        </row>
        <row r="2206">
          <cell r="A2206">
            <v>41800</v>
          </cell>
          <cell r="B2206">
            <v>2.61</v>
          </cell>
        </row>
        <row r="2207">
          <cell r="A2207">
            <v>41801</v>
          </cell>
          <cell r="B2207">
            <v>2.6</v>
          </cell>
        </row>
        <row r="2208">
          <cell r="A2208">
            <v>41802</v>
          </cell>
          <cell r="B2208">
            <v>2.57</v>
          </cell>
        </row>
        <row r="2209">
          <cell r="A2209">
            <v>41803</v>
          </cell>
          <cell r="B2209">
            <v>2.59</v>
          </cell>
        </row>
        <row r="2210">
          <cell r="A2210">
            <v>41806</v>
          </cell>
          <cell r="B2210">
            <v>2.58</v>
          </cell>
        </row>
        <row r="2211">
          <cell r="A2211">
            <v>41807</v>
          </cell>
          <cell r="B2211">
            <v>2.62</v>
          </cell>
        </row>
        <row r="2212">
          <cell r="A2212">
            <v>41808</v>
          </cell>
          <cell r="B2212">
            <v>2.6</v>
          </cell>
        </row>
        <row r="2213">
          <cell r="A2213">
            <v>41809</v>
          </cell>
          <cell r="B2213">
            <v>2.59</v>
          </cell>
        </row>
        <row r="2214">
          <cell r="A2214">
            <v>41810</v>
          </cell>
          <cell r="B2214">
            <v>2.6</v>
          </cell>
        </row>
        <row r="2215">
          <cell r="A2215">
            <v>41813</v>
          </cell>
          <cell r="B2215">
            <v>2.59</v>
          </cell>
        </row>
        <row r="2216">
          <cell r="A2216">
            <v>41814</v>
          </cell>
          <cell r="B2216">
            <v>2.57</v>
          </cell>
        </row>
        <row r="2217">
          <cell r="A2217">
            <v>41815</v>
          </cell>
          <cell r="B2217">
            <v>2.5499999999999998</v>
          </cell>
        </row>
        <row r="2218">
          <cell r="A2218">
            <v>41816</v>
          </cell>
          <cell r="B2218">
            <v>2.52</v>
          </cell>
        </row>
        <row r="2219">
          <cell r="A2219">
            <v>41817</v>
          </cell>
          <cell r="B2219">
            <v>2.5299999999999998</v>
          </cell>
        </row>
        <row r="2220">
          <cell r="A2220">
            <v>41820</v>
          </cell>
          <cell r="B2220">
            <v>2.5099999999999998</v>
          </cell>
        </row>
        <row r="2221">
          <cell r="A2221">
            <v>41821</v>
          </cell>
          <cell r="B2221">
            <v>2.5499999999999998</v>
          </cell>
        </row>
        <row r="2222">
          <cell r="A2222">
            <v>41822</v>
          </cell>
          <cell r="B2222">
            <v>2.6</v>
          </cell>
        </row>
        <row r="2223">
          <cell r="A2223">
            <v>41823</v>
          </cell>
          <cell r="B2223">
            <v>2.62</v>
          </cell>
        </row>
        <row r="2224">
          <cell r="A2224">
            <v>41824</v>
          </cell>
          <cell r="B2224">
            <v>2.62</v>
          </cell>
        </row>
        <row r="2225">
          <cell r="A2225">
            <v>41827</v>
          </cell>
          <cell r="B2225">
            <v>2.6</v>
          </cell>
        </row>
        <row r="2226">
          <cell r="A2226">
            <v>41828</v>
          </cell>
          <cell r="B2226">
            <v>2.57</v>
          </cell>
        </row>
        <row r="2227">
          <cell r="A2227">
            <v>41829</v>
          </cell>
          <cell r="B2227">
            <v>2.5499999999999998</v>
          </cell>
        </row>
        <row r="2228">
          <cell r="A2228">
            <v>41830</v>
          </cell>
          <cell r="B2228">
            <v>2.5299999999999998</v>
          </cell>
        </row>
        <row r="2229">
          <cell r="A2229">
            <v>41831</v>
          </cell>
          <cell r="B2229">
            <v>2.5299999999999998</v>
          </cell>
        </row>
        <row r="2230">
          <cell r="A2230">
            <v>41834</v>
          </cell>
          <cell r="B2230">
            <v>2.54</v>
          </cell>
        </row>
        <row r="2231">
          <cell r="A2231">
            <v>41835</v>
          </cell>
          <cell r="B2231">
            <v>2.5499999999999998</v>
          </cell>
        </row>
        <row r="2232">
          <cell r="A2232">
            <v>41836</v>
          </cell>
          <cell r="B2232">
            <v>2.5499999999999998</v>
          </cell>
        </row>
        <row r="2233">
          <cell r="A2233">
            <v>41837</v>
          </cell>
          <cell r="B2233">
            <v>2.5099999999999998</v>
          </cell>
        </row>
        <row r="2234">
          <cell r="A2234">
            <v>41838</v>
          </cell>
          <cell r="B2234">
            <v>2.52</v>
          </cell>
        </row>
        <row r="2235">
          <cell r="A2235">
            <v>41841</v>
          </cell>
          <cell r="B2235">
            <v>2.52</v>
          </cell>
        </row>
        <row r="2236">
          <cell r="A2236">
            <v>41842</v>
          </cell>
          <cell r="B2236">
            <v>2.5099999999999998</v>
          </cell>
        </row>
        <row r="2237">
          <cell r="A2237">
            <v>41843</v>
          </cell>
          <cell r="B2237">
            <v>2.5099999999999998</v>
          </cell>
        </row>
        <row r="2238">
          <cell r="A2238">
            <v>41844</v>
          </cell>
          <cell r="B2238">
            <v>2.54</v>
          </cell>
        </row>
        <row r="2239">
          <cell r="A2239">
            <v>41845</v>
          </cell>
          <cell r="B2239">
            <v>2.5099999999999998</v>
          </cell>
        </row>
        <row r="2240">
          <cell r="A2240">
            <v>41848</v>
          </cell>
          <cell r="B2240">
            <v>2.5299999999999998</v>
          </cell>
        </row>
        <row r="2241">
          <cell r="A2241">
            <v>41849</v>
          </cell>
          <cell r="B2241">
            <v>2.5</v>
          </cell>
        </row>
        <row r="2242">
          <cell r="A2242">
            <v>41850</v>
          </cell>
          <cell r="B2242">
            <v>2.57</v>
          </cell>
        </row>
        <row r="2243">
          <cell r="A2243">
            <v>41851</v>
          </cell>
          <cell r="B2243">
            <v>2.59</v>
          </cell>
        </row>
        <row r="2244">
          <cell r="A2244">
            <v>41852</v>
          </cell>
          <cell r="B2244">
            <v>2.54</v>
          </cell>
        </row>
        <row r="2245">
          <cell r="A2245">
            <v>41855</v>
          </cell>
          <cell r="B2245">
            <v>2.5299999999999998</v>
          </cell>
        </row>
        <row r="2246">
          <cell r="A2246">
            <v>41856</v>
          </cell>
          <cell r="B2246">
            <v>2.5299999999999998</v>
          </cell>
        </row>
        <row r="2247">
          <cell r="A2247">
            <v>41857</v>
          </cell>
          <cell r="B2247">
            <v>2.52</v>
          </cell>
        </row>
        <row r="2248">
          <cell r="A2248">
            <v>41858</v>
          </cell>
          <cell r="B2248">
            <v>2.48</v>
          </cell>
        </row>
        <row r="2249">
          <cell r="A2249">
            <v>41859</v>
          </cell>
          <cell r="B2249">
            <v>2.48</v>
          </cell>
        </row>
        <row r="2250">
          <cell r="A2250">
            <v>41862</v>
          </cell>
          <cell r="B2250">
            <v>2.4900000000000002</v>
          </cell>
        </row>
        <row r="2251">
          <cell r="A2251">
            <v>41863</v>
          </cell>
          <cell r="B2251">
            <v>2.5</v>
          </cell>
        </row>
        <row r="2252">
          <cell r="A2252">
            <v>41864</v>
          </cell>
          <cell r="B2252">
            <v>2.4700000000000002</v>
          </cell>
        </row>
        <row r="2253">
          <cell r="A2253">
            <v>41865</v>
          </cell>
          <cell r="B2253">
            <v>2.4500000000000002</v>
          </cell>
        </row>
        <row r="2254">
          <cell r="A2254">
            <v>41866</v>
          </cell>
          <cell r="B2254">
            <v>2.42</v>
          </cell>
        </row>
        <row r="2255">
          <cell r="A2255">
            <v>41869</v>
          </cell>
          <cell r="B2255">
            <v>2.4500000000000002</v>
          </cell>
        </row>
        <row r="2256">
          <cell r="A2256">
            <v>41870</v>
          </cell>
          <cell r="B2256">
            <v>2.4700000000000002</v>
          </cell>
        </row>
        <row r="2257">
          <cell r="A2257">
            <v>41871</v>
          </cell>
          <cell r="B2257">
            <v>2.5</v>
          </cell>
        </row>
        <row r="2258">
          <cell r="A2258">
            <v>41872</v>
          </cell>
          <cell r="B2258">
            <v>2.4900000000000002</v>
          </cell>
        </row>
        <row r="2259">
          <cell r="A2259">
            <v>41873</v>
          </cell>
          <cell r="B2259">
            <v>2.5</v>
          </cell>
        </row>
        <row r="2260">
          <cell r="A2260">
            <v>41876</v>
          </cell>
          <cell r="B2260">
            <v>2.5</v>
          </cell>
        </row>
        <row r="2261">
          <cell r="A2261">
            <v>41877</v>
          </cell>
          <cell r="B2261">
            <v>2.5</v>
          </cell>
        </row>
        <row r="2262">
          <cell r="A2262">
            <v>41878</v>
          </cell>
          <cell r="B2262">
            <v>2.48</v>
          </cell>
        </row>
        <row r="2263">
          <cell r="A2263">
            <v>41879</v>
          </cell>
          <cell r="B2263">
            <v>2.46</v>
          </cell>
        </row>
        <row r="2264">
          <cell r="A2264">
            <v>41880</v>
          </cell>
          <cell r="B2264">
            <v>2.46</v>
          </cell>
        </row>
        <row r="2265">
          <cell r="A2265">
            <v>41882</v>
          </cell>
          <cell r="B2265">
            <v>2.46</v>
          </cell>
        </row>
        <row r="2266">
          <cell r="A2266">
            <v>41883</v>
          </cell>
          <cell r="B2266">
            <v>2.46</v>
          </cell>
        </row>
        <row r="2267">
          <cell r="A2267">
            <v>41884</v>
          </cell>
          <cell r="B2267">
            <v>2.52</v>
          </cell>
        </row>
        <row r="2268">
          <cell r="A2268">
            <v>41885</v>
          </cell>
          <cell r="B2268">
            <v>2.52</v>
          </cell>
        </row>
        <row r="2269">
          <cell r="A2269">
            <v>41886</v>
          </cell>
          <cell r="B2269">
            <v>2.5499999999999998</v>
          </cell>
        </row>
        <row r="2270">
          <cell r="A2270">
            <v>41887</v>
          </cell>
          <cell r="B2270">
            <v>2.54</v>
          </cell>
        </row>
        <row r="2271">
          <cell r="A2271">
            <v>41890</v>
          </cell>
          <cell r="B2271">
            <v>2.5499999999999998</v>
          </cell>
        </row>
        <row r="2272">
          <cell r="A2272">
            <v>41891</v>
          </cell>
          <cell r="B2272">
            <v>2.58</v>
          </cell>
        </row>
        <row r="2273">
          <cell r="A2273">
            <v>41892</v>
          </cell>
          <cell r="B2273">
            <v>2.61</v>
          </cell>
        </row>
        <row r="2274">
          <cell r="A2274">
            <v>41893</v>
          </cell>
          <cell r="B2274">
            <v>2.6</v>
          </cell>
        </row>
        <row r="2275">
          <cell r="A2275">
            <v>41894</v>
          </cell>
          <cell r="B2275">
            <v>2.65</v>
          </cell>
        </row>
        <row r="2276">
          <cell r="A2276">
            <v>41897</v>
          </cell>
          <cell r="B2276">
            <v>2.63</v>
          </cell>
        </row>
        <row r="2277">
          <cell r="A2277">
            <v>41898</v>
          </cell>
          <cell r="B2277">
            <v>2.62</v>
          </cell>
        </row>
        <row r="2278">
          <cell r="A2278">
            <v>41899</v>
          </cell>
          <cell r="B2278">
            <v>2.64</v>
          </cell>
        </row>
        <row r="2279">
          <cell r="A2279">
            <v>41900</v>
          </cell>
          <cell r="B2279">
            <v>2.65</v>
          </cell>
        </row>
        <row r="2280">
          <cell r="A2280">
            <v>41901</v>
          </cell>
          <cell r="B2280">
            <v>2.63</v>
          </cell>
        </row>
        <row r="2281">
          <cell r="A2281">
            <v>41904</v>
          </cell>
          <cell r="B2281">
            <v>2.61</v>
          </cell>
        </row>
        <row r="2282">
          <cell r="A2282">
            <v>41905</v>
          </cell>
          <cell r="B2282">
            <v>2.58</v>
          </cell>
        </row>
        <row r="2283">
          <cell r="A2283">
            <v>41906</v>
          </cell>
          <cell r="B2283">
            <v>2.61</v>
          </cell>
        </row>
        <row r="2284">
          <cell r="A2284">
            <v>41907</v>
          </cell>
          <cell r="B2284">
            <v>2.57</v>
          </cell>
        </row>
        <row r="2285">
          <cell r="A2285">
            <v>41908</v>
          </cell>
          <cell r="B2285">
            <v>2.59</v>
          </cell>
        </row>
        <row r="2286">
          <cell r="A2286">
            <v>41911</v>
          </cell>
          <cell r="B2286">
            <v>2.56</v>
          </cell>
        </row>
        <row r="2287">
          <cell r="A2287">
            <v>41912</v>
          </cell>
          <cell r="B2287">
            <v>2.68</v>
          </cell>
        </row>
        <row r="2288">
          <cell r="A2288">
            <v>41913</v>
          </cell>
          <cell r="B2288">
            <v>2.61</v>
          </cell>
        </row>
        <row r="2289">
          <cell r="A2289">
            <v>41914</v>
          </cell>
          <cell r="B2289">
            <v>2.63</v>
          </cell>
        </row>
        <row r="2290">
          <cell r="A2290">
            <v>41915</v>
          </cell>
          <cell r="B2290">
            <v>2.65</v>
          </cell>
        </row>
        <row r="2291">
          <cell r="A2291">
            <v>41918</v>
          </cell>
          <cell r="B2291">
            <v>2.62</v>
          </cell>
        </row>
        <row r="2292">
          <cell r="A2292">
            <v>41919</v>
          </cell>
          <cell r="B2292">
            <v>2.57</v>
          </cell>
        </row>
        <row r="2293">
          <cell r="A2293">
            <v>41920</v>
          </cell>
          <cell r="B2293">
            <v>2.54</v>
          </cell>
        </row>
        <row r="2294">
          <cell r="A2294">
            <v>41921</v>
          </cell>
          <cell r="B2294">
            <v>2.54</v>
          </cell>
        </row>
        <row r="2295">
          <cell r="A2295">
            <v>41922</v>
          </cell>
          <cell r="B2295">
            <v>2.5299999999999998</v>
          </cell>
        </row>
        <row r="2296">
          <cell r="A2296">
            <v>41925</v>
          </cell>
          <cell r="B2296">
            <v>2.52</v>
          </cell>
        </row>
        <row r="2297">
          <cell r="A2297">
            <v>41926</v>
          </cell>
          <cell r="B2297">
            <v>2.44</v>
          </cell>
        </row>
        <row r="2298">
          <cell r="A2298">
            <v>41927</v>
          </cell>
          <cell r="B2298">
            <v>2.37</v>
          </cell>
        </row>
        <row r="2299">
          <cell r="A2299">
            <v>41928</v>
          </cell>
          <cell r="B2299">
            <v>2.4300000000000002</v>
          </cell>
        </row>
        <row r="2300">
          <cell r="A2300">
            <v>41929</v>
          </cell>
          <cell r="B2300">
            <v>2.4700000000000002</v>
          </cell>
        </row>
        <row r="2301">
          <cell r="A2301">
            <v>41932</v>
          </cell>
          <cell r="B2301">
            <v>2.44</v>
          </cell>
        </row>
        <row r="2302">
          <cell r="A2302">
            <v>41933</v>
          </cell>
          <cell r="B2302">
            <v>2.46</v>
          </cell>
        </row>
        <row r="2303">
          <cell r="A2303">
            <v>41934</v>
          </cell>
          <cell r="B2303">
            <v>2.48</v>
          </cell>
        </row>
        <row r="2304">
          <cell r="A2304">
            <v>41935</v>
          </cell>
          <cell r="B2304">
            <v>2.52</v>
          </cell>
        </row>
        <row r="2305">
          <cell r="A2305">
            <v>41936</v>
          </cell>
          <cell r="B2305">
            <v>2.52</v>
          </cell>
        </row>
        <row r="2306">
          <cell r="A2306">
            <v>41939</v>
          </cell>
          <cell r="B2306">
            <v>2.5099999999999998</v>
          </cell>
        </row>
        <row r="2307">
          <cell r="A2307">
            <v>41940</v>
          </cell>
          <cell r="B2307">
            <v>2.5299999999999998</v>
          </cell>
        </row>
        <row r="2308">
          <cell r="A2308">
            <v>41941</v>
          </cell>
          <cell r="B2308">
            <v>2.57</v>
          </cell>
        </row>
        <row r="2309">
          <cell r="A2309">
            <v>41942</v>
          </cell>
          <cell r="B2309">
            <v>2.5499999999999998</v>
          </cell>
        </row>
        <row r="2310">
          <cell r="A2310">
            <v>41943</v>
          </cell>
          <cell r="B2310">
            <v>2.58</v>
          </cell>
        </row>
        <row r="2311">
          <cell r="A2311">
            <v>41946</v>
          </cell>
          <cell r="B2311">
            <v>2.59</v>
          </cell>
        </row>
        <row r="2312">
          <cell r="A2312">
            <v>41947</v>
          </cell>
          <cell r="B2312">
            <v>2.59</v>
          </cell>
        </row>
        <row r="2313">
          <cell r="A2313">
            <v>41948</v>
          </cell>
          <cell r="B2313">
            <v>2.59</v>
          </cell>
        </row>
        <row r="2314">
          <cell r="A2314">
            <v>41949</v>
          </cell>
          <cell r="B2314">
            <v>2.61</v>
          </cell>
        </row>
        <row r="2315">
          <cell r="A2315">
            <v>41950</v>
          </cell>
          <cell r="B2315">
            <v>2.57</v>
          </cell>
        </row>
        <row r="2316">
          <cell r="A2316">
            <v>41953</v>
          </cell>
          <cell r="B2316">
            <v>2.6</v>
          </cell>
        </row>
        <row r="2317">
          <cell r="A2317">
            <v>41954</v>
          </cell>
          <cell r="B2317">
            <v>2.6</v>
          </cell>
        </row>
        <row r="2318">
          <cell r="A2318">
            <v>41955</v>
          </cell>
          <cell r="B2318">
            <v>2.6</v>
          </cell>
        </row>
        <row r="2319">
          <cell r="A2319">
            <v>41956</v>
          </cell>
          <cell r="B2319">
            <v>2.59</v>
          </cell>
        </row>
        <row r="2320">
          <cell r="A2320">
            <v>41957</v>
          </cell>
          <cell r="B2320">
            <v>2.56</v>
          </cell>
        </row>
        <row r="2321">
          <cell r="A2321">
            <v>41960</v>
          </cell>
          <cell r="B2321">
            <v>2.58</v>
          </cell>
        </row>
        <row r="2322">
          <cell r="A2322">
            <v>41961</v>
          </cell>
          <cell r="B2322">
            <v>2.57</v>
          </cell>
        </row>
        <row r="2323">
          <cell r="A2323">
            <v>41962</v>
          </cell>
          <cell r="B2323">
            <v>2.61</v>
          </cell>
        </row>
        <row r="2324">
          <cell r="A2324">
            <v>41963</v>
          </cell>
          <cell r="B2324">
            <v>2.59</v>
          </cell>
        </row>
        <row r="2325">
          <cell r="A2325">
            <v>41964</v>
          </cell>
          <cell r="B2325">
            <v>2.58</v>
          </cell>
        </row>
        <row r="2326">
          <cell r="A2326">
            <v>41967</v>
          </cell>
          <cell r="B2326">
            <v>2.58</v>
          </cell>
        </row>
        <row r="2327">
          <cell r="A2327">
            <v>41968</v>
          </cell>
          <cell r="B2327">
            <v>2.52</v>
          </cell>
        </row>
        <row r="2328">
          <cell r="A2328">
            <v>41969</v>
          </cell>
          <cell r="B2328">
            <v>2.5</v>
          </cell>
        </row>
        <row r="2329">
          <cell r="A2329">
            <v>41970</v>
          </cell>
          <cell r="B2329">
            <v>2.5</v>
          </cell>
        </row>
        <row r="2330">
          <cell r="A2330">
            <v>41971</v>
          </cell>
          <cell r="B2330">
            <v>2.46</v>
          </cell>
        </row>
        <row r="2331">
          <cell r="A2331">
            <v>41973</v>
          </cell>
          <cell r="B2331">
            <v>2.44</v>
          </cell>
        </row>
        <row r="2332">
          <cell r="A2332">
            <v>41974</v>
          </cell>
          <cell r="B2332">
            <v>2.4700000000000002</v>
          </cell>
        </row>
        <row r="2333">
          <cell r="A2333">
            <v>41975</v>
          </cell>
          <cell r="B2333">
            <v>2.52</v>
          </cell>
        </row>
        <row r="2334">
          <cell r="A2334">
            <v>41976</v>
          </cell>
          <cell r="B2334">
            <v>2.54</v>
          </cell>
        </row>
        <row r="2335">
          <cell r="A2335">
            <v>41977</v>
          </cell>
          <cell r="B2335">
            <v>2.5099999999999998</v>
          </cell>
        </row>
        <row r="2336">
          <cell r="A2336">
            <v>41978</v>
          </cell>
          <cell r="B2336">
            <v>2.57</v>
          </cell>
        </row>
        <row r="2337">
          <cell r="A2337">
            <v>41981</v>
          </cell>
          <cell r="B2337">
            <v>2.5499999999999998</v>
          </cell>
        </row>
        <row r="2338">
          <cell r="A2338">
            <v>41982</v>
          </cell>
          <cell r="B2338">
            <v>2.52</v>
          </cell>
        </row>
        <row r="2339">
          <cell r="A2339">
            <v>41983</v>
          </cell>
          <cell r="B2339">
            <v>2.48</v>
          </cell>
        </row>
        <row r="2340">
          <cell r="A2340">
            <v>41984</v>
          </cell>
          <cell r="B2340">
            <v>2.4900000000000002</v>
          </cell>
        </row>
        <row r="2341">
          <cell r="A2341">
            <v>41985</v>
          </cell>
          <cell r="B2341">
            <v>2.4300000000000002</v>
          </cell>
        </row>
        <row r="2342">
          <cell r="A2342">
            <v>41988</v>
          </cell>
          <cell r="B2342">
            <v>2.4500000000000002</v>
          </cell>
        </row>
        <row r="2343">
          <cell r="A2343">
            <v>41989</v>
          </cell>
          <cell r="B2343">
            <v>2.42</v>
          </cell>
        </row>
        <row r="2344">
          <cell r="A2344">
            <v>41990</v>
          </cell>
          <cell r="B2344">
            <v>2.5</v>
          </cell>
        </row>
        <row r="2345">
          <cell r="A2345">
            <v>41991</v>
          </cell>
          <cell r="B2345">
            <v>2.5299999999999998</v>
          </cell>
        </row>
        <row r="2346">
          <cell r="A2346">
            <v>41992</v>
          </cell>
          <cell r="B2346">
            <v>2.52</v>
          </cell>
        </row>
        <row r="2347">
          <cell r="A2347">
            <v>41995</v>
          </cell>
          <cell r="B2347">
            <v>2.5099999999999998</v>
          </cell>
        </row>
        <row r="2348">
          <cell r="A2348">
            <v>41996</v>
          </cell>
          <cell r="B2348">
            <v>2.58</v>
          </cell>
        </row>
        <row r="2349">
          <cell r="A2349">
            <v>41997</v>
          </cell>
          <cell r="B2349">
            <v>2.57</v>
          </cell>
        </row>
        <row r="2350">
          <cell r="A2350">
            <v>41999</v>
          </cell>
          <cell r="B2350">
            <v>2.57</v>
          </cell>
        </row>
        <row r="2351">
          <cell r="A2351">
            <v>42002</v>
          </cell>
          <cell r="B2351">
            <v>2.52</v>
          </cell>
        </row>
        <row r="2352">
          <cell r="A2352">
            <v>42003</v>
          </cell>
          <cell r="B2352">
            <v>2.5</v>
          </cell>
        </row>
        <row r="2353">
          <cell r="A2353">
            <v>42004</v>
          </cell>
          <cell r="B2353">
            <v>2.5</v>
          </cell>
        </row>
        <row r="2354">
          <cell r="A2354">
            <v>42006</v>
          </cell>
          <cell r="B2354">
            <v>2.46</v>
          </cell>
        </row>
        <row r="2355">
          <cell r="A2355">
            <v>42009</v>
          </cell>
          <cell r="B2355">
            <v>2.41</v>
          </cell>
        </row>
        <row r="2356">
          <cell r="A2356">
            <v>42010</v>
          </cell>
          <cell r="B2356">
            <v>2.35</v>
          </cell>
        </row>
        <row r="2357">
          <cell r="A2357">
            <v>42011</v>
          </cell>
          <cell r="B2357">
            <v>2.34</v>
          </cell>
        </row>
        <row r="2358">
          <cell r="A2358">
            <v>42012</v>
          </cell>
          <cell r="B2358">
            <v>2.38</v>
          </cell>
        </row>
        <row r="2359">
          <cell r="A2359">
            <v>42013</v>
          </cell>
          <cell r="B2359">
            <v>2.34</v>
          </cell>
        </row>
        <row r="2360">
          <cell r="A2360">
            <v>42016</v>
          </cell>
          <cell r="B2360">
            <v>2.29</v>
          </cell>
        </row>
        <row r="2361">
          <cell r="A2361">
            <v>42017</v>
          </cell>
          <cell r="B2361">
            <v>2.27</v>
          </cell>
        </row>
        <row r="2362">
          <cell r="A2362">
            <v>42018</v>
          </cell>
          <cell r="B2362">
            <v>2.23</v>
          </cell>
        </row>
        <row r="2363">
          <cell r="A2363">
            <v>42019</v>
          </cell>
          <cell r="B2363">
            <v>2.19</v>
          </cell>
        </row>
        <row r="2364">
          <cell r="A2364">
            <v>42023</v>
          </cell>
          <cell r="B2364">
            <v>2.23</v>
          </cell>
        </row>
        <row r="2365">
          <cell r="A2365">
            <v>42024</v>
          </cell>
          <cell r="B2365">
            <v>2.2200000000000002</v>
          </cell>
        </row>
        <row r="2366">
          <cell r="A2366">
            <v>42025</v>
          </cell>
          <cell r="B2366">
            <v>2.25</v>
          </cell>
        </row>
        <row r="2367">
          <cell r="A2367">
            <v>42026</v>
          </cell>
          <cell r="B2367">
            <v>2.27</v>
          </cell>
        </row>
        <row r="2368">
          <cell r="A2368">
            <v>42027</v>
          </cell>
          <cell r="B2368">
            <v>2.2200000000000002</v>
          </cell>
        </row>
        <row r="2369">
          <cell r="A2369">
            <v>42030</v>
          </cell>
          <cell r="B2369">
            <v>2.23</v>
          </cell>
        </row>
        <row r="2370">
          <cell r="A2370">
            <v>42031</v>
          </cell>
          <cell r="B2370">
            <v>2.2200000000000002</v>
          </cell>
        </row>
        <row r="2371">
          <cell r="A2371">
            <v>42032</v>
          </cell>
          <cell r="B2371">
            <v>2.15</v>
          </cell>
        </row>
        <row r="2372">
          <cell r="A2372">
            <v>42033</v>
          </cell>
          <cell r="B2372">
            <v>2.17</v>
          </cell>
        </row>
        <row r="2373">
          <cell r="A2373">
            <v>42034</v>
          </cell>
          <cell r="B2373">
            <v>2.1</v>
          </cell>
        </row>
        <row r="2374">
          <cell r="A2374">
            <v>42035</v>
          </cell>
          <cell r="B2374">
            <v>2.11</v>
          </cell>
        </row>
        <row r="2375">
          <cell r="A2375">
            <v>42037</v>
          </cell>
          <cell r="B2375">
            <v>2.11</v>
          </cell>
        </row>
        <row r="2376">
          <cell r="A2376">
            <v>42038</v>
          </cell>
          <cell r="B2376">
            <v>2.2000000000000002</v>
          </cell>
        </row>
        <row r="2377">
          <cell r="A2377">
            <v>42039</v>
          </cell>
          <cell r="B2377">
            <v>2.21</v>
          </cell>
        </row>
        <row r="2378">
          <cell r="A2378">
            <v>42040</v>
          </cell>
          <cell r="B2378">
            <v>2.21</v>
          </cell>
        </row>
        <row r="2379">
          <cell r="A2379">
            <v>42041</v>
          </cell>
          <cell r="B2379">
            <v>2.3199999999999998</v>
          </cell>
        </row>
        <row r="2380">
          <cell r="A2380">
            <v>42044</v>
          </cell>
          <cell r="B2380">
            <v>2.3199999999999998</v>
          </cell>
        </row>
        <row r="2381">
          <cell r="A2381">
            <v>42045</v>
          </cell>
          <cell r="B2381">
            <v>2.36</v>
          </cell>
        </row>
        <row r="2382">
          <cell r="A2382">
            <v>42046</v>
          </cell>
          <cell r="B2382">
            <v>2.36</v>
          </cell>
        </row>
        <row r="2383">
          <cell r="A2383">
            <v>42047</v>
          </cell>
          <cell r="B2383">
            <v>2.34</v>
          </cell>
        </row>
        <row r="2384">
          <cell r="A2384">
            <v>42048</v>
          </cell>
          <cell r="B2384">
            <v>2.38</v>
          </cell>
        </row>
        <row r="2385">
          <cell r="A2385">
            <v>42051</v>
          </cell>
          <cell r="B2385">
            <v>2.37</v>
          </cell>
        </row>
        <row r="2386">
          <cell r="A2386">
            <v>42052</v>
          </cell>
          <cell r="B2386">
            <v>2.46</v>
          </cell>
        </row>
        <row r="2387">
          <cell r="A2387">
            <v>42053</v>
          </cell>
          <cell r="B2387">
            <v>2.38</v>
          </cell>
        </row>
        <row r="2388">
          <cell r="A2388">
            <v>42054</v>
          </cell>
          <cell r="B2388">
            <v>2.41</v>
          </cell>
        </row>
        <row r="2389">
          <cell r="A2389">
            <v>42055</v>
          </cell>
          <cell r="B2389">
            <v>2.4300000000000002</v>
          </cell>
        </row>
        <row r="2390">
          <cell r="A2390">
            <v>42058</v>
          </cell>
          <cell r="B2390">
            <v>2.36</v>
          </cell>
        </row>
        <row r="2391">
          <cell r="A2391">
            <v>42059</v>
          </cell>
          <cell r="B2391">
            <v>2.2999999999999998</v>
          </cell>
        </row>
        <row r="2392">
          <cell r="A2392">
            <v>42060</v>
          </cell>
          <cell r="B2392">
            <v>2.2999999999999998</v>
          </cell>
        </row>
        <row r="2393">
          <cell r="A2393">
            <v>42061</v>
          </cell>
          <cell r="B2393">
            <v>2.34</v>
          </cell>
        </row>
        <row r="2394">
          <cell r="A2394">
            <v>42062</v>
          </cell>
          <cell r="B2394">
            <v>2.3199999999999998</v>
          </cell>
        </row>
        <row r="2395">
          <cell r="A2395">
            <v>42063</v>
          </cell>
          <cell r="B2395">
            <v>2.4900000000000002</v>
          </cell>
        </row>
        <row r="2396">
          <cell r="A2396">
            <v>42065</v>
          </cell>
          <cell r="B2396">
            <v>2.56</v>
          </cell>
        </row>
        <row r="2397">
          <cell r="A2397">
            <v>42066</v>
          </cell>
          <cell r="B2397">
            <v>2.59</v>
          </cell>
        </row>
        <row r="2398">
          <cell r="A2398">
            <v>42067</v>
          </cell>
          <cell r="B2398">
            <v>2.58</v>
          </cell>
        </row>
        <row r="2399">
          <cell r="A2399">
            <v>42068</v>
          </cell>
          <cell r="B2399">
            <v>2.56</v>
          </cell>
        </row>
        <row r="2400">
          <cell r="A2400">
            <v>42069</v>
          </cell>
          <cell r="B2400">
            <v>2.66</v>
          </cell>
        </row>
        <row r="2401">
          <cell r="A2401">
            <v>42072</v>
          </cell>
          <cell r="B2401">
            <v>2.62</v>
          </cell>
        </row>
        <row r="2402">
          <cell r="A2402">
            <v>42073</v>
          </cell>
          <cell r="B2402">
            <v>2.57</v>
          </cell>
        </row>
        <row r="2403">
          <cell r="A2403">
            <v>42074</v>
          </cell>
          <cell r="B2403">
            <v>2.57</v>
          </cell>
        </row>
        <row r="2404">
          <cell r="A2404">
            <v>42075</v>
          </cell>
          <cell r="B2404">
            <v>2.56</v>
          </cell>
        </row>
        <row r="2405">
          <cell r="A2405">
            <v>42076</v>
          </cell>
          <cell r="B2405">
            <v>2.58</v>
          </cell>
        </row>
        <row r="2406">
          <cell r="A2406">
            <v>42079</v>
          </cell>
          <cell r="B2406">
            <v>2.57</v>
          </cell>
        </row>
        <row r="2407">
          <cell r="A2407">
            <v>42080</v>
          </cell>
          <cell r="B2407">
            <v>2.56</v>
          </cell>
        </row>
        <row r="2408">
          <cell r="A2408">
            <v>42081</v>
          </cell>
          <cell r="B2408">
            <v>2.46</v>
          </cell>
        </row>
        <row r="2409">
          <cell r="A2409">
            <v>42082</v>
          </cell>
          <cell r="B2409">
            <v>2.4900000000000002</v>
          </cell>
        </row>
        <row r="2410">
          <cell r="A2410">
            <v>42083</v>
          </cell>
          <cell r="B2410">
            <v>2.4500000000000002</v>
          </cell>
        </row>
        <row r="2411">
          <cell r="A2411">
            <v>42086</v>
          </cell>
          <cell r="B2411">
            <v>2.44</v>
          </cell>
        </row>
        <row r="2412">
          <cell r="A2412">
            <v>42087</v>
          </cell>
          <cell r="B2412">
            <v>2.41</v>
          </cell>
        </row>
        <row r="2413">
          <cell r="A2413">
            <v>42088</v>
          </cell>
          <cell r="B2413">
            <v>2.44</v>
          </cell>
        </row>
        <row r="2414">
          <cell r="A2414">
            <v>42089</v>
          </cell>
          <cell r="B2414">
            <v>2.5099999999999998</v>
          </cell>
        </row>
        <row r="2415">
          <cell r="A2415">
            <v>42090</v>
          </cell>
          <cell r="B2415">
            <v>2.4500000000000002</v>
          </cell>
        </row>
        <row r="2416">
          <cell r="A2416">
            <v>42093</v>
          </cell>
          <cell r="B2416">
            <v>2.4700000000000002</v>
          </cell>
        </row>
        <row r="2417">
          <cell r="A2417">
            <v>42094</v>
          </cell>
          <cell r="B2417">
            <v>2.41</v>
          </cell>
        </row>
        <row r="2418">
          <cell r="A2418">
            <v>42095</v>
          </cell>
          <cell r="B2418">
            <v>2.37</v>
          </cell>
        </row>
        <row r="2419">
          <cell r="A2419">
            <v>42096</v>
          </cell>
          <cell r="B2419">
            <v>2.39</v>
          </cell>
        </row>
        <row r="2420">
          <cell r="A2420">
            <v>42100</v>
          </cell>
          <cell r="B2420">
            <v>2.37</v>
          </cell>
        </row>
        <row r="2421">
          <cell r="A2421">
            <v>42101</v>
          </cell>
          <cell r="B2421">
            <v>2.37</v>
          </cell>
        </row>
        <row r="2422">
          <cell r="A2422">
            <v>42102</v>
          </cell>
          <cell r="B2422">
            <v>2.37</v>
          </cell>
        </row>
        <row r="2423">
          <cell r="A2423">
            <v>42103</v>
          </cell>
          <cell r="B2423">
            <v>2.4300000000000002</v>
          </cell>
        </row>
        <row r="2424">
          <cell r="A2424">
            <v>42104</v>
          </cell>
          <cell r="B2424">
            <v>2.42</v>
          </cell>
        </row>
        <row r="2425">
          <cell r="A2425">
            <v>42107</v>
          </cell>
          <cell r="B2425">
            <v>2.4</v>
          </cell>
        </row>
        <row r="2426">
          <cell r="A2426">
            <v>42108</v>
          </cell>
          <cell r="B2426">
            <v>2.37</v>
          </cell>
        </row>
        <row r="2427">
          <cell r="A2427">
            <v>42109</v>
          </cell>
          <cell r="B2427">
            <v>2.37</v>
          </cell>
        </row>
        <row r="2428">
          <cell r="A2428">
            <v>42110</v>
          </cell>
          <cell r="B2428">
            <v>2.35</v>
          </cell>
        </row>
        <row r="2429">
          <cell r="A2429">
            <v>42111</v>
          </cell>
          <cell r="B2429">
            <v>2.33</v>
          </cell>
        </row>
        <row r="2430">
          <cell r="A2430">
            <v>42114</v>
          </cell>
          <cell r="B2430">
            <v>2.38</v>
          </cell>
        </row>
        <row r="2431">
          <cell r="A2431">
            <v>42115</v>
          </cell>
          <cell r="B2431">
            <v>2.39</v>
          </cell>
        </row>
        <row r="2432">
          <cell r="A2432">
            <v>42116</v>
          </cell>
          <cell r="B2432">
            <v>2.4300000000000002</v>
          </cell>
        </row>
        <row r="2433">
          <cell r="A2433">
            <v>42117</v>
          </cell>
          <cell r="B2433">
            <v>2.4</v>
          </cell>
        </row>
        <row r="2434">
          <cell r="A2434">
            <v>42118</v>
          </cell>
          <cell r="B2434">
            <v>2.38</v>
          </cell>
        </row>
        <row r="2435">
          <cell r="A2435">
            <v>42121</v>
          </cell>
          <cell r="B2435">
            <v>2.38</v>
          </cell>
        </row>
        <row r="2436">
          <cell r="A2436">
            <v>42122</v>
          </cell>
          <cell r="B2436">
            <v>2.4300000000000002</v>
          </cell>
        </row>
        <row r="2437">
          <cell r="A2437">
            <v>42123</v>
          </cell>
          <cell r="B2437">
            <v>2.48</v>
          </cell>
        </row>
        <row r="2438">
          <cell r="A2438">
            <v>42124</v>
          </cell>
          <cell r="B2438">
            <v>2.5099999999999998</v>
          </cell>
        </row>
        <row r="2439">
          <cell r="A2439">
            <v>42125</v>
          </cell>
          <cell r="B2439">
            <v>2.57</v>
          </cell>
        </row>
        <row r="2440">
          <cell r="A2440">
            <v>42128</v>
          </cell>
          <cell r="B2440">
            <v>2.57</v>
          </cell>
        </row>
        <row r="2441">
          <cell r="A2441">
            <v>42129</v>
          </cell>
          <cell r="B2441">
            <v>2.6</v>
          </cell>
        </row>
        <row r="2442">
          <cell r="A2442">
            <v>42130</v>
          </cell>
          <cell r="B2442">
            <v>2.66</v>
          </cell>
        </row>
        <row r="2443">
          <cell r="A2443">
            <v>42131</v>
          </cell>
          <cell r="B2443">
            <v>2.63</v>
          </cell>
        </row>
        <row r="2444">
          <cell r="A2444">
            <v>42132</v>
          </cell>
          <cell r="B2444">
            <v>2.59</v>
          </cell>
        </row>
        <row r="2445">
          <cell r="A2445">
            <v>42135</v>
          </cell>
          <cell r="B2445">
            <v>2.68</v>
          </cell>
        </row>
        <row r="2446">
          <cell r="A2446">
            <v>42136</v>
          </cell>
          <cell r="B2446">
            <v>2.67</v>
          </cell>
        </row>
        <row r="2447">
          <cell r="A2447">
            <v>42137</v>
          </cell>
          <cell r="B2447">
            <v>2.67</v>
          </cell>
        </row>
        <row r="2448">
          <cell r="A2448">
            <v>42138</v>
          </cell>
          <cell r="B2448">
            <v>2.63</v>
          </cell>
        </row>
        <row r="2449">
          <cell r="A2449">
            <v>42139</v>
          </cell>
          <cell r="B2449">
            <v>2.57</v>
          </cell>
        </row>
        <row r="2450">
          <cell r="A2450">
            <v>42142</v>
          </cell>
          <cell r="B2450">
            <v>2.64</v>
          </cell>
        </row>
        <row r="2451">
          <cell r="A2451">
            <v>42143</v>
          </cell>
          <cell r="B2451">
            <v>2.67</v>
          </cell>
        </row>
        <row r="2452">
          <cell r="A2452">
            <v>42144</v>
          </cell>
          <cell r="B2452">
            <v>2.66</v>
          </cell>
        </row>
        <row r="2453">
          <cell r="A2453">
            <v>42145</v>
          </cell>
          <cell r="B2453">
            <v>2.62</v>
          </cell>
        </row>
        <row r="2454">
          <cell r="A2454">
            <v>42146</v>
          </cell>
          <cell r="B2454">
            <v>2.67</v>
          </cell>
        </row>
        <row r="2455">
          <cell r="A2455">
            <v>42150</v>
          </cell>
          <cell r="B2455">
            <v>2.6</v>
          </cell>
        </row>
        <row r="2456">
          <cell r="A2456">
            <v>42151</v>
          </cell>
          <cell r="B2456">
            <v>2.61</v>
          </cell>
        </row>
        <row r="2457">
          <cell r="A2457">
            <v>42152</v>
          </cell>
          <cell r="B2457">
            <v>2.6</v>
          </cell>
        </row>
        <row r="2458">
          <cell r="A2458">
            <v>42153</v>
          </cell>
          <cell r="B2458">
            <v>2.58</v>
          </cell>
        </row>
        <row r="2459">
          <cell r="A2459">
            <v>42155</v>
          </cell>
          <cell r="B2459">
            <v>2.63</v>
          </cell>
        </row>
        <row r="2460">
          <cell r="A2460">
            <v>42156</v>
          </cell>
          <cell r="B2460">
            <v>2.71</v>
          </cell>
        </row>
        <row r="2461">
          <cell r="A2461">
            <v>42157</v>
          </cell>
          <cell r="B2461">
            <v>2.76</v>
          </cell>
        </row>
        <row r="2462">
          <cell r="A2462">
            <v>42158</v>
          </cell>
          <cell r="B2462">
            <v>2.83</v>
          </cell>
        </row>
        <row r="2463">
          <cell r="A2463">
            <v>42159</v>
          </cell>
          <cell r="B2463">
            <v>2.78</v>
          </cell>
        </row>
        <row r="2464">
          <cell r="A2464">
            <v>42160</v>
          </cell>
          <cell r="B2464">
            <v>2.86</v>
          </cell>
        </row>
        <row r="2465">
          <cell r="A2465">
            <v>42163</v>
          </cell>
          <cell r="B2465">
            <v>2.83</v>
          </cell>
        </row>
        <row r="2466">
          <cell r="A2466">
            <v>42164</v>
          </cell>
          <cell r="B2466">
            <v>2.86</v>
          </cell>
        </row>
        <row r="2467">
          <cell r="A2467">
            <v>42165</v>
          </cell>
          <cell r="B2467">
            <v>2.91</v>
          </cell>
        </row>
        <row r="2468">
          <cell r="A2468">
            <v>42166</v>
          </cell>
          <cell r="B2468">
            <v>2.84</v>
          </cell>
        </row>
        <row r="2469">
          <cell r="A2469">
            <v>42167</v>
          </cell>
          <cell r="B2469">
            <v>2.85</v>
          </cell>
        </row>
        <row r="2470">
          <cell r="A2470">
            <v>42170</v>
          </cell>
          <cell r="B2470">
            <v>2.83</v>
          </cell>
        </row>
        <row r="2471">
          <cell r="A2471">
            <v>42171</v>
          </cell>
          <cell r="B2471">
            <v>2.81</v>
          </cell>
        </row>
        <row r="2472">
          <cell r="A2472">
            <v>42172</v>
          </cell>
          <cell r="B2472">
            <v>2.79</v>
          </cell>
        </row>
        <row r="2473">
          <cell r="A2473">
            <v>42173</v>
          </cell>
          <cell r="B2473">
            <v>2.83</v>
          </cell>
        </row>
        <row r="2474">
          <cell r="A2474">
            <v>42174</v>
          </cell>
          <cell r="B2474">
            <v>2.77</v>
          </cell>
        </row>
        <row r="2475">
          <cell r="A2475">
            <v>42177</v>
          </cell>
          <cell r="B2475">
            <v>2.84</v>
          </cell>
        </row>
        <row r="2476">
          <cell r="A2476">
            <v>42178</v>
          </cell>
          <cell r="B2476">
            <v>2.87</v>
          </cell>
        </row>
        <row r="2477">
          <cell r="A2477">
            <v>42179</v>
          </cell>
          <cell r="B2477">
            <v>2.84</v>
          </cell>
        </row>
        <row r="2478">
          <cell r="A2478">
            <v>42180</v>
          </cell>
          <cell r="B2478">
            <v>2.86</v>
          </cell>
        </row>
        <row r="2479">
          <cell r="A2479">
            <v>42181</v>
          </cell>
          <cell r="B2479">
            <v>2.91</v>
          </cell>
        </row>
        <row r="2480">
          <cell r="A2480">
            <v>42184</v>
          </cell>
          <cell r="B2480">
            <v>2.81</v>
          </cell>
        </row>
        <row r="2481">
          <cell r="A2481">
            <v>42185</v>
          </cell>
          <cell r="B2481">
            <v>2.82</v>
          </cell>
        </row>
        <row r="2482">
          <cell r="A2482">
            <v>42186</v>
          </cell>
          <cell r="B2482">
            <v>2.89</v>
          </cell>
        </row>
        <row r="2483">
          <cell r="A2483">
            <v>42187</v>
          </cell>
          <cell r="B2483">
            <v>2.85</v>
          </cell>
        </row>
        <row r="2484">
          <cell r="A2484">
            <v>42188</v>
          </cell>
          <cell r="B2484">
            <v>2.85</v>
          </cell>
        </row>
        <row r="2485">
          <cell r="A2485">
            <v>42191</v>
          </cell>
          <cell r="B2485">
            <v>2.77</v>
          </cell>
        </row>
        <row r="2486">
          <cell r="A2486">
            <v>42192</v>
          </cell>
          <cell r="B2486">
            <v>2.74</v>
          </cell>
        </row>
        <row r="2487">
          <cell r="A2487">
            <v>42193</v>
          </cell>
          <cell r="B2487">
            <v>2.72</v>
          </cell>
        </row>
        <row r="2488">
          <cell r="A2488">
            <v>42194</v>
          </cell>
          <cell r="B2488">
            <v>2.8</v>
          </cell>
        </row>
        <row r="2489">
          <cell r="A2489">
            <v>42195</v>
          </cell>
          <cell r="B2489">
            <v>2.89</v>
          </cell>
        </row>
        <row r="2490">
          <cell r="A2490">
            <v>42198</v>
          </cell>
          <cell r="B2490">
            <v>2.9</v>
          </cell>
        </row>
        <row r="2491">
          <cell r="A2491">
            <v>42199</v>
          </cell>
          <cell r="B2491">
            <v>2.87</v>
          </cell>
        </row>
        <row r="2492">
          <cell r="A2492">
            <v>42200</v>
          </cell>
          <cell r="B2492">
            <v>2.83</v>
          </cell>
        </row>
        <row r="2493">
          <cell r="A2493">
            <v>42201</v>
          </cell>
          <cell r="B2493">
            <v>2.85</v>
          </cell>
        </row>
        <row r="2494">
          <cell r="A2494">
            <v>42202</v>
          </cell>
          <cell r="B2494">
            <v>2.84</v>
          </cell>
        </row>
        <row r="2495">
          <cell r="A2495">
            <v>42205</v>
          </cell>
          <cell r="B2495">
            <v>2.87</v>
          </cell>
        </row>
        <row r="2496">
          <cell r="A2496">
            <v>42206</v>
          </cell>
          <cell r="B2496">
            <v>2.85</v>
          </cell>
        </row>
        <row r="2497">
          <cell r="A2497">
            <v>42207</v>
          </cell>
          <cell r="B2497">
            <v>2.84</v>
          </cell>
        </row>
        <row r="2498">
          <cell r="A2498">
            <v>42208</v>
          </cell>
          <cell r="B2498">
            <v>2.81</v>
          </cell>
        </row>
        <row r="2499">
          <cell r="A2499">
            <v>42209</v>
          </cell>
          <cell r="B2499">
            <v>2.8</v>
          </cell>
        </row>
        <row r="2500">
          <cell r="A2500">
            <v>42212</v>
          </cell>
          <cell r="B2500">
            <v>2.77</v>
          </cell>
        </row>
        <row r="2501">
          <cell r="A2501">
            <v>42213</v>
          </cell>
          <cell r="B2501">
            <v>2.79</v>
          </cell>
        </row>
        <row r="2502">
          <cell r="A2502">
            <v>42214</v>
          </cell>
          <cell r="B2502">
            <v>2.81</v>
          </cell>
        </row>
        <row r="2503">
          <cell r="A2503">
            <v>42215</v>
          </cell>
          <cell r="B2503">
            <v>2.8</v>
          </cell>
        </row>
        <row r="2504">
          <cell r="A2504">
            <v>42216</v>
          </cell>
          <cell r="B2504">
            <v>2.78</v>
          </cell>
        </row>
        <row r="2505">
          <cell r="A2505">
            <v>42219</v>
          </cell>
          <cell r="B2505">
            <v>2.74</v>
          </cell>
        </row>
        <row r="2506">
          <cell r="A2506">
            <v>42220</v>
          </cell>
          <cell r="B2506">
            <v>2.8</v>
          </cell>
        </row>
        <row r="2507">
          <cell r="A2507">
            <v>42221</v>
          </cell>
          <cell r="B2507">
            <v>2.85</v>
          </cell>
        </row>
        <row r="2508">
          <cell r="A2508">
            <v>42222</v>
          </cell>
          <cell r="B2508">
            <v>2.82</v>
          </cell>
        </row>
        <row r="2509">
          <cell r="A2509">
            <v>42223</v>
          </cell>
          <cell r="B2509">
            <v>2.78</v>
          </cell>
        </row>
        <row r="2510">
          <cell r="A2510">
            <v>42226</v>
          </cell>
          <cell r="B2510">
            <v>2.83</v>
          </cell>
        </row>
        <row r="2511">
          <cell r="A2511">
            <v>42227</v>
          </cell>
          <cell r="B2511">
            <v>2.74</v>
          </cell>
        </row>
        <row r="2512">
          <cell r="A2512">
            <v>42228</v>
          </cell>
          <cell r="B2512">
            <v>2.75</v>
          </cell>
        </row>
        <row r="2513">
          <cell r="A2513">
            <v>42229</v>
          </cell>
          <cell r="B2513">
            <v>2.81</v>
          </cell>
        </row>
        <row r="2514">
          <cell r="A2514">
            <v>42230</v>
          </cell>
          <cell r="B2514">
            <v>2.81</v>
          </cell>
        </row>
        <row r="2515">
          <cell r="A2515">
            <v>42233</v>
          </cell>
          <cell r="B2515">
            <v>2.77</v>
          </cell>
        </row>
        <row r="2516">
          <cell r="A2516">
            <v>42234</v>
          </cell>
          <cell r="B2516">
            <v>2.8</v>
          </cell>
        </row>
        <row r="2517">
          <cell r="A2517">
            <v>42235</v>
          </cell>
          <cell r="B2517">
            <v>2.75</v>
          </cell>
        </row>
        <row r="2518">
          <cell r="A2518">
            <v>42236</v>
          </cell>
          <cell r="B2518">
            <v>2.72</v>
          </cell>
        </row>
        <row r="2519">
          <cell r="A2519">
            <v>42237</v>
          </cell>
          <cell r="B2519">
            <v>2.7</v>
          </cell>
        </row>
        <row r="2520">
          <cell r="A2520">
            <v>42240</v>
          </cell>
          <cell r="B2520">
            <v>2.67</v>
          </cell>
        </row>
        <row r="2521">
          <cell r="A2521">
            <v>42241</v>
          </cell>
          <cell r="B2521">
            <v>2.78</v>
          </cell>
        </row>
        <row r="2522">
          <cell r="A2522">
            <v>42242</v>
          </cell>
          <cell r="B2522">
            <v>2.81</v>
          </cell>
        </row>
        <row r="2523">
          <cell r="A2523">
            <v>42243</v>
          </cell>
          <cell r="B2523">
            <v>2.79</v>
          </cell>
        </row>
        <row r="2524">
          <cell r="A2524">
            <v>42244</v>
          </cell>
          <cell r="B2524">
            <v>2.8</v>
          </cell>
        </row>
        <row r="2525">
          <cell r="A2525">
            <v>42247</v>
          </cell>
          <cell r="B2525">
            <v>2.83</v>
          </cell>
        </row>
        <row r="2526">
          <cell r="A2526">
            <v>42248</v>
          </cell>
          <cell r="B2526">
            <v>2.81</v>
          </cell>
        </row>
        <row r="2527">
          <cell r="A2527">
            <v>42249</v>
          </cell>
          <cell r="B2527">
            <v>2.82</v>
          </cell>
        </row>
        <row r="2528">
          <cell r="A2528">
            <v>42250</v>
          </cell>
          <cell r="B2528">
            <v>2.79</v>
          </cell>
        </row>
        <row r="2529">
          <cell r="A2529">
            <v>42251</v>
          </cell>
          <cell r="B2529">
            <v>2.75</v>
          </cell>
        </row>
        <row r="2530">
          <cell r="A2530">
            <v>42254</v>
          </cell>
          <cell r="B2530">
            <v>2.75</v>
          </cell>
        </row>
        <row r="2531">
          <cell r="A2531">
            <v>42255</v>
          </cell>
          <cell r="B2531">
            <v>2.79</v>
          </cell>
        </row>
        <row r="2532">
          <cell r="A2532">
            <v>42256</v>
          </cell>
          <cell r="B2532">
            <v>2.78</v>
          </cell>
        </row>
        <row r="2533">
          <cell r="A2533">
            <v>42257</v>
          </cell>
          <cell r="B2533">
            <v>2.81</v>
          </cell>
        </row>
        <row r="2534">
          <cell r="A2534">
            <v>42258</v>
          </cell>
          <cell r="B2534">
            <v>2.77</v>
          </cell>
        </row>
        <row r="2535">
          <cell r="A2535">
            <v>42261</v>
          </cell>
          <cell r="B2535">
            <v>2.78</v>
          </cell>
        </row>
        <row r="2536">
          <cell r="A2536">
            <v>42262</v>
          </cell>
          <cell r="B2536">
            <v>2.86</v>
          </cell>
        </row>
        <row r="2537">
          <cell r="A2537">
            <v>42263</v>
          </cell>
          <cell r="B2537">
            <v>2.88</v>
          </cell>
        </row>
        <row r="2538">
          <cell r="A2538">
            <v>42264</v>
          </cell>
          <cell r="B2538">
            <v>2.78</v>
          </cell>
        </row>
        <row r="2539">
          <cell r="A2539">
            <v>42265</v>
          </cell>
          <cell r="B2539">
            <v>2.71</v>
          </cell>
        </row>
        <row r="2540">
          <cell r="A2540">
            <v>42268</v>
          </cell>
          <cell r="B2540">
            <v>2.78</v>
          </cell>
        </row>
        <row r="2541">
          <cell r="A2541">
            <v>42269</v>
          </cell>
          <cell r="B2541">
            <v>2.71</v>
          </cell>
        </row>
        <row r="2542">
          <cell r="A2542">
            <v>42270</v>
          </cell>
          <cell r="B2542">
            <v>2.72</v>
          </cell>
        </row>
        <row r="2543">
          <cell r="A2543">
            <v>42271</v>
          </cell>
          <cell r="B2543">
            <v>2.71</v>
          </cell>
        </row>
        <row r="2544">
          <cell r="A2544">
            <v>42272</v>
          </cell>
          <cell r="B2544">
            <v>2.74</v>
          </cell>
        </row>
        <row r="2545">
          <cell r="A2545">
            <v>42275</v>
          </cell>
          <cell r="B2545">
            <v>2.69</v>
          </cell>
        </row>
        <row r="2546">
          <cell r="A2546">
            <v>42276</v>
          </cell>
          <cell r="B2546">
            <v>2.66</v>
          </cell>
        </row>
        <row r="2547">
          <cell r="A2547">
            <v>42277</v>
          </cell>
          <cell r="B2547">
            <v>2.68</v>
          </cell>
        </row>
        <row r="2548">
          <cell r="A2548">
            <v>42278</v>
          </cell>
          <cell r="B2548">
            <v>2.67</v>
          </cell>
        </row>
        <row r="2549">
          <cell r="A2549">
            <v>42279</v>
          </cell>
          <cell r="B2549">
            <v>2.62</v>
          </cell>
        </row>
        <row r="2550">
          <cell r="A2550">
            <v>42282</v>
          </cell>
          <cell r="B2550">
            <v>2.67</v>
          </cell>
        </row>
        <row r="2551">
          <cell r="A2551">
            <v>42283</v>
          </cell>
          <cell r="B2551">
            <v>2.65</v>
          </cell>
        </row>
        <row r="2552">
          <cell r="A2552">
            <v>42284</v>
          </cell>
          <cell r="B2552">
            <v>2.66</v>
          </cell>
        </row>
        <row r="2553">
          <cell r="A2553">
            <v>42285</v>
          </cell>
          <cell r="B2553">
            <v>2.69</v>
          </cell>
        </row>
        <row r="2554">
          <cell r="A2554">
            <v>42286</v>
          </cell>
          <cell r="B2554">
            <v>2.68</v>
          </cell>
        </row>
        <row r="2555">
          <cell r="A2555">
            <v>42289</v>
          </cell>
          <cell r="B2555">
            <v>2.68</v>
          </cell>
        </row>
        <row r="2556">
          <cell r="A2556">
            <v>42290</v>
          </cell>
          <cell r="B2556">
            <v>2.64</v>
          </cell>
        </row>
        <row r="2557">
          <cell r="A2557">
            <v>42291</v>
          </cell>
          <cell r="B2557">
            <v>2.57</v>
          </cell>
        </row>
        <row r="2558">
          <cell r="A2558">
            <v>42292</v>
          </cell>
          <cell r="B2558">
            <v>2.6</v>
          </cell>
        </row>
        <row r="2559">
          <cell r="A2559">
            <v>42293</v>
          </cell>
          <cell r="B2559">
            <v>2.6</v>
          </cell>
        </row>
        <row r="2560">
          <cell r="A2560">
            <v>42296</v>
          </cell>
          <cell r="B2560">
            <v>2.6</v>
          </cell>
        </row>
        <row r="2561">
          <cell r="A2561">
            <v>42297</v>
          </cell>
          <cell r="B2561">
            <v>2.63</v>
          </cell>
        </row>
        <row r="2562">
          <cell r="A2562">
            <v>42298</v>
          </cell>
          <cell r="B2562">
            <v>2.59</v>
          </cell>
        </row>
        <row r="2563">
          <cell r="A2563">
            <v>42299</v>
          </cell>
          <cell r="B2563">
            <v>2.57</v>
          </cell>
        </row>
        <row r="2564">
          <cell r="A2564">
            <v>42300</v>
          </cell>
          <cell r="B2564">
            <v>2.61</v>
          </cell>
        </row>
        <row r="2565">
          <cell r="A2565">
            <v>42303</v>
          </cell>
          <cell r="B2565">
            <v>2.59</v>
          </cell>
        </row>
        <row r="2566">
          <cell r="A2566">
            <v>42304</v>
          </cell>
          <cell r="B2566">
            <v>2.56</v>
          </cell>
        </row>
        <row r="2567">
          <cell r="A2567">
            <v>42305</v>
          </cell>
          <cell r="B2567">
            <v>2.63</v>
          </cell>
        </row>
        <row r="2568">
          <cell r="A2568">
            <v>42306</v>
          </cell>
          <cell r="B2568">
            <v>2.71</v>
          </cell>
        </row>
        <row r="2569">
          <cell r="A2569">
            <v>42307</v>
          </cell>
          <cell r="B2569">
            <v>2.7</v>
          </cell>
        </row>
        <row r="2570">
          <cell r="A2570">
            <v>42308</v>
          </cell>
          <cell r="B2570">
            <v>2.7</v>
          </cell>
        </row>
        <row r="2571">
          <cell r="A2571">
            <v>42310</v>
          </cell>
          <cell r="B2571">
            <v>2.72</v>
          </cell>
        </row>
        <row r="2572">
          <cell r="A2572">
            <v>42311</v>
          </cell>
          <cell r="B2572">
            <v>2.75</v>
          </cell>
        </row>
        <row r="2573">
          <cell r="A2573">
            <v>42312</v>
          </cell>
          <cell r="B2573">
            <v>2.76</v>
          </cell>
        </row>
        <row r="2574">
          <cell r="A2574">
            <v>42313</v>
          </cell>
          <cell r="B2574">
            <v>2.77</v>
          </cell>
        </row>
        <row r="2575">
          <cell r="A2575">
            <v>42314</v>
          </cell>
          <cell r="B2575">
            <v>2.84</v>
          </cell>
        </row>
        <row r="2576">
          <cell r="A2576">
            <v>42317</v>
          </cell>
          <cell r="B2576">
            <v>2.85</v>
          </cell>
        </row>
        <row r="2577">
          <cell r="A2577">
            <v>42318</v>
          </cell>
          <cell r="B2577">
            <v>2.82</v>
          </cell>
        </row>
        <row r="2578">
          <cell r="A2578">
            <v>42319</v>
          </cell>
          <cell r="B2578">
            <v>2.82</v>
          </cell>
        </row>
        <row r="2579">
          <cell r="A2579">
            <v>42320</v>
          </cell>
          <cell r="B2579">
            <v>2.83</v>
          </cell>
        </row>
        <row r="2580">
          <cell r="A2580">
            <v>42321</v>
          </cell>
          <cell r="B2580">
            <v>2.81</v>
          </cell>
        </row>
        <row r="2581">
          <cell r="A2581">
            <v>42324</v>
          </cell>
          <cell r="B2581">
            <v>2.8</v>
          </cell>
        </row>
        <row r="2582">
          <cell r="A2582">
            <v>42325</v>
          </cell>
          <cell r="B2582">
            <v>2.77</v>
          </cell>
        </row>
        <row r="2583">
          <cell r="A2583">
            <v>42326</v>
          </cell>
          <cell r="B2583">
            <v>2.78</v>
          </cell>
        </row>
        <row r="2584">
          <cell r="A2584">
            <v>42327</v>
          </cell>
          <cell r="B2584">
            <v>2.76</v>
          </cell>
        </row>
        <row r="2585">
          <cell r="A2585">
            <v>42328</v>
          </cell>
          <cell r="B2585">
            <v>2.77</v>
          </cell>
        </row>
        <row r="2586">
          <cell r="A2586">
            <v>42331</v>
          </cell>
          <cell r="B2586">
            <v>2.77</v>
          </cell>
        </row>
        <row r="2587">
          <cell r="A2587">
            <v>42332</v>
          </cell>
          <cell r="B2587">
            <v>2.76</v>
          </cell>
        </row>
        <row r="2588">
          <cell r="A2588">
            <v>42333</v>
          </cell>
          <cell r="B2588">
            <v>2.75</v>
          </cell>
        </row>
        <row r="2589">
          <cell r="A2589">
            <v>42334</v>
          </cell>
          <cell r="B2589">
            <v>2.75</v>
          </cell>
        </row>
        <row r="2590">
          <cell r="A2590">
            <v>42335</v>
          </cell>
          <cell r="B2590">
            <v>2.75</v>
          </cell>
        </row>
        <row r="2591">
          <cell r="A2591">
            <v>42338</v>
          </cell>
          <cell r="B2591">
            <v>2.81</v>
          </cell>
        </row>
        <row r="2592">
          <cell r="A2592">
            <v>42339</v>
          </cell>
          <cell r="B2592">
            <v>2.74</v>
          </cell>
        </row>
        <row r="2593">
          <cell r="A2593">
            <v>42340</v>
          </cell>
          <cell r="B2593">
            <v>2.76</v>
          </cell>
        </row>
        <row r="2594">
          <cell r="A2594">
            <v>42341</v>
          </cell>
          <cell r="B2594">
            <v>2.86</v>
          </cell>
        </row>
        <row r="2595">
          <cell r="A2595">
            <v>42342</v>
          </cell>
          <cell r="B2595">
            <v>2.82</v>
          </cell>
        </row>
        <row r="2596">
          <cell r="A2596">
            <v>42345</v>
          </cell>
          <cell r="B2596">
            <v>2.78</v>
          </cell>
        </row>
        <row r="2597">
          <cell r="A2597">
            <v>42346</v>
          </cell>
          <cell r="B2597">
            <v>2.8</v>
          </cell>
        </row>
        <row r="2598">
          <cell r="A2598">
            <v>42347</v>
          </cell>
          <cell r="B2598">
            <v>2.78</v>
          </cell>
        </row>
        <row r="2599">
          <cell r="A2599">
            <v>42348</v>
          </cell>
          <cell r="B2599">
            <v>2.81</v>
          </cell>
        </row>
        <row r="2600">
          <cell r="A2600">
            <v>42349</v>
          </cell>
          <cell r="B2600">
            <v>2.73</v>
          </cell>
        </row>
        <row r="2601">
          <cell r="A2601">
            <v>42352</v>
          </cell>
          <cell r="B2601">
            <v>2.83</v>
          </cell>
        </row>
        <row r="2602">
          <cell r="A2602">
            <v>42353</v>
          </cell>
          <cell r="B2602">
            <v>2.86</v>
          </cell>
        </row>
        <row r="2603">
          <cell r="A2603">
            <v>42354</v>
          </cell>
          <cell r="B2603">
            <v>2.87</v>
          </cell>
        </row>
        <row r="2604">
          <cell r="A2604">
            <v>42355</v>
          </cell>
          <cell r="B2604">
            <v>2.83</v>
          </cell>
        </row>
        <row r="2605">
          <cell r="A2605">
            <v>42356</v>
          </cell>
          <cell r="B2605">
            <v>2.8</v>
          </cell>
        </row>
        <row r="2606">
          <cell r="A2606">
            <v>42359</v>
          </cell>
          <cell r="B2606">
            <v>2.8</v>
          </cell>
        </row>
        <row r="2607">
          <cell r="A2607">
            <v>42360</v>
          </cell>
          <cell r="B2607">
            <v>2.83</v>
          </cell>
        </row>
        <row r="2608">
          <cell r="A2608">
            <v>42361</v>
          </cell>
          <cell r="B2608">
            <v>2.85</v>
          </cell>
        </row>
        <row r="2609">
          <cell r="A2609">
            <v>42362</v>
          </cell>
          <cell r="B2609">
            <v>2.83</v>
          </cell>
        </row>
        <row r="2610">
          <cell r="A2610">
            <v>42366</v>
          </cell>
          <cell r="B2610">
            <v>2.82</v>
          </cell>
        </row>
        <row r="2611">
          <cell r="A2611">
            <v>42367</v>
          </cell>
          <cell r="B2611">
            <v>2.89</v>
          </cell>
        </row>
        <row r="2612">
          <cell r="A2612">
            <v>42368</v>
          </cell>
          <cell r="B2612">
            <v>2.88</v>
          </cell>
        </row>
        <row r="2613">
          <cell r="A2613">
            <v>42369</v>
          </cell>
          <cell r="B2613">
            <v>2.86</v>
          </cell>
        </row>
        <row r="2614">
          <cell r="A2614">
            <v>42373</v>
          </cell>
          <cell r="B2614">
            <v>2.83</v>
          </cell>
        </row>
        <row r="2615">
          <cell r="A2615">
            <v>42374</v>
          </cell>
          <cell r="B2615">
            <v>2.83</v>
          </cell>
        </row>
        <row r="2616">
          <cell r="A2616">
            <v>42375</v>
          </cell>
          <cell r="B2616">
            <v>2.77</v>
          </cell>
        </row>
        <row r="2617">
          <cell r="A2617">
            <v>42376</v>
          </cell>
          <cell r="B2617">
            <v>2.76</v>
          </cell>
        </row>
        <row r="2618">
          <cell r="A2618">
            <v>42377</v>
          </cell>
          <cell r="B2618">
            <v>2.73</v>
          </cell>
        </row>
        <row r="2619">
          <cell r="A2619">
            <v>42380</v>
          </cell>
          <cell r="B2619">
            <v>2.75</v>
          </cell>
        </row>
        <row r="2620">
          <cell r="A2620">
            <v>42381</v>
          </cell>
          <cell r="B2620">
            <v>2.71</v>
          </cell>
        </row>
        <row r="2621">
          <cell r="A2621">
            <v>42382</v>
          </cell>
          <cell r="B2621">
            <v>2.68</v>
          </cell>
        </row>
        <row r="2622">
          <cell r="A2622">
            <v>42383</v>
          </cell>
          <cell r="B2622">
            <v>2.72</v>
          </cell>
        </row>
        <row r="2623">
          <cell r="A2623">
            <v>42384</v>
          </cell>
          <cell r="B2623">
            <v>2.71</v>
          </cell>
        </row>
        <row r="2624">
          <cell r="A2624">
            <v>42387</v>
          </cell>
          <cell r="B2624">
            <v>2.7</v>
          </cell>
        </row>
        <row r="2625">
          <cell r="A2625">
            <v>42388</v>
          </cell>
          <cell r="B2625">
            <v>2.71</v>
          </cell>
        </row>
        <row r="2626">
          <cell r="A2626">
            <v>42389</v>
          </cell>
          <cell r="B2626">
            <v>2.72</v>
          </cell>
        </row>
        <row r="2627">
          <cell r="A2627">
            <v>42390</v>
          </cell>
          <cell r="B2627">
            <v>2.73</v>
          </cell>
        </row>
        <row r="2628">
          <cell r="A2628">
            <v>42391</v>
          </cell>
          <cell r="B2628">
            <v>2.75</v>
          </cell>
        </row>
        <row r="2629">
          <cell r="A2629">
            <v>42394</v>
          </cell>
          <cell r="B2629">
            <v>2.73</v>
          </cell>
        </row>
        <row r="2630">
          <cell r="A2630">
            <v>42395</v>
          </cell>
          <cell r="B2630">
            <v>2.72</v>
          </cell>
        </row>
        <row r="2631">
          <cell r="A2631">
            <v>42396</v>
          </cell>
          <cell r="B2631">
            <v>2.72</v>
          </cell>
        </row>
        <row r="2632">
          <cell r="A2632">
            <v>42397</v>
          </cell>
          <cell r="B2632">
            <v>2.73</v>
          </cell>
        </row>
        <row r="2633">
          <cell r="A2633">
            <v>42398</v>
          </cell>
          <cell r="B2633">
            <v>2.69</v>
          </cell>
        </row>
        <row r="2634">
          <cell r="A2634">
            <v>42400</v>
          </cell>
          <cell r="B2634">
            <v>2.69</v>
          </cell>
        </row>
        <row r="2635">
          <cell r="A2635">
            <v>42401</v>
          </cell>
          <cell r="B2635">
            <v>2.73</v>
          </cell>
        </row>
        <row r="2636">
          <cell r="A2636">
            <v>42402</v>
          </cell>
          <cell r="B2636">
            <v>2.66</v>
          </cell>
        </row>
        <row r="2637">
          <cell r="A2637">
            <v>42403</v>
          </cell>
          <cell r="B2637">
            <v>2.67</v>
          </cell>
        </row>
        <row r="2638">
          <cell r="A2638">
            <v>42404</v>
          </cell>
          <cell r="B2638">
            <v>2.65</v>
          </cell>
        </row>
        <row r="2639">
          <cell r="A2639">
            <v>42405</v>
          </cell>
          <cell r="B2639">
            <v>2.65</v>
          </cell>
        </row>
        <row r="2640">
          <cell r="A2640">
            <v>42408</v>
          </cell>
          <cell r="B2640">
            <v>2.56</v>
          </cell>
        </row>
        <row r="2641">
          <cell r="A2641">
            <v>42409</v>
          </cell>
          <cell r="B2641">
            <v>2.57</v>
          </cell>
        </row>
        <row r="2642">
          <cell r="A2642">
            <v>42410</v>
          </cell>
          <cell r="B2642">
            <v>2.5499999999999998</v>
          </cell>
        </row>
        <row r="2643">
          <cell r="A2643">
            <v>42411</v>
          </cell>
          <cell r="B2643">
            <v>2.52</v>
          </cell>
        </row>
        <row r="2644">
          <cell r="A2644">
            <v>42412</v>
          </cell>
          <cell r="B2644">
            <v>2.59</v>
          </cell>
        </row>
        <row r="2645">
          <cell r="A2645">
            <v>42415</v>
          </cell>
          <cell r="B2645">
            <v>2.59</v>
          </cell>
        </row>
        <row r="2646">
          <cell r="A2646">
            <v>42416</v>
          </cell>
          <cell r="B2646">
            <v>2.61</v>
          </cell>
        </row>
        <row r="2647">
          <cell r="A2647">
            <v>42417</v>
          </cell>
          <cell r="B2647">
            <v>2.65</v>
          </cell>
        </row>
        <row r="2648">
          <cell r="A2648">
            <v>42418</v>
          </cell>
          <cell r="B2648">
            <v>2.6</v>
          </cell>
        </row>
        <row r="2649">
          <cell r="A2649">
            <v>42419</v>
          </cell>
          <cell r="B2649">
            <v>2.6</v>
          </cell>
        </row>
        <row r="2650">
          <cell r="A2650">
            <v>42422</v>
          </cell>
          <cell r="B2650">
            <v>2.6</v>
          </cell>
        </row>
        <row r="2651">
          <cell r="A2651">
            <v>42423</v>
          </cell>
          <cell r="B2651">
            <v>2.58</v>
          </cell>
        </row>
        <row r="2652">
          <cell r="A2652">
            <v>42424</v>
          </cell>
          <cell r="B2652">
            <v>2.57</v>
          </cell>
        </row>
        <row r="2653">
          <cell r="A2653">
            <v>42425</v>
          </cell>
          <cell r="B2653">
            <v>2.5299999999999998</v>
          </cell>
        </row>
        <row r="2654">
          <cell r="A2654">
            <v>42426</v>
          </cell>
          <cell r="B2654">
            <v>2.58</v>
          </cell>
        </row>
        <row r="2655">
          <cell r="A2655">
            <v>42429</v>
          </cell>
          <cell r="B2655">
            <v>2.5499999999999998</v>
          </cell>
        </row>
        <row r="2656">
          <cell r="A2656">
            <v>42430</v>
          </cell>
          <cell r="B2656">
            <v>2.62</v>
          </cell>
        </row>
        <row r="2657">
          <cell r="A2657">
            <v>42431</v>
          </cell>
          <cell r="B2657">
            <v>2.62</v>
          </cell>
        </row>
        <row r="2658">
          <cell r="A2658">
            <v>42432</v>
          </cell>
          <cell r="B2658">
            <v>2.59</v>
          </cell>
        </row>
        <row r="2659">
          <cell r="A2659">
            <v>42433</v>
          </cell>
          <cell r="B2659">
            <v>2.63</v>
          </cell>
        </row>
        <row r="2660">
          <cell r="A2660">
            <v>42436</v>
          </cell>
          <cell r="B2660">
            <v>2.63</v>
          </cell>
        </row>
        <row r="2661">
          <cell r="A2661">
            <v>42437</v>
          </cell>
          <cell r="B2661">
            <v>2.57</v>
          </cell>
        </row>
        <row r="2662">
          <cell r="A2662">
            <v>42438</v>
          </cell>
          <cell r="B2662">
            <v>2.61</v>
          </cell>
        </row>
        <row r="2663">
          <cell r="A2663">
            <v>42439</v>
          </cell>
          <cell r="B2663">
            <v>2.62</v>
          </cell>
        </row>
        <row r="2664">
          <cell r="A2664">
            <v>42440</v>
          </cell>
          <cell r="B2664">
            <v>2.62</v>
          </cell>
        </row>
        <row r="2665">
          <cell r="A2665">
            <v>42443</v>
          </cell>
          <cell r="B2665">
            <v>2.59</v>
          </cell>
        </row>
        <row r="2666">
          <cell r="A2666">
            <v>42444</v>
          </cell>
          <cell r="B2666">
            <v>2.59</v>
          </cell>
        </row>
        <row r="2667">
          <cell r="A2667">
            <v>42445</v>
          </cell>
          <cell r="B2667">
            <v>2.56</v>
          </cell>
        </row>
        <row r="2668">
          <cell r="A2668">
            <v>42446</v>
          </cell>
          <cell r="B2668">
            <v>2.54</v>
          </cell>
        </row>
        <row r="2669">
          <cell r="A2669">
            <v>42447</v>
          </cell>
          <cell r="B2669">
            <v>2.5</v>
          </cell>
        </row>
        <row r="2670">
          <cell r="A2670">
            <v>42450</v>
          </cell>
          <cell r="B2670">
            <v>2.54</v>
          </cell>
        </row>
        <row r="2671">
          <cell r="A2671">
            <v>42451</v>
          </cell>
          <cell r="B2671">
            <v>2.54</v>
          </cell>
        </row>
        <row r="2672">
          <cell r="A2672">
            <v>42452</v>
          </cell>
          <cell r="B2672">
            <v>2.4900000000000002</v>
          </cell>
        </row>
        <row r="2673">
          <cell r="A2673">
            <v>42453</v>
          </cell>
          <cell r="B2673">
            <v>2.52</v>
          </cell>
        </row>
        <row r="2674">
          <cell r="A2674">
            <v>42457</v>
          </cell>
          <cell r="B2674">
            <v>2.5</v>
          </cell>
        </row>
        <row r="2675">
          <cell r="A2675">
            <v>42458</v>
          </cell>
          <cell r="B2675">
            <v>2.44</v>
          </cell>
        </row>
        <row r="2676">
          <cell r="A2676">
            <v>42459</v>
          </cell>
          <cell r="B2676">
            <v>2.44</v>
          </cell>
        </row>
        <row r="2677">
          <cell r="A2677">
            <v>42460</v>
          </cell>
          <cell r="B2677">
            <v>2.4700000000000002</v>
          </cell>
        </row>
        <row r="2678">
          <cell r="A2678">
            <v>42461</v>
          </cell>
          <cell r="B2678">
            <v>2.4700000000000002</v>
          </cell>
        </row>
        <row r="2679">
          <cell r="A2679">
            <v>42464</v>
          </cell>
          <cell r="B2679">
            <v>2.4500000000000002</v>
          </cell>
        </row>
        <row r="2680">
          <cell r="A2680">
            <v>42465</v>
          </cell>
          <cell r="B2680">
            <v>2.4</v>
          </cell>
        </row>
        <row r="2681">
          <cell r="A2681">
            <v>42466</v>
          </cell>
          <cell r="B2681">
            <v>2.42</v>
          </cell>
        </row>
        <row r="2682">
          <cell r="A2682">
            <v>42467</v>
          </cell>
          <cell r="B2682">
            <v>2.36</v>
          </cell>
        </row>
        <row r="2683">
          <cell r="A2683">
            <v>42468</v>
          </cell>
          <cell r="B2683">
            <v>2.39</v>
          </cell>
        </row>
        <row r="2684">
          <cell r="A2684">
            <v>42471</v>
          </cell>
          <cell r="B2684">
            <v>2.39</v>
          </cell>
        </row>
        <row r="2685">
          <cell r="A2685">
            <v>42472</v>
          </cell>
          <cell r="B2685">
            <v>2.4300000000000002</v>
          </cell>
        </row>
        <row r="2686">
          <cell r="A2686">
            <v>42473</v>
          </cell>
          <cell r="B2686">
            <v>2.4</v>
          </cell>
        </row>
        <row r="2687">
          <cell r="A2687">
            <v>42474</v>
          </cell>
          <cell r="B2687">
            <v>2.42</v>
          </cell>
        </row>
        <row r="2688">
          <cell r="A2688">
            <v>42475</v>
          </cell>
          <cell r="B2688">
            <v>2.38</v>
          </cell>
        </row>
        <row r="2689">
          <cell r="A2689">
            <v>42478</v>
          </cell>
          <cell r="B2689">
            <v>2.39</v>
          </cell>
        </row>
        <row r="2690">
          <cell r="A2690">
            <v>42479</v>
          </cell>
          <cell r="B2690">
            <v>2.39</v>
          </cell>
        </row>
        <row r="2691">
          <cell r="A2691">
            <v>42480</v>
          </cell>
          <cell r="B2691">
            <v>2.44</v>
          </cell>
        </row>
        <row r="2692">
          <cell r="A2692">
            <v>42481</v>
          </cell>
          <cell r="B2692">
            <v>2.4500000000000002</v>
          </cell>
        </row>
        <row r="2693">
          <cell r="A2693">
            <v>42482</v>
          </cell>
          <cell r="B2693">
            <v>2.46</v>
          </cell>
        </row>
        <row r="2694">
          <cell r="A2694">
            <v>42485</v>
          </cell>
          <cell r="B2694">
            <v>2.4700000000000002</v>
          </cell>
        </row>
        <row r="2695">
          <cell r="A2695">
            <v>42486</v>
          </cell>
          <cell r="B2695">
            <v>2.4900000000000002</v>
          </cell>
        </row>
        <row r="2696">
          <cell r="A2696">
            <v>42487</v>
          </cell>
          <cell r="B2696">
            <v>2.4500000000000002</v>
          </cell>
        </row>
        <row r="2697">
          <cell r="A2697">
            <v>42488</v>
          </cell>
          <cell r="B2697">
            <v>2.42</v>
          </cell>
        </row>
        <row r="2698">
          <cell r="A2698">
            <v>42489</v>
          </cell>
          <cell r="B2698">
            <v>2.41</v>
          </cell>
        </row>
        <row r="2699">
          <cell r="A2699">
            <v>42490</v>
          </cell>
          <cell r="B2699">
            <v>2.4900000000000002</v>
          </cell>
        </row>
        <row r="2700">
          <cell r="A2700">
            <v>42492</v>
          </cell>
          <cell r="B2700">
            <v>2.52</v>
          </cell>
        </row>
        <row r="2701">
          <cell r="A2701">
            <v>42493</v>
          </cell>
          <cell r="B2701">
            <v>2.4700000000000002</v>
          </cell>
        </row>
        <row r="2702">
          <cell r="A2702">
            <v>42494</v>
          </cell>
          <cell r="B2702">
            <v>2.4700000000000002</v>
          </cell>
        </row>
        <row r="2703">
          <cell r="A2703">
            <v>42495</v>
          </cell>
          <cell r="B2703">
            <v>2.4500000000000002</v>
          </cell>
        </row>
        <row r="2704">
          <cell r="A2704">
            <v>42496</v>
          </cell>
          <cell r="B2704">
            <v>2.48</v>
          </cell>
        </row>
        <row r="2705">
          <cell r="A2705">
            <v>42499</v>
          </cell>
          <cell r="B2705">
            <v>2.46</v>
          </cell>
        </row>
        <row r="2706">
          <cell r="A2706">
            <v>42500</v>
          </cell>
          <cell r="B2706">
            <v>2.4500000000000002</v>
          </cell>
        </row>
        <row r="2707">
          <cell r="A2707">
            <v>42501</v>
          </cell>
          <cell r="B2707">
            <v>2.44</v>
          </cell>
        </row>
        <row r="2708">
          <cell r="A2708">
            <v>42502</v>
          </cell>
          <cell r="B2708">
            <v>2.4700000000000002</v>
          </cell>
        </row>
        <row r="2709">
          <cell r="A2709">
            <v>42503</v>
          </cell>
          <cell r="B2709">
            <v>2.44</v>
          </cell>
        </row>
        <row r="2710">
          <cell r="A2710">
            <v>42506</v>
          </cell>
          <cell r="B2710">
            <v>2.48</v>
          </cell>
        </row>
        <row r="2711">
          <cell r="A2711">
            <v>42507</v>
          </cell>
          <cell r="B2711">
            <v>2.4900000000000002</v>
          </cell>
        </row>
        <row r="2712">
          <cell r="A2712">
            <v>42508</v>
          </cell>
          <cell r="B2712">
            <v>2.59</v>
          </cell>
        </row>
        <row r="2713">
          <cell r="A2713">
            <v>42509</v>
          </cell>
          <cell r="B2713">
            <v>2.56</v>
          </cell>
        </row>
        <row r="2714">
          <cell r="A2714">
            <v>42510</v>
          </cell>
          <cell r="B2714">
            <v>2.57</v>
          </cell>
        </row>
        <row r="2715">
          <cell r="A2715">
            <v>42513</v>
          </cell>
          <cell r="B2715">
            <v>2.57</v>
          </cell>
        </row>
        <row r="2716">
          <cell r="A2716">
            <v>42514</v>
          </cell>
          <cell r="B2716">
            <v>2.58</v>
          </cell>
        </row>
        <row r="2717">
          <cell r="A2717">
            <v>42515</v>
          </cell>
          <cell r="B2717">
            <v>2.59</v>
          </cell>
        </row>
        <row r="2718">
          <cell r="A2718">
            <v>42516</v>
          </cell>
          <cell r="B2718">
            <v>2.54</v>
          </cell>
        </row>
        <row r="2719">
          <cell r="A2719">
            <v>42517</v>
          </cell>
          <cell r="B2719">
            <v>2.5499999999999998</v>
          </cell>
        </row>
        <row r="2720">
          <cell r="A2720">
            <v>42520</v>
          </cell>
          <cell r="B2720">
            <v>2.5499999999999998</v>
          </cell>
        </row>
        <row r="2721">
          <cell r="A2721">
            <v>42521</v>
          </cell>
          <cell r="B2721">
            <v>2.56</v>
          </cell>
        </row>
        <row r="2722">
          <cell r="A2722">
            <v>42522</v>
          </cell>
          <cell r="B2722">
            <v>2.58</v>
          </cell>
        </row>
        <row r="2723">
          <cell r="A2723">
            <v>42523</v>
          </cell>
          <cell r="B2723">
            <v>2.5499999999999998</v>
          </cell>
        </row>
        <row r="2724">
          <cell r="A2724">
            <v>42524</v>
          </cell>
          <cell r="B2724">
            <v>2.4700000000000002</v>
          </cell>
        </row>
        <row r="2725">
          <cell r="A2725">
            <v>42527</v>
          </cell>
          <cell r="B2725">
            <v>2.48</v>
          </cell>
        </row>
        <row r="2726">
          <cell r="A2726">
            <v>42528</v>
          </cell>
          <cell r="B2726">
            <v>2.4700000000000002</v>
          </cell>
        </row>
        <row r="2727">
          <cell r="A2727">
            <v>42529</v>
          </cell>
          <cell r="B2727">
            <v>2.46</v>
          </cell>
        </row>
        <row r="2728">
          <cell r="A2728">
            <v>42530</v>
          </cell>
          <cell r="B2728">
            <v>2.4300000000000002</v>
          </cell>
        </row>
        <row r="2729">
          <cell r="A2729">
            <v>42531</v>
          </cell>
          <cell r="B2729">
            <v>2.41</v>
          </cell>
        </row>
        <row r="2730">
          <cell r="A2730">
            <v>42534</v>
          </cell>
          <cell r="B2730">
            <v>2.41</v>
          </cell>
        </row>
        <row r="2731">
          <cell r="A2731">
            <v>42535</v>
          </cell>
          <cell r="B2731">
            <v>2.42</v>
          </cell>
        </row>
        <row r="2732">
          <cell r="A2732">
            <v>42536</v>
          </cell>
          <cell r="B2732">
            <v>2.41</v>
          </cell>
        </row>
        <row r="2733">
          <cell r="A2733">
            <v>42537</v>
          </cell>
          <cell r="B2733">
            <v>2.4</v>
          </cell>
        </row>
        <row r="2734">
          <cell r="A2734">
            <v>42538</v>
          </cell>
          <cell r="B2734">
            <v>2.44</v>
          </cell>
        </row>
        <row r="2735">
          <cell r="A2735">
            <v>42541</v>
          </cell>
          <cell r="B2735">
            <v>2.46</v>
          </cell>
        </row>
        <row r="2736">
          <cell r="A2736">
            <v>42542</v>
          </cell>
          <cell r="B2736">
            <v>2.48</v>
          </cell>
        </row>
        <row r="2737">
          <cell r="A2737">
            <v>42543</v>
          </cell>
          <cell r="B2737">
            <v>2.4700000000000002</v>
          </cell>
        </row>
        <row r="2738">
          <cell r="A2738">
            <v>42544</v>
          </cell>
          <cell r="B2738">
            <v>2.5099999999999998</v>
          </cell>
        </row>
        <row r="2739">
          <cell r="A2739">
            <v>42545</v>
          </cell>
          <cell r="B2739">
            <v>2.4</v>
          </cell>
        </row>
        <row r="2740">
          <cell r="A2740">
            <v>42548</v>
          </cell>
          <cell r="B2740">
            <v>2.31</v>
          </cell>
        </row>
        <row r="2741">
          <cell r="A2741">
            <v>42549</v>
          </cell>
          <cell r="B2741">
            <v>2.3199999999999998</v>
          </cell>
        </row>
        <row r="2742">
          <cell r="A2742">
            <v>42550</v>
          </cell>
          <cell r="B2742">
            <v>2.34</v>
          </cell>
        </row>
        <row r="2743">
          <cell r="A2743">
            <v>42551</v>
          </cell>
          <cell r="B2743">
            <v>2.34</v>
          </cell>
        </row>
        <row r="2744">
          <cell r="A2744">
            <v>42552</v>
          </cell>
          <cell r="B2744">
            <v>2.31</v>
          </cell>
        </row>
        <row r="2745">
          <cell r="A2745">
            <v>42555</v>
          </cell>
          <cell r="B2745">
            <v>2.31</v>
          </cell>
        </row>
        <row r="2746">
          <cell r="A2746">
            <v>42556</v>
          </cell>
          <cell r="B2746">
            <v>2.2400000000000002</v>
          </cell>
        </row>
        <row r="2747">
          <cell r="A2747">
            <v>42557</v>
          </cell>
          <cell r="B2747">
            <v>2.25</v>
          </cell>
        </row>
        <row r="2748">
          <cell r="A2748">
            <v>42558</v>
          </cell>
          <cell r="B2748">
            <v>2.2400000000000002</v>
          </cell>
        </row>
        <row r="2749">
          <cell r="A2749">
            <v>42559</v>
          </cell>
          <cell r="B2749">
            <v>2.2200000000000002</v>
          </cell>
        </row>
        <row r="2750">
          <cell r="A2750">
            <v>42562</v>
          </cell>
          <cell r="B2750">
            <v>2.2599999999999998</v>
          </cell>
        </row>
        <row r="2751">
          <cell r="A2751">
            <v>42563</v>
          </cell>
          <cell r="B2751">
            <v>2.31</v>
          </cell>
        </row>
        <row r="2752">
          <cell r="A2752">
            <v>42564</v>
          </cell>
          <cell r="B2752">
            <v>2.27</v>
          </cell>
        </row>
        <row r="2753">
          <cell r="A2753">
            <v>42565</v>
          </cell>
          <cell r="B2753">
            <v>2.31</v>
          </cell>
        </row>
        <row r="2754">
          <cell r="A2754">
            <v>42566</v>
          </cell>
          <cell r="B2754">
            <v>2.35</v>
          </cell>
        </row>
        <row r="2755">
          <cell r="A2755">
            <v>42569</v>
          </cell>
          <cell r="B2755">
            <v>2.34</v>
          </cell>
        </row>
        <row r="2756">
          <cell r="A2756">
            <v>42570</v>
          </cell>
          <cell r="B2756">
            <v>2.33</v>
          </cell>
        </row>
        <row r="2757">
          <cell r="A2757">
            <v>42571</v>
          </cell>
          <cell r="B2757">
            <v>2.35</v>
          </cell>
        </row>
        <row r="2758">
          <cell r="A2758">
            <v>42572</v>
          </cell>
          <cell r="B2758">
            <v>2.34</v>
          </cell>
        </row>
        <row r="2759">
          <cell r="A2759">
            <v>42573</v>
          </cell>
          <cell r="B2759">
            <v>2.35</v>
          </cell>
        </row>
        <row r="2760">
          <cell r="A2760">
            <v>42576</v>
          </cell>
          <cell r="B2760">
            <v>2.35</v>
          </cell>
        </row>
        <row r="2761">
          <cell r="A2761">
            <v>42577</v>
          </cell>
          <cell r="B2761">
            <v>2.35</v>
          </cell>
        </row>
        <row r="2762">
          <cell r="A2762">
            <v>42578</v>
          </cell>
          <cell r="B2762">
            <v>2.3199999999999998</v>
          </cell>
        </row>
        <row r="2763">
          <cell r="A2763">
            <v>42579</v>
          </cell>
          <cell r="B2763">
            <v>2.3199999999999998</v>
          </cell>
        </row>
        <row r="2764">
          <cell r="A2764">
            <v>42580</v>
          </cell>
          <cell r="B2764">
            <v>2.27</v>
          </cell>
        </row>
        <row r="2765">
          <cell r="A2765">
            <v>42582</v>
          </cell>
          <cell r="B2765">
            <v>2.2799999999999998</v>
          </cell>
        </row>
        <row r="2766">
          <cell r="A2766">
            <v>42583</v>
          </cell>
          <cell r="B2766">
            <v>2.3199999999999998</v>
          </cell>
        </row>
        <row r="2767">
          <cell r="A2767">
            <v>42584</v>
          </cell>
          <cell r="B2767">
            <v>2.37</v>
          </cell>
        </row>
        <row r="2768">
          <cell r="A2768">
            <v>42585</v>
          </cell>
          <cell r="B2768">
            <v>2.37</v>
          </cell>
        </row>
        <row r="2769">
          <cell r="A2769">
            <v>42586</v>
          </cell>
          <cell r="B2769">
            <v>2.33</v>
          </cell>
        </row>
        <row r="2770">
          <cell r="A2770">
            <v>42587</v>
          </cell>
          <cell r="B2770">
            <v>2.39</v>
          </cell>
        </row>
        <row r="2771">
          <cell r="A2771">
            <v>42590</v>
          </cell>
          <cell r="B2771">
            <v>2.37</v>
          </cell>
        </row>
        <row r="2772">
          <cell r="A2772">
            <v>42591</v>
          </cell>
          <cell r="B2772">
            <v>2.34</v>
          </cell>
        </row>
        <row r="2773">
          <cell r="A2773">
            <v>42592</v>
          </cell>
          <cell r="B2773">
            <v>2.2999999999999998</v>
          </cell>
        </row>
        <row r="2774">
          <cell r="A2774">
            <v>42593</v>
          </cell>
          <cell r="B2774">
            <v>2.35</v>
          </cell>
        </row>
        <row r="2775">
          <cell r="A2775">
            <v>42594</v>
          </cell>
          <cell r="B2775">
            <v>2.31</v>
          </cell>
        </row>
        <row r="2776">
          <cell r="A2776">
            <v>42597</v>
          </cell>
          <cell r="B2776">
            <v>2.33</v>
          </cell>
        </row>
        <row r="2777">
          <cell r="A2777">
            <v>42598</v>
          </cell>
          <cell r="B2777">
            <v>2.35</v>
          </cell>
        </row>
        <row r="2778">
          <cell r="A2778">
            <v>42599</v>
          </cell>
          <cell r="B2778">
            <v>2.33</v>
          </cell>
        </row>
        <row r="2779">
          <cell r="A2779">
            <v>42600</v>
          </cell>
          <cell r="B2779">
            <v>2.31</v>
          </cell>
        </row>
        <row r="2780">
          <cell r="A2780">
            <v>42601</v>
          </cell>
          <cell r="B2780">
            <v>2.34</v>
          </cell>
        </row>
        <row r="2781">
          <cell r="A2781">
            <v>42604</v>
          </cell>
          <cell r="B2781">
            <v>2.3199999999999998</v>
          </cell>
        </row>
        <row r="2782">
          <cell r="A2782">
            <v>42605</v>
          </cell>
          <cell r="B2782">
            <v>2.31</v>
          </cell>
        </row>
        <row r="2783">
          <cell r="A2783">
            <v>42606</v>
          </cell>
          <cell r="B2783">
            <v>2.31</v>
          </cell>
        </row>
        <row r="2784">
          <cell r="A2784">
            <v>42607</v>
          </cell>
          <cell r="B2784">
            <v>2.33</v>
          </cell>
        </row>
        <row r="2785">
          <cell r="A2785">
            <v>42608</v>
          </cell>
          <cell r="B2785">
            <v>2.38</v>
          </cell>
        </row>
        <row r="2786">
          <cell r="A2786">
            <v>42611</v>
          </cell>
          <cell r="B2786">
            <v>2.3199999999999998</v>
          </cell>
        </row>
        <row r="2787">
          <cell r="A2787">
            <v>42612</v>
          </cell>
          <cell r="B2787">
            <v>2.3199999999999998</v>
          </cell>
        </row>
        <row r="2788">
          <cell r="A2788">
            <v>42613</v>
          </cell>
          <cell r="B2788">
            <v>2.41</v>
          </cell>
        </row>
        <row r="2789">
          <cell r="A2789">
            <v>42614</v>
          </cell>
          <cell r="B2789">
            <v>2.41</v>
          </cell>
        </row>
        <row r="2790">
          <cell r="A2790">
            <v>42615</v>
          </cell>
          <cell r="B2790">
            <v>2.4300000000000002</v>
          </cell>
        </row>
        <row r="2791">
          <cell r="A2791">
            <v>42618</v>
          </cell>
          <cell r="B2791">
            <v>2.4300000000000002</v>
          </cell>
        </row>
        <row r="2792">
          <cell r="A2792">
            <v>42619</v>
          </cell>
          <cell r="B2792">
            <v>2.39</v>
          </cell>
        </row>
        <row r="2793">
          <cell r="A2793">
            <v>42620</v>
          </cell>
          <cell r="B2793">
            <v>2.4</v>
          </cell>
        </row>
        <row r="2794">
          <cell r="A2794">
            <v>42621</v>
          </cell>
          <cell r="B2794">
            <v>2.4700000000000002</v>
          </cell>
        </row>
        <row r="2795">
          <cell r="A2795">
            <v>42622</v>
          </cell>
          <cell r="B2795">
            <v>2.52</v>
          </cell>
        </row>
        <row r="2796">
          <cell r="A2796">
            <v>42625</v>
          </cell>
          <cell r="B2796">
            <v>2.52</v>
          </cell>
        </row>
        <row r="2797">
          <cell r="A2797">
            <v>42626</v>
          </cell>
          <cell r="B2797">
            <v>2.58</v>
          </cell>
        </row>
        <row r="2798">
          <cell r="A2798">
            <v>42627</v>
          </cell>
          <cell r="B2798">
            <v>2.5499999999999998</v>
          </cell>
        </row>
        <row r="2799">
          <cell r="A2799">
            <v>42628</v>
          </cell>
          <cell r="B2799">
            <v>2.5499999999999998</v>
          </cell>
        </row>
        <row r="2800">
          <cell r="A2800">
            <v>42629</v>
          </cell>
          <cell r="B2800">
            <v>2.5499999999999998</v>
          </cell>
        </row>
        <row r="2801">
          <cell r="A2801">
            <v>42632</v>
          </cell>
          <cell r="B2801">
            <v>2.54</v>
          </cell>
        </row>
        <row r="2802">
          <cell r="A2802">
            <v>42633</v>
          </cell>
          <cell r="B2802">
            <v>2.5299999999999998</v>
          </cell>
        </row>
        <row r="2803">
          <cell r="A2803">
            <v>42634</v>
          </cell>
          <cell r="B2803">
            <v>2.52</v>
          </cell>
        </row>
        <row r="2804">
          <cell r="A2804">
            <v>42635</v>
          </cell>
          <cell r="B2804">
            <v>2.4900000000000002</v>
          </cell>
        </row>
        <row r="2805">
          <cell r="A2805">
            <v>42636</v>
          </cell>
          <cell r="B2805">
            <v>2.4700000000000002</v>
          </cell>
        </row>
        <row r="2806">
          <cell r="A2806">
            <v>42639</v>
          </cell>
          <cell r="B2806">
            <v>2.4500000000000002</v>
          </cell>
        </row>
        <row r="2807">
          <cell r="A2807">
            <v>42640</v>
          </cell>
          <cell r="B2807">
            <v>2.4300000000000002</v>
          </cell>
        </row>
        <row r="2808">
          <cell r="A2808">
            <v>42641</v>
          </cell>
          <cell r="B2808">
            <v>2.44</v>
          </cell>
        </row>
        <row r="2809">
          <cell r="A2809">
            <v>42642</v>
          </cell>
          <cell r="B2809">
            <v>2.4300000000000002</v>
          </cell>
        </row>
        <row r="2810">
          <cell r="A2810">
            <v>42643</v>
          </cell>
          <cell r="B2810">
            <v>2.4700000000000002</v>
          </cell>
        </row>
        <row r="2811">
          <cell r="A2811">
            <v>42646</v>
          </cell>
          <cell r="B2811">
            <v>2.48</v>
          </cell>
        </row>
        <row r="2812">
          <cell r="A2812">
            <v>42647</v>
          </cell>
          <cell r="B2812">
            <v>2.52</v>
          </cell>
        </row>
        <row r="2813">
          <cell r="A2813">
            <v>42648</v>
          </cell>
          <cell r="B2813">
            <v>2.54</v>
          </cell>
        </row>
        <row r="2814">
          <cell r="A2814">
            <v>42649</v>
          </cell>
          <cell r="B2814">
            <v>2.5499999999999998</v>
          </cell>
        </row>
        <row r="2815">
          <cell r="A2815">
            <v>42650</v>
          </cell>
          <cell r="B2815">
            <v>2.5499999999999998</v>
          </cell>
        </row>
        <row r="2816">
          <cell r="A2816">
            <v>42653</v>
          </cell>
          <cell r="B2816">
            <v>2.5499999999999998</v>
          </cell>
        </row>
        <row r="2817">
          <cell r="A2817">
            <v>42654</v>
          </cell>
          <cell r="B2817">
            <v>2.56</v>
          </cell>
        </row>
        <row r="2818">
          <cell r="A2818">
            <v>42655</v>
          </cell>
          <cell r="B2818">
            <v>2.57</v>
          </cell>
        </row>
        <row r="2819">
          <cell r="A2819">
            <v>42656</v>
          </cell>
          <cell r="B2819">
            <v>2.54</v>
          </cell>
        </row>
        <row r="2820">
          <cell r="A2820">
            <v>42657</v>
          </cell>
          <cell r="B2820">
            <v>2.58</v>
          </cell>
        </row>
        <row r="2821">
          <cell r="A2821">
            <v>42660</v>
          </cell>
          <cell r="B2821">
            <v>2.5499999999999998</v>
          </cell>
        </row>
        <row r="2822">
          <cell r="A2822">
            <v>42661</v>
          </cell>
          <cell r="B2822">
            <v>2.52</v>
          </cell>
        </row>
        <row r="2823">
          <cell r="A2823">
            <v>42662</v>
          </cell>
          <cell r="B2823">
            <v>2.52</v>
          </cell>
        </row>
        <row r="2824">
          <cell r="A2824">
            <v>42663</v>
          </cell>
          <cell r="B2824">
            <v>2.52</v>
          </cell>
        </row>
        <row r="2825">
          <cell r="A2825">
            <v>42664</v>
          </cell>
          <cell r="B2825">
            <v>2.52</v>
          </cell>
        </row>
        <row r="2826">
          <cell r="A2826">
            <v>42667</v>
          </cell>
          <cell r="B2826">
            <v>2.5499999999999998</v>
          </cell>
        </row>
        <row r="2827">
          <cell r="A2827">
            <v>42668</v>
          </cell>
          <cell r="B2827">
            <v>2.5499999999999998</v>
          </cell>
        </row>
        <row r="2828">
          <cell r="A2828">
            <v>42669</v>
          </cell>
          <cell r="B2828">
            <v>2.59</v>
          </cell>
        </row>
        <row r="2829">
          <cell r="A2829">
            <v>42670</v>
          </cell>
          <cell r="B2829">
            <v>2.63</v>
          </cell>
        </row>
        <row r="2830">
          <cell r="A2830">
            <v>42671</v>
          </cell>
          <cell r="B2830">
            <v>2.63</v>
          </cell>
        </row>
        <row r="2831">
          <cell r="A2831">
            <v>42674</v>
          </cell>
          <cell r="B2831">
            <v>2.64</v>
          </cell>
        </row>
        <row r="2832">
          <cell r="A2832">
            <v>42675</v>
          </cell>
          <cell r="B2832">
            <v>2.63</v>
          </cell>
        </row>
        <row r="2833">
          <cell r="A2833">
            <v>42676</v>
          </cell>
          <cell r="B2833">
            <v>2.62</v>
          </cell>
        </row>
        <row r="2834">
          <cell r="A2834">
            <v>42677</v>
          </cell>
          <cell r="B2834">
            <v>2.63</v>
          </cell>
        </row>
        <row r="2835">
          <cell r="A2835">
            <v>42678</v>
          </cell>
          <cell r="B2835">
            <v>2.61</v>
          </cell>
        </row>
        <row r="2836">
          <cell r="A2836">
            <v>42681</v>
          </cell>
          <cell r="B2836">
            <v>2.64</v>
          </cell>
        </row>
        <row r="2837">
          <cell r="A2837">
            <v>42682</v>
          </cell>
          <cell r="B2837">
            <v>2.66</v>
          </cell>
        </row>
        <row r="2838">
          <cell r="A2838">
            <v>42683</v>
          </cell>
          <cell r="B2838">
            <v>2.82</v>
          </cell>
        </row>
        <row r="2839">
          <cell r="A2839">
            <v>42684</v>
          </cell>
          <cell r="B2839">
            <v>2.82</v>
          </cell>
        </row>
        <row r="2840">
          <cell r="A2840">
            <v>42685</v>
          </cell>
          <cell r="B2840">
            <v>2.82</v>
          </cell>
        </row>
        <row r="2841">
          <cell r="A2841">
            <v>42688</v>
          </cell>
          <cell r="B2841">
            <v>2.9</v>
          </cell>
        </row>
        <row r="2842">
          <cell r="A2842">
            <v>42689</v>
          </cell>
          <cell r="B2842">
            <v>2.92</v>
          </cell>
        </row>
        <row r="2843">
          <cell r="A2843">
            <v>42690</v>
          </cell>
          <cell r="B2843">
            <v>2.9</v>
          </cell>
        </row>
        <row r="2844">
          <cell r="A2844">
            <v>42691</v>
          </cell>
          <cell r="B2844">
            <v>2.95</v>
          </cell>
        </row>
        <row r="2845">
          <cell r="A2845">
            <v>42692</v>
          </cell>
          <cell r="B2845">
            <v>2.99</v>
          </cell>
        </row>
        <row r="2846">
          <cell r="A2846">
            <v>42695</v>
          </cell>
          <cell r="B2846">
            <v>3.01</v>
          </cell>
        </row>
        <row r="2847">
          <cell r="A2847">
            <v>42696</v>
          </cell>
          <cell r="B2847">
            <v>3</v>
          </cell>
        </row>
        <row r="2848">
          <cell r="A2848">
            <v>42697</v>
          </cell>
          <cell r="B2848">
            <v>3.01</v>
          </cell>
        </row>
        <row r="2849">
          <cell r="A2849">
            <v>42698</v>
          </cell>
          <cell r="B2849">
            <v>3.01</v>
          </cell>
        </row>
        <row r="2850">
          <cell r="A2850">
            <v>42699</v>
          </cell>
          <cell r="B2850">
            <v>3.02</v>
          </cell>
        </row>
        <row r="2851">
          <cell r="A2851">
            <v>42702</v>
          </cell>
          <cell r="B2851">
            <v>2.98</v>
          </cell>
        </row>
        <row r="2852">
          <cell r="A2852">
            <v>42703</v>
          </cell>
          <cell r="B2852">
            <v>2.96</v>
          </cell>
        </row>
        <row r="2853">
          <cell r="A2853">
            <v>42704</v>
          </cell>
          <cell r="B2853">
            <v>3.05</v>
          </cell>
        </row>
        <row r="2854">
          <cell r="A2854">
            <v>42705</v>
          </cell>
          <cell r="B2854">
            <v>3.1</v>
          </cell>
        </row>
        <row r="2855">
          <cell r="A2855">
            <v>42706</v>
          </cell>
          <cell r="B2855">
            <v>3.06</v>
          </cell>
        </row>
        <row r="2856">
          <cell r="A2856">
            <v>42709</v>
          </cell>
          <cell r="B2856">
            <v>3.06</v>
          </cell>
        </row>
        <row r="2857">
          <cell r="A2857">
            <v>42710</v>
          </cell>
          <cell r="B2857">
            <v>3.06</v>
          </cell>
        </row>
        <row r="2858">
          <cell r="A2858">
            <v>42711</v>
          </cell>
          <cell r="B2858">
            <v>3.03</v>
          </cell>
        </row>
        <row r="2859">
          <cell r="A2859">
            <v>42712</v>
          </cell>
          <cell r="B2859">
            <v>3.06</v>
          </cell>
        </row>
        <row r="2860">
          <cell r="A2860">
            <v>42713</v>
          </cell>
          <cell r="B2860">
            <v>3.12</v>
          </cell>
        </row>
        <row r="2861">
          <cell r="A2861">
            <v>42716</v>
          </cell>
          <cell r="B2861">
            <v>3.12</v>
          </cell>
        </row>
        <row r="2862">
          <cell r="A2862">
            <v>42717</v>
          </cell>
          <cell r="B2862">
            <v>3.12</v>
          </cell>
        </row>
        <row r="2863">
          <cell r="A2863">
            <v>42718</v>
          </cell>
          <cell r="B2863">
            <v>3.15</v>
          </cell>
        </row>
        <row r="2864">
          <cell r="A2864">
            <v>42719</v>
          </cell>
          <cell r="B2864">
            <v>3.18</v>
          </cell>
        </row>
        <row r="2865">
          <cell r="A2865">
            <v>42720</v>
          </cell>
          <cell r="B2865">
            <v>3.2</v>
          </cell>
        </row>
        <row r="2866">
          <cell r="A2866">
            <v>42723</v>
          </cell>
          <cell r="B2866">
            <v>3.15</v>
          </cell>
        </row>
        <row r="2867">
          <cell r="A2867">
            <v>42724</v>
          </cell>
          <cell r="B2867">
            <v>3.16</v>
          </cell>
        </row>
        <row r="2868">
          <cell r="A2868">
            <v>42725</v>
          </cell>
          <cell r="B2868">
            <v>3.14</v>
          </cell>
        </row>
        <row r="2869">
          <cell r="A2869">
            <v>42726</v>
          </cell>
          <cell r="B2869">
            <v>3.14</v>
          </cell>
        </row>
        <row r="2870">
          <cell r="A2870">
            <v>42727</v>
          </cell>
          <cell r="B2870">
            <v>3.13</v>
          </cell>
        </row>
        <row r="2871">
          <cell r="A2871">
            <v>42731</v>
          </cell>
          <cell r="B2871">
            <v>3.15</v>
          </cell>
        </row>
        <row r="2872">
          <cell r="A2872">
            <v>42732</v>
          </cell>
          <cell r="B2872">
            <v>3.1</v>
          </cell>
        </row>
        <row r="2873">
          <cell r="A2873">
            <v>42733</v>
          </cell>
          <cell r="B2873">
            <v>3.07</v>
          </cell>
        </row>
        <row r="2874">
          <cell r="A2874">
            <v>42734</v>
          </cell>
          <cell r="B2874">
            <v>3.04</v>
          </cell>
        </row>
        <row r="2875">
          <cell r="A2875">
            <v>42735</v>
          </cell>
          <cell r="B2875">
            <v>3.05</v>
          </cell>
        </row>
        <row r="2876">
          <cell r="A2876">
            <v>42738</v>
          </cell>
          <cell r="B2876">
            <v>3.05</v>
          </cell>
        </row>
        <row r="2877">
          <cell r="A2877">
            <v>42739</v>
          </cell>
          <cell r="B2877">
            <v>3.05</v>
          </cell>
        </row>
        <row r="2878">
          <cell r="A2878">
            <v>42740</v>
          </cell>
          <cell r="B2878">
            <v>2.98</v>
          </cell>
        </row>
        <row r="2879">
          <cell r="A2879">
            <v>42741</v>
          </cell>
          <cell r="B2879">
            <v>3.03</v>
          </cell>
        </row>
        <row r="2880">
          <cell r="A2880">
            <v>42744</v>
          </cell>
          <cell r="B2880">
            <v>3</v>
          </cell>
        </row>
        <row r="2881">
          <cell r="A2881">
            <v>42745</v>
          </cell>
          <cell r="B2881">
            <v>3</v>
          </cell>
        </row>
        <row r="2882">
          <cell r="A2882">
            <v>42746</v>
          </cell>
          <cell r="B2882">
            <v>2.99</v>
          </cell>
        </row>
        <row r="2883">
          <cell r="A2883">
            <v>42747</v>
          </cell>
          <cell r="B2883">
            <v>2.99</v>
          </cell>
        </row>
        <row r="2884">
          <cell r="A2884">
            <v>42748</v>
          </cell>
          <cell r="B2884">
            <v>3.01</v>
          </cell>
        </row>
        <row r="2885">
          <cell r="A2885">
            <v>42751</v>
          </cell>
          <cell r="B2885">
            <v>3</v>
          </cell>
        </row>
        <row r="2886">
          <cell r="A2886">
            <v>42752</v>
          </cell>
          <cell r="B2886">
            <v>2.96</v>
          </cell>
        </row>
        <row r="2887">
          <cell r="A2887">
            <v>42753</v>
          </cell>
          <cell r="B2887">
            <v>3.01</v>
          </cell>
        </row>
        <row r="2888">
          <cell r="A2888">
            <v>42754</v>
          </cell>
          <cell r="B2888">
            <v>3.06</v>
          </cell>
        </row>
        <row r="2889">
          <cell r="A2889">
            <v>42755</v>
          </cell>
          <cell r="B2889">
            <v>3.06</v>
          </cell>
        </row>
        <row r="2890">
          <cell r="A2890">
            <v>42758</v>
          </cell>
          <cell r="B2890">
            <v>3</v>
          </cell>
        </row>
        <row r="2891">
          <cell r="A2891">
            <v>42759</v>
          </cell>
          <cell r="B2891">
            <v>3.07</v>
          </cell>
        </row>
        <row r="2892">
          <cell r="A2892">
            <v>42760</v>
          </cell>
          <cell r="B2892">
            <v>3.1</v>
          </cell>
        </row>
        <row r="2893">
          <cell r="A2893">
            <v>42761</v>
          </cell>
          <cell r="B2893">
            <v>3.08</v>
          </cell>
        </row>
        <row r="2894">
          <cell r="A2894">
            <v>42762</v>
          </cell>
          <cell r="B2894">
            <v>3.06</v>
          </cell>
        </row>
        <row r="2895">
          <cell r="A2895">
            <v>42765</v>
          </cell>
          <cell r="B2895">
            <v>3.1</v>
          </cell>
        </row>
        <row r="2896">
          <cell r="A2896">
            <v>42766</v>
          </cell>
          <cell r="B2896">
            <v>3.1</v>
          </cell>
        </row>
        <row r="2897">
          <cell r="A2897">
            <v>42767</v>
          </cell>
          <cell r="B2897">
            <v>3.11</v>
          </cell>
        </row>
        <row r="2898">
          <cell r="A2898">
            <v>42768</v>
          </cell>
          <cell r="B2898">
            <v>3.09</v>
          </cell>
        </row>
        <row r="2899">
          <cell r="A2899">
            <v>42769</v>
          </cell>
          <cell r="B2899">
            <v>3.1</v>
          </cell>
        </row>
        <row r="2900">
          <cell r="A2900">
            <v>42772</v>
          </cell>
          <cell r="B2900">
            <v>3.04</v>
          </cell>
        </row>
        <row r="2901">
          <cell r="A2901">
            <v>42773</v>
          </cell>
          <cell r="B2901">
            <v>3.02</v>
          </cell>
        </row>
        <row r="2902">
          <cell r="A2902">
            <v>42774</v>
          </cell>
          <cell r="B2902">
            <v>2.99</v>
          </cell>
        </row>
        <row r="2903">
          <cell r="A2903">
            <v>42775</v>
          </cell>
          <cell r="B2903">
            <v>3.03</v>
          </cell>
        </row>
        <row r="2904">
          <cell r="A2904">
            <v>42776</v>
          </cell>
          <cell r="B2904">
            <v>3.03</v>
          </cell>
        </row>
        <row r="2905">
          <cell r="A2905">
            <v>42779</v>
          </cell>
          <cell r="B2905">
            <v>3.04</v>
          </cell>
        </row>
        <row r="2906">
          <cell r="A2906">
            <v>42780</v>
          </cell>
          <cell r="B2906">
            <v>3.07</v>
          </cell>
        </row>
        <row r="2907">
          <cell r="A2907">
            <v>42781</v>
          </cell>
          <cell r="B2907">
            <v>3.09</v>
          </cell>
        </row>
        <row r="2908">
          <cell r="A2908">
            <v>42782</v>
          </cell>
          <cell r="B2908">
            <v>3.04</v>
          </cell>
        </row>
        <row r="2909">
          <cell r="A2909">
            <v>42783</v>
          </cell>
          <cell r="B2909">
            <v>3.02</v>
          </cell>
        </row>
        <row r="2910">
          <cell r="A2910">
            <v>42786</v>
          </cell>
          <cell r="B2910">
            <v>3.02</v>
          </cell>
        </row>
        <row r="2911">
          <cell r="A2911">
            <v>42787</v>
          </cell>
          <cell r="B2911">
            <v>3.03</v>
          </cell>
        </row>
        <row r="2912">
          <cell r="A2912">
            <v>42788</v>
          </cell>
          <cell r="B2912">
            <v>3.02</v>
          </cell>
        </row>
        <row r="2913">
          <cell r="A2913">
            <v>42789</v>
          </cell>
          <cell r="B2913">
            <v>3</v>
          </cell>
        </row>
        <row r="2914">
          <cell r="A2914">
            <v>42790</v>
          </cell>
          <cell r="B2914">
            <v>2.94</v>
          </cell>
        </row>
        <row r="2915">
          <cell r="A2915">
            <v>42793</v>
          </cell>
          <cell r="B2915">
            <v>2.98</v>
          </cell>
        </row>
        <row r="2916">
          <cell r="A2916">
            <v>42794</v>
          </cell>
          <cell r="B2916">
            <v>3.03</v>
          </cell>
        </row>
        <row r="2917">
          <cell r="A2917">
            <v>42795</v>
          </cell>
          <cell r="B2917">
            <v>3.11</v>
          </cell>
        </row>
        <row r="2918">
          <cell r="A2918">
            <v>42796</v>
          </cell>
          <cell r="B2918">
            <v>3.12</v>
          </cell>
        </row>
        <row r="2919">
          <cell r="A2919">
            <v>42797</v>
          </cell>
          <cell r="B2919">
            <v>3.11</v>
          </cell>
        </row>
        <row r="2920">
          <cell r="A2920">
            <v>42800</v>
          </cell>
          <cell r="B2920">
            <v>3.12</v>
          </cell>
        </row>
        <row r="2921">
          <cell r="A2921">
            <v>42801</v>
          </cell>
          <cell r="B2921">
            <v>3.15</v>
          </cell>
        </row>
        <row r="2922">
          <cell r="A2922">
            <v>42802</v>
          </cell>
          <cell r="B2922">
            <v>3.19</v>
          </cell>
        </row>
        <row r="2923">
          <cell r="A2923">
            <v>42803</v>
          </cell>
          <cell r="B2923">
            <v>3.23</v>
          </cell>
        </row>
        <row r="2924">
          <cell r="A2924">
            <v>42804</v>
          </cell>
          <cell r="B2924">
            <v>3.22</v>
          </cell>
        </row>
        <row r="2925">
          <cell r="A2925">
            <v>42807</v>
          </cell>
          <cell r="B2925">
            <v>3.25</v>
          </cell>
        </row>
        <row r="2926">
          <cell r="A2926">
            <v>42808</v>
          </cell>
          <cell r="B2926">
            <v>3.25</v>
          </cell>
        </row>
        <row r="2927">
          <cell r="A2927">
            <v>42809</v>
          </cell>
          <cell r="B2927">
            <v>3.17</v>
          </cell>
        </row>
        <row r="2928">
          <cell r="A2928">
            <v>42810</v>
          </cell>
          <cell r="B2928">
            <v>3.18</v>
          </cell>
        </row>
        <row r="2929">
          <cell r="A2929">
            <v>42811</v>
          </cell>
          <cell r="B2929">
            <v>3.16</v>
          </cell>
        </row>
        <row r="2930">
          <cell r="A2930">
            <v>42814</v>
          </cell>
          <cell r="B2930">
            <v>3.14</v>
          </cell>
        </row>
        <row r="2931">
          <cell r="A2931">
            <v>42815</v>
          </cell>
          <cell r="B2931">
            <v>3.11</v>
          </cell>
        </row>
        <row r="2932">
          <cell r="A2932">
            <v>42816</v>
          </cell>
          <cell r="B2932">
            <v>3.08</v>
          </cell>
        </row>
        <row r="2933">
          <cell r="A2933">
            <v>42817</v>
          </cell>
          <cell r="B2933">
            <v>3.09</v>
          </cell>
        </row>
        <row r="2934">
          <cell r="A2934">
            <v>42818</v>
          </cell>
          <cell r="B2934">
            <v>3.07</v>
          </cell>
        </row>
        <row r="2935">
          <cell r="A2935">
            <v>42821</v>
          </cell>
          <cell r="B2935">
            <v>3.06</v>
          </cell>
        </row>
        <row r="2936">
          <cell r="A2936">
            <v>42822</v>
          </cell>
          <cell r="B2936">
            <v>3.08</v>
          </cell>
        </row>
        <row r="2937">
          <cell r="A2937">
            <v>42823</v>
          </cell>
          <cell r="B2937">
            <v>3.06</v>
          </cell>
        </row>
        <row r="2938">
          <cell r="A2938">
            <v>42824</v>
          </cell>
          <cell r="B2938">
            <v>3.08</v>
          </cell>
        </row>
        <row r="2939">
          <cell r="A2939">
            <v>42825</v>
          </cell>
          <cell r="B2939">
            <v>3.07</v>
          </cell>
        </row>
        <row r="2940">
          <cell r="A2940">
            <v>42828</v>
          </cell>
          <cell r="B2940">
            <v>3.03</v>
          </cell>
        </row>
        <row r="2941">
          <cell r="A2941">
            <v>42829</v>
          </cell>
          <cell r="B2941">
            <v>3.04</v>
          </cell>
        </row>
        <row r="2942">
          <cell r="A2942">
            <v>42830</v>
          </cell>
          <cell r="B2942">
            <v>3.04</v>
          </cell>
        </row>
        <row r="2943">
          <cell r="A2943">
            <v>42831</v>
          </cell>
          <cell r="B2943">
            <v>3.03</v>
          </cell>
        </row>
        <row r="2944">
          <cell r="A2944">
            <v>42832</v>
          </cell>
          <cell r="B2944">
            <v>3.05</v>
          </cell>
        </row>
        <row r="2945">
          <cell r="A2945">
            <v>42835</v>
          </cell>
          <cell r="B2945">
            <v>3.04</v>
          </cell>
        </row>
        <row r="2946">
          <cell r="A2946">
            <v>42836</v>
          </cell>
          <cell r="B2946">
            <v>2.99</v>
          </cell>
        </row>
        <row r="2947">
          <cell r="A2947">
            <v>42837</v>
          </cell>
          <cell r="B2947">
            <v>2.99</v>
          </cell>
        </row>
        <row r="2948">
          <cell r="A2948">
            <v>42838</v>
          </cell>
          <cell r="B2948">
            <v>2.94</v>
          </cell>
        </row>
        <row r="2949">
          <cell r="A2949">
            <v>42842</v>
          </cell>
          <cell r="B2949">
            <v>2.96</v>
          </cell>
        </row>
        <row r="2950">
          <cell r="A2950">
            <v>42843</v>
          </cell>
          <cell r="B2950">
            <v>2.9</v>
          </cell>
        </row>
        <row r="2951">
          <cell r="A2951">
            <v>42844</v>
          </cell>
          <cell r="B2951">
            <v>2.91</v>
          </cell>
        </row>
        <row r="2952">
          <cell r="A2952">
            <v>42845</v>
          </cell>
          <cell r="B2952">
            <v>2.94</v>
          </cell>
        </row>
        <row r="2953">
          <cell r="A2953">
            <v>42846</v>
          </cell>
          <cell r="B2953">
            <v>2.94</v>
          </cell>
        </row>
        <row r="2954">
          <cell r="A2954">
            <v>42849</v>
          </cell>
          <cell r="B2954">
            <v>2.97</v>
          </cell>
        </row>
        <row r="2955">
          <cell r="A2955">
            <v>42850</v>
          </cell>
          <cell r="B2955">
            <v>3.01</v>
          </cell>
        </row>
        <row r="2956">
          <cell r="A2956">
            <v>42851</v>
          </cell>
          <cell r="B2956">
            <v>3</v>
          </cell>
        </row>
        <row r="2957">
          <cell r="A2957">
            <v>42852</v>
          </cell>
          <cell r="B2957">
            <v>2.99</v>
          </cell>
        </row>
        <row r="2958">
          <cell r="A2958">
            <v>42853</v>
          </cell>
          <cell r="B2958">
            <v>2.98</v>
          </cell>
        </row>
        <row r="2959">
          <cell r="A2959">
            <v>42855</v>
          </cell>
          <cell r="B2959">
            <v>2.99</v>
          </cell>
        </row>
        <row r="2960">
          <cell r="A2960">
            <v>42856</v>
          </cell>
          <cell r="B2960">
            <v>3.03</v>
          </cell>
        </row>
        <row r="2961">
          <cell r="A2961">
            <v>42857</v>
          </cell>
          <cell r="B2961">
            <v>2.99</v>
          </cell>
        </row>
        <row r="2962">
          <cell r="A2962">
            <v>42858</v>
          </cell>
          <cell r="B2962">
            <v>2.99</v>
          </cell>
        </row>
        <row r="2963">
          <cell r="A2963">
            <v>42859</v>
          </cell>
          <cell r="B2963">
            <v>3.03</v>
          </cell>
        </row>
        <row r="2964">
          <cell r="A2964">
            <v>42860</v>
          </cell>
          <cell r="B2964">
            <v>3.02</v>
          </cell>
        </row>
        <row r="2965">
          <cell r="A2965">
            <v>42863</v>
          </cell>
          <cell r="B2965">
            <v>3.04</v>
          </cell>
        </row>
        <row r="2966">
          <cell r="A2966">
            <v>42864</v>
          </cell>
          <cell r="B2966">
            <v>3.06</v>
          </cell>
        </row>
        <row r="2967">
          <cell r="A2967">
            <v>42865</v>
          </cell>
          <cell r="B2967">
            <v>3.06</v>
          </cell>
        </row>
        <row r="2968">
          <cell r="A2968">
            <v>42866</v>
          </cell>
          <cell r="B2968">
            <v>3.05</v>
          </cell>
        </row>
        <row r="2969">
          <cell r="A2969">
            <v>42867</v>
          </cell>
          <cell r="B2969">
            <v>2.99</v>
          </cell>
        </row>
        <row r="2970">
          <cell r="A2970">
            <v>42870</v>
          </cell>
          <cell r="B2970">
            <v>2.99</v>
          </cell>
        </row>
        <row r="2971">
          <cell r="A2971">
            <v>42871</v>
          </cell>
          <cell r="B2971">
            <v>2.98</v>
          </cell>
        </row>
        <row r="2972">
          <cell r="A2972">
            <v>42872</v>
          </cell>
          <cell r="B2972">
            <v>2.9</v>
          </cell>
        </row>
        <row r="2973">
          <cell r="A2973">
            <v>42873</v>
          </cell>
          <cell r="B2973">
            <v>2.92</v>
          </cell>
        </row>
        <row r="2974">
          <cell r="A2974">
            <v>42874</v>
          </cell>
          <cell r="B2974">
            <v>2.93</v>
          </cell>
        </row>
        <row r="2975">
          <cell r="A2975">
            <v>42877</v>
          </cell>
          <cell r="B2975">
            <v>2.93</v>
          </cell>
        </row>
        <row r="2976">
          <cell r="A2976">
            <v>42878</v>
          </cell>
          <cell r="B2976">
            <v>2.96</v>
          </cell>
        </row>
        <row r="2977">
          <cell r="A2977">
            <v>42879</v>
          </cell>
          <cell r="B2977">
            <v>2.95</v>
          </cell>
        </row>
        <row r="2978">
          <cell r="A2978">
            <v>42880</v>
          </cell>
          <cell r="B2978">
            <v>2.94</v>
          </cell>
        </row>
        <row r="2979">
          <cell r="A2979">
            <v>42881</v>
          </cell>
          <cell r="B2979">
            <v>2.93</v>
          </cell>
        </row>
        <row r="2980">
          <cell r="A2980">
            <v>42884</v>
          </cell>
          <cell r="B2980">
            <v>2.93</v>
          </cell>
        </row>
        <row r="2981">
          <cell r="A2981">
            <v>42885</v>
          </cell>
          <cell r="B2981">
            <v>2.9</v>
          </cell>
        </row>
        <row r="2982">
          <cell r="A2982">
            <v>42886</v>
          </cell>
          <cell r="B2982">
            <v>2.9</v>
          </cell>
        </row>
        <row r="2983">
          <cell r="A2983">
            <v>42887</v>
          </cell>
          <cell r="B2983">
            <v>2.91</v>
          </cell>
        </row>
        <row r="2984">
          <cell r="A2984">
            <v>42888</v>
          </cell>
          <cell r="B2984">
            <v>2.87</v>
          </cell>
        </row>
        <row r="2985">
          <cell r="A2985">
            <v>42891</v>
          </cell>
          <cell r="B2985">
            <v>2.88</v>
          </cell>
        </row>
        <row r="2986">
          <cell r="A2986">
            <v>42892</v>
          </cell>
          <cell r="B2986">
            <v>2.86</v>
          </cell>
        </row>
        <row r="2987">
          <cell r="A2987">
            <v>42893</v>
          </cell>
          <cell r="B2987">
            <v>2.88</v>
          </cell>
        </row>
        <row r="2988">
          <cell r="A2988">
            <v>42894</v>
          </cell>
          <cell r="B2988">
            <v>2.9</v>
          </cell>
        </row>
        <row r="2989">
          <cell r="A2989">
            <v>42895</v>
          </cell>
          <cell r="B2989">
            <v>2.9</v>
          </cell>
        </row>
        <row r="2990">
          <cell r="A2990">
            <v>42898</v>
          </cell>
          <cell r="B2990">
            <v>2.91</v>
          </cell>
        </row>
        <row r="2991">
          <cell r="A2991">
            <v>42899</v>
          </cell>
          <cell r="B2991">
            <v>2.91</v>
          </cell>
        </row>
        <row r="2992">
          <cell r="A2992">
            <v>42900</v>
          </cell>
          <cell r="B2992">
            <v>2.84</v>
          </cell>
        </row>
        <row r="2993">
          <cell r="A2993">
            <v>42901</v>
          </cell>
          <cell r="B2993">
            <v>2.87</v>
          </cell>
        </row>
        <row r="2994">
          <cell r="A2994">
            <v>42902</v>
          </cell>
          <cell r="B2994">
            <v>2.86</v>
          </cell>
        </row>
        <row r="2995">
          <cell r="A2995">
            <v>42905</v>
          </cell>
          <cell r="B2995">
            <v>2.87</v>
          </cell>
        </row>
        <row r="2996">
          <cell r="A2996">
            <v>42906</v>
          </cell>
          <cell r="B2996">
            <v>2.84</v>
          </cell>
        </row>
        <row r="2997">
          <cell r="A2997">
            <v>42907</v>
          </cell>
          <cell r="B2997">
            <v>2.83</v>
          </cell>
        </row>
        <row r="2998">
          <cell r="A2998">
            <v>42908</v>
          </cell>
          <cell r="B2998">
            <v>2.83</v>
          </cell>
        </row>
        <row r="2999">
          <cell r="A2999">
            <v>42909</v>
          </cell>
          <cell r="B2999">
            <v>2.82</v>
          </cell>
        </row>
        <row r="3000">
          <cell r="A3000">
            <v>42912</v>
          </cell>
          <cell r="B3000">
            <v>2.81</v>
          </cell>
        </row>
        <row r="3001">
          <cell r="A3001">
            <v>42913</v>
          </cell>
          <cell r="B3001">
            <v>2.85</v>
          </cell>
        </row>
        <row r="3002">
          <cell r="A3002">
            <v>42914</v>
          </cell>
          <cell r="B3002">
            <v>2.86</v>
          </cell>
        </row>
        <row r="3003">
          <cell r="A3003">
            <v>42915</v>
          </cell>
          <cell r="B3003">
            <v>2.89</v>
          </cell>
        </row>
        <row r="3004">
          <cell r="A3004">
            <v>42916</v>
          </cell>
          <cell r="B3004">
            <v>2.91</v>
          </cell>
        </row>
        <row r="3005">
          <cell r="A3005">
            <v>42919</v>
          </cell>
          <cell r="B3005">
            <v>2.95</v>
          </cell>
        </row>
        <row r="3006">
          <cell r="A3006">
            <v>42920</v>
          </cell>
          <cell r="B3006">
            <v>2.95</v>
          </cell>
        </row>
        <row r="3007">
          <cell r="A3007">
            <v>42921</v>
          </cell>
          <cell r="B3007">
            <v>2.93</v>
          </cell>
        </row>
        <row r="3008">
          <cell r="A3008">
            <v>42922</v>
          </cell>
          <cell r="B3008">
            <v>2.95</v>
          </cell>
        </row>
        <row r="3009">
          <cell r="A3009">
            <v>42923</v>
          </cell>
          <cell r="B3009">
            <v>2.96</v>
          </cell>
        </row>
        <row r="3010">
          <cell r="A3010">
            <v>42926</v>
          </cell>
          <cell r="B3010">
            <v>2.94</v>
          </cell>
        </row>
        <row r="3011">
          <cell r="A3011">
            <v>42927</v>
          </cell>
          <cell r="B3011">
            <v>2.93</v>
          </cell>
        </row>
        <row r="3012">
          <cell r="A3012">
            <v>42928</v>
          </cell>
          <cell r="B3012">
            <v>2.89</v>
          </cell>
        </row>
        <row r="3013">
          <cell r="A3013">
            <v>42929</v>
          </cell>
          <cell r="B3013">
            <v>2.91</v>
          </cell>
        </row>
        <row r="3014">
          <cell r="A3014">
            <v>42930</v>
          </cell>
          <cell r="B3014">
            <v>2.88</v>
          </cell>
        </row>
        <row r="3015">
          <cell r="A3015">
            <v>42933</v>
          </cell>
          <cell r="B3015">
            <v>2.87</v>
          </cell>
        </row>
        <row r="3016">
          <cell r="A3016">
            <v>42934</v>
          </cell>
          <cell r="B3016">
            <v>2.83</v>
          </cell>
        </row>
        <row r="3017">
          <cell r="A3017">
            <v>42935</v>
          </cell>
          <cell r="B3017">
            <v>2.84</v>
          </cell>
        </row>
        <row r="3018">
          <cell r="A3018">
            <v>42936</v>
          </cell>
          <cell r="B3018">
            <v>2.84</v>
          </cell>
        </row>
        <row r="3019">
          <cell r="A3019">
            <v>42937</v>
          </cell>
          <cell r="B3019">
            <v>2.81</v>
          </cell>
        </row>
        <row r="3020">
          <cell r="A3020">
            <v>42940</v>
          </cell>
          <cell r="B3020">
            <v>2.84</v>
          </cell>
        </row>
        <row r="3021">
          <cell r="A3021">
            <v>42941</v>
          </cell>
          <cell r="B3021">
            <v>2.9</v>
          </cell>
        </row>
        <row r="3022">
          <cell r="A3022">
            <v>42942</v>
          </cell>
          <cell r="B3022">
            <v>2.86</v>
          </cell>
        </row>
        <row r="3023">
          <cell r="A3023">
            <v>42943</v>
          </cell>
          <cell r="B3023">
            <v>2.88</v>
          </cell>
        </row>
        <row r="3024">
          <cell r="A3024">
            <v>42944</v>
          </cell>
          <cell r="B3024">
            <v>2.86</v>
          </cell>
        </row>
        <row r="3025">
          <cell r="A3025">
            <v>42947</v>
          </cell>
          <cell r="B3025">
            <v>2.88</v>
          </cell>
        </row>
        <row r="3026">
          <cell r="A3026">
            <v>42948</v>
          </cell>
          <cell r="B3026">
            <v>2.84</v>
          </cell>
        </row>
        <row r="3027">
          <cell r="A3027">
            <v>42949</v>
          </cell>
          <cell r="B3027">
            <v>2.86</v>
          </cell>
        </row>
        <row r="3028">
          <cell r="A3028">
            <v>42950</v>
          </cell>
          <cell r="B3028">
            <v>2.83</v>
          </cell>
        </row>
        <row r="3029">
          <cell r="A3029">
            <v>42951</v>
          </cell>
          <cell r="B3029">
            <v>2.87</v>
          </cell>
        </row>
        <row r="3030">
          <cell r="A3030">
            <v>42954</v>
          </cell>
          <cell r="B3030">
            <v>2.85</v>
          </cell>
        </row>
        <row r="3031">
          <cell r="A3031">
            <v>42955</v>
          </cell>
          <cell r="B3031">
            <v>2.88</v>
          </cell>
        </row>
        <row r="3032">
          <cell r="A3032">
            <v>42956</v>
          </cell>
          <cell r="B3032">
            <v>2.86</v>
          </cell>
        </row>
        <row r="3033">
          <cell r="A3033">
            <v>42957</v>
          </cell>
          <cell r="B3033">
            <v>2.85</v>
          </cell>
        </row>
        <row r="3034">
          <cell r="A3034">
            <v>42958</v>
          </cell>
          <cell r="B3034">
            <v>2.84</v>
          </cell>
        </row>
        <row r="3035">
          <cell r="A3035">
            <v>42961</v>
          </cell>
          <cell r="B3035">
            <v>2.86</v>
          </cell>
        </row>
        <row r="3036">
          <cell r="A3036">
            <v>42962</v>
          </cell>
          <cell r="B3036">
            <v>2.89</v>
          </cell>
        </row>
        <row r="3037">
          <cell r="A3037">
            <v>42963</v>
          </cell>
          <cell r="B3037">
            <v>2.85</v>
          </cell>
        </row>
        <row r="3038">
          <cell r="A3038">
            <v>42964</v>
          </cell>
          <cell r="B3038">
            <v>2.83</v>
          </cell>
        </row>
        <row r="3039">
          <cell r="A3039">
            <v>42965</v>
          </cell>
          <cell r="B3039">
            <v>2.83</v>
          </cell>
        </row>
        <row r="3040">
          <cell r="A3040">
            <v>42968</v>
          </cell>
          <cell r="B3040">
            <v>2.82</v>
          </cell>
        </row>
        <row r="3041">
          <cell r="A3041">
            <v>42969</v>
          </cell>
          <cell r="B3041">
            <v>2.84</v>
          </cell>
        </row>
        <row r="3042">
          <cell r="A3042">
            <v>42970</v>
          </cell>
          <cell r="B3042">
            <v>2.81</v>
          </cell>
        </row>
        <row r="3043">
          <cell r="A3043">
            <v>42971</v>
          </cell>
          <cell r="B3043">
            <v>2.83</v>
          </cell>
        </row>
        <row r="3044">
          <cell r="A3044">
            <v>42972</v>
          </cell>
          <cell r="B3044">
            <v>2.81</v>
          </cell>
        </row>
        <row r="3045">
          <cell r="A3045">
            <v>42975</v>
          </cell>
          <cell r="B3045">
            <v>2.8</v>
          </cell>
        </row>
        <row r="3046">
          <cell r="A3046">
            <v>42976</v>
          </cell>
          <cell r="B3046">
            <v>2.79</v>
          </cell>
        </row>
        <row r="3047">
          <cell r="A3047">
            <v>42977</v>
          </cell>
          <cell r="B3047">
            <v>2.8</v>
          </cell>
        </row>
        <row r="3048">
          <cell r="A3048">
            <v>42978</v>
          </cell>
          <cell r="B3048">
            <v>2.79</v>
          </cell>
        </row>
        <row r="3049">
          <cell r="A3049">
            <v>42979</v>
          </cell>
          <cell r="B3049">
            <v>2.82</v>
          </cell>
        </row>
        <row r="3050">
          <cell r="A3050">
            <v>42982</v>
          </cell>
          <cell r="B3050">
            <v>2.82</v>
          </cell>
        </row>
        <row r="3051">
          <cell r="A3051">
            <v>42983</v>
          </cell>
          <cell r="B3051">
            <v>2.75</v>
          </cell>
        </row>
        <row r="3052">
          <cell r="A3052">
            <v>42984</v>
          </cell>
          <cell r="B3052">
            <v>2.79</v>
          </cell>
        </row>
        <row r="3053">
          <cell r="A3053">
            <v>42985</v>
          </cell>
          <cell r="B3053">
            <v>2.76</v>
          </cell>
        </row>
        <row r="3054">
          <cell r="A3054">
            <v>42986</v>
          </cell>
          <cell r="B3054">
            <v>2.77</v>
          </cell>
        </row>
        <row r="3055">
          <cell r="A3055">
            <v>42989</v>
          </cell>
          <cell r="B3055">
            <v>2.82</v>
          </cell>
        </row>
        <row r="3056">
          <cell r="A3056">
            <v>42990</v>
          </cell>
          <cell r="B3056">
            <v>2.85</v>
          </cell>
        </row>
        <row r="3057">
          <cell r="A3057">
            <v>42991</v>
          </cell>
          <cell r="B3057">
            <v>2.86</v>
          </cell>
        </row>
        <row r="3058">
          <cell r="A3058">
            <v>42992</v>
          </cell>
          <cell r="B3058">
            <v>2.85</v>
          </cell>
        </row>
        <row r="3059">
          <cell r="A3059">
            <v>42993</v>
          </cell>
          <cell r="B3059">
            <v>2.85</v>
          </cell>
        </row>
        <row r="3060">
          <cell r="A3060">
            <v>42996</v>
          </cell>
          <cell r="B3060">
            <v>2.87</v>
          </cell>
        </row>
        <row r="3061">
          <cell r="A3061">
            <v>42997</v>
          </cell>
          <cell r="B3061">
            <v>2.87</v>
          </cell>
        </row>
        <row r="3062">
          <cell r="A3062">
            <v>42998</v>
          </cell>
          <cell r="B3062">
            <v>2.88</v>
          </cell>
        </row>
        <row r="3063">
          <cell r="A3063">
            <v>42999</v>
          </cell>
          <cell r="B3063">
            <v>2.88</v>
          </cell>
        </row>
        <row r="3064">
          <cell r="A3064">
            <v>43000</v>
          </cell>
          <cell r="B3064">
            <v>2.86</v>
          </cell>
        </row>
        <row r="3065">
          <cell r="A3065">
            <v>43003</v>
          </cell>
          <cell r="B3065">
            <v>2.83</v>
          </cell>
        </row>
        <row r="3066">
          <cell r="A3066">
            <v>43004</v>
          </cell>
          <cell r="B3066">
            <v>2.83</v>
          </cell>
        </row>
        <row r="3067">
          <cell r="A3067">
            <v>43005</v>
          </cell>
          <cell r="B3067">
            <v>2.89</v>
          </cell>
        </row>
        <row r="3068">
          <cell r="A3068">
            <v>43006</v>
          </cell>
          <cell r="B3068">
            <v>2.86</v>
          </cell>
        </row>
        <row r="3069">
          <cell r="A3069">
            <v>43007</v>
          </cell>
          <cell r="B3069">
            <v>2.87</v>
          </cell>
        </row>
        <row r="3070">
          <cell r="A3070">
            <v>43008</v>
          </cell>
          <cell r="B3070">
            <v>2.87</v>
          </cell>
        </row>
        <row r="3071">
          <cell r="A3071">
            <v>43010</v>
          </cell>
          <cell r="B3071">
            <v>2.87</v>
          </cell>
        </row>
        <row r="3072">
          <cell r="A3072">
            <v>43011</v>
          </cell>
          <cell r="B3072">
            <v>2.85</v>
          </cell>
        </row>
        <row r="3073">
          <cell r="A3073">
            <v>43012</v>
          </cell>
          <cell r="B3073">
            <v>2.85</v>
          </cell>
        </row>
        <row r="3074">
          <cell r="A3074">
            <v>43013</v>
          </cell>
          <cell r="B3074">
            <v>2.87</v>
          </cell>
        </row>
        <row r="3075">
          <cell r="A3075">
            <v>43014</v>
          </cell>
          <cell r="B3075">
            <v>2.88</v>
          </cell>
        </row>
        <row r="3076">
          <cell r="A3076">
            <v>43017</v>
          </cell>
          <cell r="B3076">
            <v>2.88</v>
          </cell>
        </row>
        <row r="3077">
          <cell r="A3077">
            <v>43018</v>
          </cell>
          <cell r="B3077">
            <v>2.86</v>
          </cell>
        </row>
        <row r="3078">
          <cell r="A3078">
            <v>43019</v>
          </cell>
          <cell r="B3078">
            <v>2.86</v>
          </cell>
        </row>
        <row r="3079">
          <cell r="A3079">
            <v>43020</v>
          </cell>
          <cell r="B3079">
            <v>2.85</v>
          </cell>
        </row>
        <row r="3080">
          <cell r="A3080">
            <v>43021</v>
          </cell>
          <cell r="B3080">
            <v>2.82</v>
          </cell>
        </row>
        <row r="3081">
          <cell r="A3081">
            <v>43024</v>
          </cell>
          <cell r="B3081">
            <v>2.85</v>
          </cell>
        </row>
        <row r="3082">
          <cell r="A3082">
            <v>43025</v>
          </cell>
          <cell r="B3082">
            <v>2.84</v>
          </cell>
        </row>
        <row r="3083">
          <cell r="A3083">
            <v>43026</v>
          </cell>
          <cell r="B3083">
            <v>2.86</v>
          </cell>
        </row>
        <row r="3084">
          <cell r="A3084">
            <v>43027</v>
          </cell>
          <cell r="B3084">
            <v>2.85</v>
          </cell>
        </row>
        <row r="3085">
          <cell r="A3085">
            <v>43028</v>
          </cell>
          <cell r="B3085">
            <v>2.89</v>
          </cell>
        </row>
        <row r="3086">
          <cell r="A3086">
            <v>43031</v>
          </cell>
          <cell r="B3086">
            <v>2.88</v>
          </cell>
        </row>
        <row r="3087">
          <cell r="A3087">
            <v>43032</v>
          </cell>
          <cell r="B3087">
            <v>2.89</v>
          </cell>
        </row>
        <row r="3088">
          <cell r="A3088">
            <v>43033</v>
          </cell>
          <cell r="B3088">
            <v>2.93</v>
          </cell>
        </row>
        <row r="3089">
          <cell r="A3089">
            <v>43034</v>
          </cell>
          <cell r="B3089">
            <v>2.93</v>
          </cell>
        </row>
        <row r="3090">
          <cell r="A3090">
            <v>43035</v>
          </cell>
          <cell r="B3090">
            <v>2.91</v>
          </cell>
        </row>
        <row r="3091">
          <cell r="A3091">
            <v>43038</v>
          </cell>
          <cell r="B3091">
            <v>2.87</v>
          </cell>
        </row>
        <row r="3092">
          <cell r="A3092">
            <v>43039</v>
          </cell>
          <cell r="B3092">
            <v>2.89</v>
          </cell>
        </row>
        <row r="3093">
          <cell r="A3093">
            <v>43040</v>
          </cell>
          <cell r="B3093">
            <v>2.9</v>
          </cell>
        </row>
        <row r="3094">
          <cell r="A3094">
            <v>43041</v>
          </cell>
          <cell r="B3094">
            <v>2.87</v>
          </cell>
        </row>
        <row r="3095">
          <cell r="A3095">
            <v>43042</v>
          </cell>
          <cell r="B3095">
            <v>2.87</v>
          </cell>
        </row>
        <row r="3096">
          <cell r="A3096">
            <v>43045</v>
          </cell>
          <cell r="B3096">
            <v>2.86</v>
          </cell>
        </row>
        <row r="3097">
          <cell r="A3097">
            <v>43046</v>
          </cell>
          <cell r="B3097">
            <v>2.87</v>
          </cell>
        </row>
        <row r="3098">
          <cell r="A3098">
            <v>43047</v>
          </cell>
          <cell r="B3098">
            <v>2.9</v>
          </cell>
        </row>
        <row r="3099">
          <cell r="A3099">
            <v>43048</v>
          </cell>
          <cell r="B3099">
            <v>2.92</v>
          </cell>
        </row>
        <row r="3100">
          <cell r="A3100">
            <v>43049</v>
          </cell>
          <cell r="B3100">
            <v>2.99</v>
          </cell>
        </row>
        <row r="3101">
          <cell r="A3101">
            <v>43052</v>
          </cell>
          <cell r="B3101">
            <v>2.98</v>
          </cell>
        </row>
        <row r="3102">
          <cell r="A3102">
            <v>43053</v>
          </cell>
          <cell r="B3102">
            <v>2.97</v>
          </cell>
        </row>
        <row r="3103">
          <cell r="A3103">
            <v>43054</v>
          </cell>
          <cell r="B3103">
            <v>2.94</v>
          </cell>
        </row>
        <row r="3104">
          <cell r="A3104">
            <v>43055</v>
          </cell>
          <cell r="B3104">
            <v>2.96</v>
          </cell>
        </row>
        <row r="3105">
          <cell r="A3105">
            <v>43056</v>
          </cell>
          <cell r="B3105">
            <v>2.95</v>
          </cell>
        </row>
        <row r="3106">
          <cell r="A3106">
            <v>43059</v>
          </cell>
          <cell r="B3106">
            <v>2.96</v>
          </cell>
        </row>
        <row r="3107">
          <cell r="A3107">
            <v>43060</v>
          </cell>
          <cell r="B3107">
            <v>2.94</v>
          </cell>
        </row>
        <row r="3108">
          <cell r="A3108">
            <v>43061</v>
          </cell>
          <cell r="B3108">
            <v>2.89</v>
          </cell>
        </row>
        <row r="3109">
          <cell r="A3109">
            <v>43062</v>
          </cell>
          <cell r="B3109">
            <v>2.89</v>
          </cell>
        </row>
        <row r="3110">
          <cell r="A3110">
            <v>43063</v>
          </cell>
          <cell r="B3110">
            <v>2.9</v>
          </cell>
        </row>
        <row r="3111">
          <cell r="A3111">
            <v>43066</v>
          </cell>
          <cell r="B3111">
            <v>2.9</v>
          </cell>
        </row>
        <row r="3112">
          <cell r="A3112">
            <v>43067</v>
          </cell>
          <cell r="B3112">
            <v>2.91</v>
          </cell>
        </row>
        <row r="3113">
          <cell r="A3113">
            <v>43068</v>
          </cell>
          <cell r="B3113">
            <v>2.94</v>
          </cell>
        </row>
        <row r="3114">
          <cell r="A3114">
            <v>43069</v>
          </cell>
          <cell r="B3114">
            <v>2.99</v>
          </cell>
        </row>
        <row r="3115">
          <cell r="A3115">
            <v>43070</v>
          </cell>
          <cell r="B3115">
            <v>2.94</v>
          </cell>
        </row>
        <row r="3116">
          <cell r="A3116">
            <v>43073</v>
          </cell>
          <cell r="B3116">
            <v>2.95</v>
          </cell>
        </row>
        <row r="3117">
          <cell r="A3117">
            <v>43074</v>
          </cell>
          <cell r="B3117">
            <v>2.93</v>
          </cell>
        </row>
        <row r="3118">
          <cell r="A3118">
            <v>43075</v>
          </cell>
          <cell r="B3118">
            <v>2.92</v>
          </cell>
        </row>
        <row r="3119">
          <cell r="A3119">
            <v>43076</v>
          </cell>
          <cell r="B3119">
            <v>2.96</v>
          </cell>
        </row>
        <row r="3120">
          <cell r="A3120">
            <v>43077</v>
          </cell>
          <cell r="B3120">
            <v>2.96</v>
          </cell>
        </row>
        <row r="3121">
          <cell r="A3121">
            <v>43080</v>
          </cell>
          <cell r="B3121">
            <v>2.96</v>
          </cell>
        </row>
        <row r="3122">
          <cell r="A3122">
            <v>43081</v>
          </cell>
          <cell r="B3122">
            <v>2.97</v>
          </cell>
        </row>
        <row r="3123">
          <cell r="A3123">
            <v>43082</v>
          </cell>
          <cell r="B3123">
            <v>2.91</v>
          </cell>
        </row>
        <row r="3124">
          <cell r="A3124">
            <v>43083</v>
          </cell>
          <cell r="B3124">
            <v>2.91</v>
          </cell>
        </row>
        <row r="3125">
          <cell r="A3125">
            <v>43084</v>
          </cell>
          <cell r="B3125">
            <v>2.91</v>
          </cell>
        </row>
        <row r="3126">
          <cell r="A3126">
            <v>43087</v>
          </cell>
          <cell r="B3126">
            <v>2.94</v>
          </cell>
        </row>
        <row r="3127">
          <cell r="A3127">
            <v>43088</v>
          </cell>
          <cell r="B3127">
            <v>2.99</v>
          </cell>
        </row>
        <row r="3128">
          <cell r="A3128">
            <v>43089</v>
          </cell>
          <cell r="B3128">
            <v>3.03</v>
          </cell>
        </row>
        <row r="3129">
          <cell r="A3129">
            <v>43090</v>
          </cell>
          <cell r="B3129">
            <v>3</v>
          </cell>
        </row>
        <row r="3130">
          <cell r="A3130">
            <v>43091</v>
          </cell>
          <cell r="B3130">
            <v>3.01</v>
          </cell>
        </row>
        <row r="3131">
          <cell r="A3131">
            <v>43095</v>
          </cell>
          <cell r="B3131">
            <v>2.99</v>
          </cell>
        </row>
        <row r="3132">
          <cell r="A3132">
            <v>43096</v>
          </cell>
          <cell r="B3132">
            <v>2.94</v>
          </cell>
        </row>
        <row r="3133">
          <cell r="A3133">
            <v>43097</v>
          </cell>
          <cell r="B3133">
            <v>2.95</v>
          </cell>
        </row>
        <row r="3134">
          <cell r="A3134">
            <v>43098</v>
          </cell>
          <cell r="B3134">
            <v>2.93</v>
          </cell>
        </row>
        <row r="3135">
          <cell r="A3135">
            <v>43100</v>
          </cell>
          <cell r="B3135">
            <v>2.95</v>
          </cell>
        </row>
        <row r="3136">
          <cell r="A3136">
            <v>43102</v>
          </cell>
          <cell r="B3136">
            <v>3.01</v>
          </cell>
        </row>
        <row r="3137">
          <cell r="A3137">
            <v>43103</v>
          </cell>
          <cell r="B3137">
            <v>3</v>
          </cell>
        </row>
        <row r="3138">
          <cell r="A3138">
            <v>43104</v>
          </cell>
          <cell r="B3138">
            <v>3.01</v>
          </cell>
        </row>
        <row r="3139">
          <cell r="A3139">
            <v>43105</v>
          </cell>
          <cell r="B3139">
            <v>3.02</v>
          </cell>
        </row>
        <row r="3140">
          <cell r="A3140">
            <v>43108</v>
          </cell>
          <cell r="B3140">
            <v>3.02</v>
          </cell>
        </row>
        <row r="3141">
          <cell r="A3141">
            <v>43109</v>
          </cell>
          <cell r="B3141">
            <v>3.06</v>
          </cell>
        </row>
        <row r="3142">
          <cell r="A3142">
            <v>43110</v>
          </cell>
          <cell r="B3142">
            <v>3.06</v>
          </cell>
        </row>
        <row r="3143">
          <cell r="A3143">
            <v>43111</v>
          </cell>
          <cell r="B3143">
            <v>3.04</v>
          </cell>
        </row>
        <row r="3144">
          <cell r="A3144">
            <v>43112</v>
          </cell>
          <cell r="B3144">
            <v>3.04</v>
          </cell>
        </row>
        <row r="3145">
          <cell r="A3145">
            <v>43115</v>
          </cell>
          <cell r="B3145">
            <v>3.04</v>
          </cell>
        </row>
        <row r="3146">
          <cell r="A3146">
            <v>43116</v>
          </cell>
          <cell r="B3146">
            <v>3.04</v>
          </cell>
        </row>
        <row r="3147">
          <cell r="A3147">
            <v>43117</v>
          </cell>
          <cell r="B3147">
            <v>3.06</v>
          </cell>
        </row>
        <row r="3148">
          <cell r="A3148">
            <v>43118</v>
          </cell>
          <cell r="B3148">
            <v>3.09</v>
          </cell>
        </row>
        <row r="3149">
          <cell r="A3149">
            <v>43119</v>
          </cell>
          <cell r="B3149">
            <v>3.12</v>
          </cell>
        </row>
        <row r="3150">
          <cell r="A3150">
            <v>43122</v>
          </cell>
          <cell r="B3150">
            <v>3.14</v>
          </cell>
        </row>
        <row r="3151">
          <cell r="A3151">
            <v>43123</v>
          </cell>
          <cell r="B3151">
            <v>3.12</v>
          </cell>
        </row>
        <row r="3152">
          <cell r="A3152">
            <v>43124</v>
          </cell>
          <cell r="B3152">
            <v>3.14</v>
          </cell>
        </row>
        <row r="3153">
          <cell r="A3153">
            <v>43125</v>
          </cell>
          <cell r="B3153">
            <v>3.1</v>
          </cell>
        </row>
        <row r="3154">
          <cell r="A3154">
            <v>43126</v>
          </cell>
          <cell r="B3154">
            <v>3.13</v>
          </cell>
        </row>
        <row r="3155">
          <cell r="A3155">
            <v>43129</v>
          </cell>
          <cell r="B3155">
            <v>3.15</v>
          </cell>
        </row>
        <row r="3156">
          <cell r="A3156">
            <v>43130</v>
          </cell>
          <cell r="B3156">
            <v>3.18</v>
          </cell>
        </row>
        <row r="3157">
          <cell r="A3157">
            <v>43131</v>
          </cell>
          <cell r="B3157">
            <v>3.18</v>
          </cell>
        </row>
        <row r="3158">
          <cell r="A3158">
            <v>43132</v>
          </cell>
          <cell r="B3158">
            <v>3.21</v>
          </cell>
        </row>
        <row r="3159">
          <cell r="A3159">
            <v>43133</v>
          </cell>
          <cell r="B3159">
            <v>3.26</v>
          </cell>
        </row>
        <row r="3160">
          <cell r="A3160">
            <v>43136</v>
          </cell>
          <cell r="B3160">
            <v>3.21</v>
          </cell>
        </row>
        <row r="3161">
          <cell r="A3161">
            <v>43137</v>
          </cell>
          <cell r="B3161">
            <v>3.21</v>
          </cell>
        </row>
        <row r="3162">
          <cell r="A3162">
            <v>43138</v>
          </cell>
          <cell r="B3162">
            <v>3.25</v>
          </cell>
        </row>
        <row r="3163">
          <cell r="A3163">
            <v>43139</v>
          </cell>
          <cell r="B3163">
            <v>3.28</v>
          </cell>
        </row>
        <row r="3164">
          <cell r="A3164">
            <v>43140</v>
          </cell>
          <cell r="B3164">
            <v>3.28</v>
          </cell>
        </row>
        <row r="3165">
          <cell r="A3165">
            <v>43143</v>
          </cell>
          <cell r="B3165">
            <v>3.3</v>
          </cell>
        </row>
        <row r="3166">
          <cell r="A3166">
            <v>43144</v>
          </cell>
          <cell r="B3166">
            <v>3.32</v>
          </cell>
        </row>
        <row r="3167">
          <cell r="A3167">
            <v>43145</v>
          </cell>
          <cell r="B3167">
            <v>3.37</v>
          </cell>
        </row>
        <row r="3168">
          <cell r="A3168">
            <v>43146</v>
          </cell>
          <cell r="B3168">
            <v>3.34</v>
          </cell>
        </row>
        <row r="3169">
          <cell r="A3169">
            <v>43147</v>
          </cell>
          <cell r="B3169">
            <v>3.33</v>
          </cell>
        </row>
        <row r="3170">
          <cell r="A3170">
            <v>43150</v>
          </cell>
          <cell r="B3170">
            <v>3.33</v>
          </cell>
        </row>
        <row r="3171">
          <cell r="A3171">
            <v>43151</v>
          </cell>
          <cell r="B3171">
            <v>3.35</v>
          </cell>
        </row>
        <row r="3172">
          <cell r="A3172">
            <v>43152</v>
          </cell>
          <cell r="B3172">
            <v>3.4</v>
          </cell>
        </row>
        <row r="3173">
          <cell r="A3173">
            <v>43153</v>
          </cell>
          <cell r="B3173">
            <v>3.37</v>
          </cell>
        </row>
        <row r="3174">
          <cell r="A3174">
            <v>43154</v>
          </cell>
          <cell r="B3174">
            <v>3.35</v>
          </cell>
        </row>
        <row r="3175">
          <cell r="A3175">
            <v>43157</v>
          </cell>
          <cell r="B3175">
            <v>3.33</v>
          </cell>
        </row>
        <row r="3176">
          <cell r="A3176">
            <v>43158</v>
          </cell>
          <cell r="B3176">
            <v>3.38</v>
          </cell>
        </row>
        <row r="3177">
          <cell r="A3177">
            <v>43159</v>
          </cell>
          <cell r="B3177">
            <v>3.38</v>
          </cell>
        </row>
        <row r="3178">
          <cell r="A3178">
            <v>43160</v>
          </cell>
          <cell r="B3178">
            <v>3.35</v>
          </cell>
        </row>
        <row r="3179">
          <cell r="A3179">
            <v>43161</v>
          </cell>
          <cell r="B3179">
            <v>3.4</v>
          </cell>
        </row>
        <row r="3180">
          <cell r="A3180">
            <v>43164</v>
          </cell>
          <cell r="B3180">
            <v>3.42</v>
          </cell>
        </row>
        <row r="3181">
          <cell r="A3181">
            <v>43165</v>
          </cell>
          <cell r="B3181">
            <v>3.4</v>
          </cell>
        </row>
        <row r="3182">
          <cell r="A3182">
            <v>43166</v>
          </cell>
          <cell r="B3182">
            <v>3.41</v>
          </cell>
        </row>
        <row r="3183">
          <cell r="A3183">
            <v>43167</v>
          </cell>
          <cell r="B3183">
            <v>3.39</v>
          </cell>
        </row>
        <row r="3184">
          <cell r="A3184">
            <v>43168</v>
          </cell>
          <cell r="B3184">
            <v>3.42</v>
          </cell>
        </row>
        <row r="3185">
          <cell r="A3185">
            <v>43171</v>
          </cell>
          <cell r="B3185">
            <v>3.4</v>
          </cell>
        </row>
        <row r="3186">
          <cell r="A3186">
            <v>43172</v>
          </cell>
          <cell r="B3186">
            <v>3.4</v>
          </cell>
        </row>
        <row r="3187">
          <cell r="A3187">
            <v>43173</v>
          </cell>
          <cell r="B3187">
            <v>3.39</v>
          </cell>
        </row>
        <row r="3188">
          <cell r="A3188">
            <v>43174</v>
          </cell>
          <cell r="B3188">
            <v>3.39</v>
          </cell>
        </row>
        <row r="3189">
          <cell r="A3189">
            <v>43175</v>
          </cell>
          <cell r="B3189">
            <v>3.41</v>
          </cell>
        </row>
        <row r="3190">
          <cell r="A3190">
            <v>43178</v>
          </cell>
          <cell r="B3190">
            <v>3.4</v>
          </cell>
        </row>
        <row r="3191">
          <cell r="A3191">
            <v>43179</v>
          </cell>
          <cell r="B3191">
            <v>3.44</v>
          </cell>
        </row>
        <row r="3192">
          <cell r="A3192">
            <v>43180</v>
          </cell>
          <cell r="B3192">
            <v>3.47</v>
          </cell>
        </row>
        <row r="3193">
          <cell r="A3193">
            <v>43181</v>
          </cell>
          <cell r="B3193">
            <v>3.42</v>
          </cell>
        </row>
        <row r="3194">
          <cell r="A3194">
            <v>43182</v>
          </cell>
          <cell r="B3194">
            <v>3.43</v>
          </cell>
        </row>
        <row r="3195">
          <cell r="A3195">
            <v>43185</v>
          </cell>
          <cell r="B3195">
            <v>3.44</v>
          </cell>
        </row>
        <row r="3196">
          <cell r="A3196">
            <v>43186</v>
          </cell>
          <cell r="B3196">
            <v>3.39</v>
          </cell>
        </row>
        <row r="3197">
          <cell r="A3197">
            <v>43187</v>
          </cell>
          <cell r="B3197">
            <v>3.38</v>
          </cell>
        </row>
        <row r="3198">
          <cell r="A3198">
            <v>43188</v>
          </cell>
          <cell r="B3198">
            <v>3.35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3035"/>
  <sheetViews>
    <sheetView workbookViewId="0"/>
  </sheetViews>
  <sheetFormatPr baseColWidth="10" defaultRowHeight="16" x14ac:dyDescent="0.2"/>
  <cols>
    <col min="5" max="5" width="16.6640625" bestFit="1" customWidth="1"/>
    <col min="12" max="12" width="10.83203125" style="2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</row>
    <row r="2" spans="1:12" x14ac:dyDescent="0.2">
      <c r="A2" s="3">
        <v>38771</v>
      </c>
      <c r="B2" s="2">
        <v>1672.29</v>
      </c>
      <c r="C2" s="2">
        <v>1687.59</v>
      </c>
      <c r="D2" s="2">
        <v>1669.81</v>
      </c>
      <c r="E2" s="2">
        <v>2678174784721</v>
      </c>
      <c r="F2" s="2">
        <v>0</v>
      </c>
      <c r="G2">
        <v>1009.19</v>
      </c>
      <c r="H2">
        <v>1018.81</v>
      </c>
      <c r="I2">
        <v>1008.49</v>
      </c>
      <c r="J2">
        <v>1251640892876</v>
      </c>
      <c r="K2">
        <v>0</v>
      </c>
      <c r="L2" s="2">
        <f>VLOOKUP(A2,[1]aaabonddata!$A:$B,2,0)</f>
        <v>5.28</v>
      </c>
    </row>
    <row r="3" spans="1:12" x14ac:dyDescent="0.2">
      <c r="A3" s="3">
        <v>38772</v>
      </c>
      <c r="B3" s="2">
        <v>1676.5</v>
      </c>
      <c r="C3" s="2">
        <v>1678.15</v>
      </c>
      <c r="D3" s="2">
        <v>1666.97</v>
      </c>
      <c r="E3" s="2">
        <v>2684922218572</v>
      </c>
      <c r="F3" s="2">
        <v>0</v>
      </c>
      <c r="G3">
        <v>1012.07</v>
      </c>
      <c r="H3">
        <v>1014.91</v>
      </c>
      <c r="I3">
        <v>1006.61</v>
      </c>
      <c r="J3">
        <v>1255213080250</v>
      </c>
      <c r="K3">
        <v>0</v>
      </c>
      <c r="L3" s="2">
        <f>VLOOKUP(A3,[1]aaabonddata!$A:$B,2,0)</f>
        <v>5.27</v>
      </c>
    </row>
    <row r="4" spans="1:12" x14ac:dyDescent="0.2">
      <c r="A4" s="3">
        <v>38775</v>
      </c>
      <c r="B4" s="2">
        <v>1695.66</v>
      </c>
      <c r="C4" s="2">
        <v>1701.1</v>
      </c>
      <c r="D4" s="2">
        <v>1680.43</v>
      </c>
      <c r="E4" s="2">
        <v>2715607737007</v>
      </c>
      <c r="F4" s="2">
        <v>25473061</v>
      </c>
      <c r="G4">
        <v>1021.07</v>
      </c>
      <c r="H4">
        <v>1024.57</v>
      </c>
      <c r="I4">
        <v>1012.87</v>
      </c>
      <c r="J4">
        <v>1266371322722</v>
      </c>
      <c r="K4">
        <v>0</v>
      </c>
      <c r="L4" s="2">
        <f>VLOOKUP(A4,[1]aaabonddata!$A:$B,2,0)</f>
        <v>5.29</v>
      </c>
    </row>
    <row r="5" spans="1:12" x14ac:dyDescent="0.2">
      <c r="A5" s="3">
        <v>38776</v>
      </c>
      <c r="B5" s="2">
        <v>1670.57</v>
      </c>
      <c r="C5" s="2">
        <v>1695.35</v>
      </c>
      <c r="D5" s="2">
        <v>1665.63</v>
      </c>
      <c r="E5" s="2">
        <v>2675429621331</v>
      </c>
      <c r="F5" s="2">
        <v>0</v>
      </c>
      <c r="G5">
        <v>1009.84</v>
      </c>
      <c r="H5">
        <v>1024.3399999999999</v>
      </c>
      <c r="I5">
        <v>1006.91</v>
      </c>
      <c r="J5">
        <v>1252445443457</v>
      </c>
      <c r="K5">
        <v>0</v>
      </c>
      <c r="L5" s="2">
        <f>VLOOKUP(A5,[1]aaabonddata!$A:$B,2,0)</f>
        <v>5.25</v>
      </c>
    </row>
    <row r="6" spans="1:12" x14ac:dyDescent="0.2">
      <c r="A6" s="3">
        <v>38777</v>
      </c>
      <c r="B6" s="2">
        <v>1694.58</v>
      </c>
      <c r="C6" s="2">
        <v>1697.25</v>
      </c>
      <c r="D6" s="2">
        <v>1672.6</v>
      </c>
      <c r="E6" s="2">
        <v>2713882927124</v>
      </c>
      <c r="F6" s="2">
        <v>0</v>
      </c>
      <c r="G6">
        <v>1035.21</v>
      </c>
      <c r="H6">
        <v>1036.92</v>
      </c>
      <c r="I6">
        <v>1014.7</v>
      </c>
      <c r="J6">
        <v>1283914984383</v>
      </c>
      <c r="K6">
        <v>0</v>
      </c>
      <c r="L6" s="2">
        <f>VLOOKUP(A6,[1]aaabonddata!$A:$B,2,0)</f>
        <v>5.28</v>
      </c>
    </row>
    <row r="7" spans="1:12" x14ac:dyDescent="0.2">
      <c r="A7" s="3">
        <v>38778</v>
      </c>
      <c r="B7" s="2">
        <v>1693.78</v>
      </c>
      <c r="C7" s="2">
        <v>1699.72</v>
      </c>
      <c r="D7" s="2">
        <v>1683.38</v>
      </c>
      <c r="E7" s="2">
        <v>2712594933568</v>
      </c>
      <c r="F7" s="2">
        <v>0</v>
      </c>
      <c r="G7">
        <v>1037.72</v>
      </c>
      <c r="H7">
        <v>1041.2</v>
      </c>
      <c r="I7">
        <v>1030.6099999999999</v>
      </c>
      <c r="J7">
        <v>1287032777254</v>
      </c>
      <c r="K7">
        <v>0</v>
      </c>
      <c r="L7" s="2">
        <f>VLOOKUP(A7,[1]aaabonddata!$A:$B,2,0)</f>
        <v>5.31</v>
      </c>
    </row>
    <row r="8" spans="1:12" x14ac:dyDescent="0.2">
      <c r="A8" s="3">
        <v>38779</v>
      </c>
      <c r="B8" s="2">
        <v>1684.32</v>
      </c>
      <c r="C8" s="2">
        <v>1706.41</v>
      </c>
      <c r="D8" s="2">
        <v>1682.71</v>
      </c>
      <c r="E8" s="2">
        <v>2697440337283</v>
      </c>
      <c r="F8" s="2">
        <v>0</v>
      </c>
      <c r="G8">
        <v>1036.26</v>
      </c>
      <c r="H8">
        <v>1050.4000000000001</v>
      </c>
      <c r="I8">
        <v>1029.8599999999999</v>
      </c>
      <c r="J8">
        <v>1285212502068</v>
      </c>
      <c r="K8">
        <v>0</v>
      </c>
      <c r="L8" s="2">
        <f>VLOOKUP(A8,[1]aaabonddata!$A:$B,2,0)</f>
        <v>5.35</v>
      </c>
    </row>
    <row r="9" spans="1:12" x14ac:dyDescent="0.2">
      <c r="A9" s="3">
        <v>38782</v>
      </c>
      <c r="B9" s="2">
        <v>1669.94</v>
      </c>
      <c r="C9" s="2">
        <v>1691.11</v>
      </c>
      <c r="D9" s="2">
        <v>1665.37</v>
      </c>
      <c r="E9" s="2">
        <v>2678451285338</v>
      </c>
      <c r="F9" s="2">
        <v>54520766</v>
      </c>
      <c r="G9">
        <v>1023.04</v>
      </c>
      <c r="H9">
        <v>1040.77</v>
      </c>
      <c r="I9">
        <v>1018.32</v>
      </c>
      <c r="J9">
        <v>1268824179513</v>
      </c>
      <c r="K9">
        <v>0</v>
      </c>
      <c r="L9" s="2">
        <f>VLOOKUP(A9,[1]aaabonddata!$A:$B,2,0)</f>
        <v>5.39</v>
      </c>
    </row>
    <row r="10" spans="1:12" x14ac:dyDescent="0.2">
      <c r="A10" s="3">
        <v>38783</v>
      </c>
      <c r="B10" s="2">
        <v>1661.02</v>
      </c>
      <c r="C10" s="2">
        <v>1668.82</v>
      </c>
      <c r="D10" s="2">
        <v>1652.59</v>
      </c>
      <c r="E10" s="2">
        <v>2664148567764</v>
      </c>
      <c r="F10" s="2">
        <v>25220128</v>
      </c>
      <c r="G10">
        <v>1010.95</v>
      </c>
      <c r="H10">
        <v>1018.14</v>
      </c>
      <c r="I10">
        <v>1006.13</v>
      </c>
      <c r="J10">
        <v>1253826665683</v>
      </c>
      <c r="K10">
        <v>0</v>
      </c>
      <c r="L10" s="2">
        <f>VLOOKUP(A10,[1]aaabonddata!$A:$B,2,0)</f>
        <v>5.39</v>
      </c>
    </row>
    <row r="11" spans="1:12" x14ac:dyDescent="0.2">
      <c r="A11" s="3">
        <v>38784</v>
      </c>
      <c r="B11" s="2">
        <v>1660.35</v>
      </c>
      <c r="C11" s="2">
        <v>1668.06</v>
      </c>
      <c r="D11" s="2">
        <v>1646.03</v>
      </c>
      <c r="E11" s="2">
        <v>2663073012885</v>
      </c>
      <c r="F11" s="2">
        <v>41270969</v>
      </c>
      <c r="G11">
        <v>1008.35</v>
      </c>
      <c r="H11">
        <v>1014.22</v>
      </c>
      <c r="I11">
        <v>998.92</v>
      </c>
      <c r="J11">
        <v>1250597649139</v>
      </c>
      <c r="K11">
        <v>0</v>
      </c>
      <c r="L11" s="2">
        <f>VLOOKUP(A11,[1]aaabonddata!$A:$B,2,0)</f>
        <v>5.38</v>
      </c>
    </row>
    <row r="12" spans="1:12" x14ac:dyDescent="0.2">
      <c r="A12" s="3">
        <v>38785</v>
      </c>
      <c r="B12" s="2">
        <v>1645.09</v>
      </c>
      <c r="C12" s="2">
        <v>1671.84</v>
      </c>
      <c r="D12" s="2">
        <v>1644.86</v>
      </c>
      <c r="E12" s="2">
        <v>2638600116272</v>
      </c>
      <c r="F12" s="2">
        <v>0</v>
      </c>
      <c r="G12">
        <v>1003.6</v>
      </c>
      <c r="H12">
        <v>1022.05</v>
      </c>
      <c r="I12">
        <v>1003.6</v>
      </c>
      <c r="J12">
        <v>1244715726045</v>
      </c>
      <c r="K12">
        <v>0</v>
      </c>
      <c r="L12" s="2">
        <f>VLOOKUP(A12,[1]aaabonddata!$A:$B,2,0)</f>
        <v>5.37</v>
      </c>
    </row>
    <row r="13" spans="1:12" x14ac:dyDescent="0.2">
      <c r="A13" s="3">
        <v>38786</v>
      </c>
      <c r="B13" s="2">
        <v>1648.23</v>
      </c>
      <c r="C13" s="2">
        <v>1657.31</v>
      </c>
      <c r="D13" s="2">
        <v>1634.25</v>
      </c>
      <c r="E13" s="2">
        <v>2643636296266</v>
      </c>
      <c r="F13" s="2">
        <v>0</v>
      </c>
      <c r="G13">
        <v>1003.14</v>
      </c>
      <c r="H13">
        <v>1011.58</v>
      </c>
      <c r="I13">
        <v>994.81</v>
      </c>
      <c r="J13">
        <v>1244145117911</v>
      </c>
      <c r="K13">
        <v>0</v>
      </c>
      <c r="L13" s="2">
        <f>VLOOKUP(A13,[1]aaabonddata!$A:$B,2,0)</f>
        <v>5.39</v>
      </c>
    </row>
    <row r="14" spans="1:12" x14ac:dyDescent="0.2">
      <c r="A14" s="3">
        <v>38789</v>
      </c>
      <c r="B14" s="2">
        <v>1653.79</v>
      </c>
      <c r="C14" s="2">
        <v>1663.73</v>
      </c>
      <c r="D14" s="2">
        <v>1650.94</v>
      </c>
      <c r="E14" s="2">
        <v>2652556356040</v>
      </c>
      <c r="F14" s="2">
        <v>13113718</v>
      </c>
      <c r="G14">
        <v>1006.15</v>
      </c>
      <c r="H14">
        <v>1014.63</v>
      </c>
      <c r="I14">
        <v>1004.71</v>
      </c>
      <c r="J14">
        <v>1247871091327</v>
      </c>
      <c r="K14">
        <v>0</v>
      </c>
      <c r="L14" s="2">
        <f>VLOOKUP(A14,[1]aaabonddata!$A:$B,2,0)</f>
        <v>5.41</v>
      </c>
    </row>
    <row r="15" spans="1:12" x14ac:dyDescent="0.2">
      <c r="A15" s="3">
        <v>38790</v>
      </c>
      <c r="B15" s="2">
        <v>1681.15</v>
      </c>
      <c r="C15" s="2">
        <v>1682.93</v>
      </c>
      <c r="D15" s="2">
        <v>1650.93</v>
      </c>
      <c r="E15" s="2">
        <v>2696432110666</v>
      </c>
      <c r="F15" s="2">
        <v>0</v>
      </c>
      <c r="G15">
        <v>1019.24</v>
      </c>
      <c r="H15">
        <v>1020.76</v>
      </c>
      <c r="I15">
        <v>1002.83</v>
      </c>
      <c r="J15">
        <v>1264109667168</v>
      </c>
      <c r="K15">
        <v>0</v>
      </c>
      <c r="L15" s="2">
        <f>VLOOKUP(A15,[1]aaabonddata!$A:$B,2,0)</f>
        <v>5.33</v>
      </c>
    </row>
    <row r="16" spans="1:12" x14ac:dyDescent="0.2">
      <c r="A16" s="3">
        <v>38791</v>
      </c>
      <c r="B16" s="2">
        <v>1694.46</v>
      </c>
      <c r="C16" s="2">
        <v>1694.9</v>
      </c>
      <c r="D16" s="2">
        <v>1680.06</v>
      </c>
      <c r="E16" s="2">
        <v>2717780353220</v>
      </c>
      <c r="F16" s="2">
        <v>0</v>
      </c>
      <c r="G16">
        <v>1032.03</v>
      </c>
      <c r="H16">
        <v>1032.0999999999999</v>
      </c>
      <c r="I16">
        <v>1020.88</v>
      </c>
      <c r="J16">
        <v>1279966852165</v>
      </c>
      <c r="K16">
        <v>0</v>
      </c>
      <c r="L16" s="2">
        <f>VLOOKUP(A16,[1]aaabonddata!$A:$B,2,0)</f>
        <v>5.34</v>
      </c>
    </row>
    <row r="17" spans="1:12" x14ac:dyDescent="0.2">
      <c r="A17" s="3">
        <v>38792</v>
      </c>
      <c r="B17" s="2">
        <v>1679.05</v>
      </c>
      <c r="C17" s="2">
        <v>1703.11</v>
      </c>
      <c r="D17" s="2">
        <v>1679.05</v>
      </c>
      <c r="E17" s="2">
        <v>2693059265059</v>
      </c>
      <c r="F17" s="2">
        <v>0</v>
      </c>
      <c r="G17">
        <v>1019.27</v>
      </c>
      <c r="H17">
        <v>1039.0999999999999</v>
      </c>
      <c r="I17">
        <v>1019.26</v>
      </c>
      <c r="J17">
        <v>1264143518597</v>
      </c>
      <c r="K17">
        <v>0</v>
      </c>
      <c r="L17" s="2">
        <f>VLOOKUP(A17,[1]aaabonddata!$A:$B,2,0)</f>
        <v>5.27</v>
      </c>
    </row>
    <row r="18" spans="1:12" x14ac:dyDescent="0.2">
      <c r="A18" s="3">
        <v>38793</v>
      </c>
      <c r="B18" s="2">
        <v>1685.66</v>
      </c>
      <c r="C18" s="2">
        <v>1690.96</v>
      </c>
      <c r="D18" s="2">
        <v>1676.63</v>
      </c>
      <c r="E18" s="2">
        <v>2703671089810</v>
      </c>
      <c r="F18" s="2">
        <v>0</v>
      </c>
      <c r="G18">
        <v>1024.94</v>
      </c>
      <c r="H18">
        <v>1028</v>
      </c>
      <c r="I18">
        <v>1014.78</v>
      </c>
      <c r="J18">
        <v>1271180885433</v>
      </c>
      <c r="K18">
        <v>0</v>
      </c>
      <c r="L18" s="2">
        <f>VLOOKUP(A18,[1]aaabonddata!$A:$B,2,0)</f>
        <v>5.29</v>
      </c>
    </row>
    <row r="19" spans="1:12" x14ac:dyDescent="0.2">
      <c r="A19" s="3">
        <v>38796</v>
      </c>
      <c r="B19" s="2">
        <v>1688.98</v>
      </c>
      <c r="C19" s="2">
        <v>1695.04</v>
      </c>
      <c r="D19" s="2">
        <v>1684.16</v>
      </c>
      <c r="E19" s="2">
        <v>2710193187631</v>
      </c>
      <c r="F19" s="2">
        <v>0</v>
      </c>
      <c r="G19">
        <v>1025.96</v>
      </c>
      <c r="H19">
        <v>1030.1600000000001</v>
      </c>
      <c r="I19">
        <v>1022.07</v>
      </c>
      <c r="J19">
        <v>1258588486313</v>
      </c>
      <c r="K19">
        <v>0</v>
      </c>
      <c r="L19" s="2">
        <f>VLOOKUP(A19,[1]aaabonddata!$A:$B,2,0)</f>
        <v>5.27</v>
      </c>
    </row>
    <row r="20" spans="1:12" x14ac:dyDescent="0.2">
      <c r="A20" s="3">
        <v>38797</v>
      </c>
      <c r="B20" s="2">
        <v>1672.47</v>
      </c>
      <c r="C20" s="2">
        <v>1707.69</v>
      </c>
      <c r="D20" s="2">
        <v>1671.2</v>
      </c>
      <c r="E20" s="2">
        <v>2683710541099</v>
      </c>
      <c r="F20" s="2">
        <v>0</v>
      </c>
      <c r="G20">
        <v>1021.11</v>
      </c>
      <c r="H20">
        <v>1042.8599999999999</v>
      </c>
      <c r="I20">
        <v>1020.21</v>
      </c>
      <c r="J20">
        <v>1252635370999</v>
      </c>
      <c r="K20">
        <v>0</v>
      </c>
      <c r="L20" s="2">
        <f>VLOOKUP(A20,[1]aaabonddata!$A:$B,2,0)</f>
        <v>5.34</v>
      </c>
    </row>
    <row r="21" spans="1:12" x14ac:dyDescent="0.2">
      <c r="A21" s="3">
        <v>38798</v>
      </c>
      <c r="B21" s="2">
        <v>1676.32</v>
      </c>
      <c r="C21" s="2">
        <v>1678.73</v>
      </c>
      <c r="D21" s="2">
        <v>1662.56</v>
      </c>
      <c r="E21" s="2">
        <v>2689877741110</v>
      </c>
      <c r="F21" s="2">
        <v>0</v>
      </c>
      <c r="G21">
        <v>1026.21</v>
      </c>
      <c r="H21">
        <v>1027.5999999999999</v>
      </c>
      <c r="I21">
        <v>1014.19</v>
      </c>
      <c r="J21">
        <v>1258892841965</v>
      </c>
      <c r="K21">
        <v>0</v>
      </c>
      <c r="L21" s="2">
        <f>VLOOKUP(A21,[1]aaabonddata!$A:$B,2,0)</f>
        <v>5.34</v>
      </c>
    </row>
    <row r="22" spans="1:12" x14ac:dyDescent="0.2">
      <c r="A22" s="3">
        <v>38799</v>
      </c>
      <c r="B22" s="2">
        <v>1670.73</v>
      </c>
      <c r="C22" s="2">
        <v>1676.28</v>
      </c>
      <c r="D22" s="2">
        <v>1660.82</v>
      </c>
      <c r="E22" s="2">
        <v>2680921978113</v>
      </c>
      <c r="F22" s="2">
        <v>9925074</v>
      </c>
      <c r="G22">
        <v>1025.9100000000001</v>
      </c>
      <c r="H22">
        <v>1029.2</v>
      </c>
      <c r="I22">
        <v>1018.74</v>
      </c>
      <c r="J22">
        <v>1258522519733</v>
      </c>
      <c r="K22">
        <v>0</v>
      </c>
      <c r="L22" s="2">
        <f>VLOOKUP(A22,[1]aaabonddata!$A:$B,2,0)</f>
        <v>5.37</v>
      </c>
    </row>
    <row r="23" spans="1:12" x14ac:dyDescent="0.2">
      <c r="A23" s="3">
        <v>38800</v>
      </c>
      <c r="B23" s="2">
        <v>1679.81</v>
      </c>
      <c r="C23" s="2">
        <v>1687.56</v>
      </c>
      <c r="D23" s="2">
        <v>1669.17</v>
      </c>
      <c r="E23" s="2">
        <v>2695488833079</v>
      </c>
      <c r="F23" s="2">
        <v>0</v>
      </c>
      <c r="G23">
        <v>1033.77</v>
      </c>
      <c r="H23">
        <v>1037.0899999999999</v>
      </c>
      <c r="I23">
        <v>1026.01</v>
      </c>
      <c r="J23">
        <v>1268163928531</v>
      </c>
      <c r="K23">
        <v>0</v>
      </c>
      <c r="L23" s="2">
        <f>VLOOKUP(A23,[1]aaabonddata!$A:$B,2,0)</f>
        <v>5.31</v>
      </c>
    </row>
    <row r="24" spans="1:12" x14ac:dyDescent="0.2">
      <c r="A24" s="3">
        <v>38803</v>
      </c>
      <c r="B24" s="2">
        <v>1680.63</v>
      </c>
      <c r="C24" s="2">
        <v>1687.54</v>
      </c>
      <c r="D24" s="2">
        <v>1678.05</v>
      </c>
      <c r="E24" s="2">
        <v>2696804752786</v>
      </c>
      <c r="F24" s="2">
        <v>0</v>
      </c>
      <c r="G24">
        <v>1034.01</v>
      </c>
      <c r="H24">
        <v>1038.77</v>
      </c>
      <c r="I24">
        <v>1032.06</v>
      </c>
      <c r="J24">
        <v>1268460514750</v>
      </c>
      <c r="K24">
        <v>0</v>
      </c>
      <c r="L24" s="2">
        <f>VLOOKUP(A24,[1]aaabonddata!$A:$B,2,0)</f>
        <v>5.34</v>
      </c>
    </row>
    <row r="25" spans="1:12" x14ac:dyDescent="0.2">
      <c r="A25" s="3">
        <v>38804</v>
      </c>
      <c r="B25" s="2">
        <v>1673.03</v>
      </c>
      <c r="C25" s="2">
        <v>1694.6</v>
      </c>
      <c r="D25" s="2">
        <v>1667.95</v>
      </c>
      <c r="E25" s="2">
        <v>2684609469305</v>
      </c>
      <c r="F25" s="2">
        <v>0</v>
      </c>
      <c r="G25">
        <v>1028.27</v>
      </c>
      <c r="H25">
        <v>1040.55</v>
      </c>
      <c r="I25">
        <v>1025.03</v>
      </c>
      <c r="J25">
        <v>1261427462524</v>
      </c>
      <c r="K25">
        <v>0</v>
      </c>
      <c r="L25" s="2">
        <f>VLOOKUP(A25,[1]aaabonddata!$A:$B,2,0)</f>
        <v>5.41</v>
      </c>
    </row>
    <row r="26" spans="1:12" x14ac:dyDescent="0.2">
      <c r="A26" s="3">
        <v>38805</v>
      </c>
      <c r="B26" s="2">
        <v>1703.84</v>
      </c>
      <c r="C26" s="2">
        <v>1711.26</v>
      </c>
      <c r="D26" s="2">
        <v>1674.88</v>
      </c>
      <c r="E26" s="2">
        <v>2735045761322</v>
      </c>
      <c r="F26" s="2">
        <v>202272513</v>
      </c>
      <c r="G26">
        <v>1048.76</v>
      </c>
      <c r="H26">
        <v>1053.08</v>
      </c>
      <c r="I26">
        <v>1029.96</v>
      </c>
      <c r="J26">
        <v>1286552771156</v>
      </c>
      <c r="K26">
        <v>0</v>
      </c>
      <c r="L26" s="2">
        <f>VLOOKUP(A26,[1]aaabonddata!$A:$B,2,0)</f>
        <v>5.43</v>
      </c>
    </row>
    <row r="27" spans="1:12" x14ac:dyDescent="0.2">
      <c r="A27" s="3">
        <v>38806</v>
      </c>
      <c r="B27" s="2">
        <v>1708.68</v>
      </c>
      <c r="C27" s="2">
        <v>1720.2</v>
      </c>
      <c r="D27" s="2">
        <v>1700.15</v>
      </c>
      <c r="E27" s="2">
        <v>2742819491728</v>
      </c>
      <c r="F27" s="2">
        <v>0</v>
      </c>
      <c r="G27">
        <v>1053.31</v>
      </c>
      <c r="H27">
        <v>1058.69</v>
      </c>
      <c r="I27">
        <v>1046.69</v>
      </c>
      <c r="J27">
        <v>1292138112988</v>
      </c>
      <c r="K27">
        <v>0</v>
      </c>
      <c r="L27" s="2">
        <f>VLOOKUP(A27,[1]aaabonddata!$A:$B,2,0)</f>
        <v>5.47</v>
      </c>
    </row>
    <row r="28" spans="1:12" x14ac:dyDescent="0.2">
      <c r="A28" s="3">
        <v>38807</v>
      </c>
      <c r="B28" s="2">
        <v>1703.66</v>
      </c>
      <c r="C28" s="2">
        <v>1715.62</v>
      </c>
      <c r="D28" s="2">
        <v>1701.86</v>
      </c>
      <c r="E28" s="2">
        <v>2734758028163</v>
      </c>
      <c r="F28" s="2">
        <v>0</v>
      </c>
      <c r="G28">
        <v>1048.8</v>
      </c>
      <c r="H28">
        <v>1057.82</v>
      </c>
      <c r="I28">
        <v>1046.96</v>
      </c>
      <c r="J28">
        <v>1286612958665</v>
      </c>
      <c r="K28">
        <v>0</v>
      </c>
      <c r="L28" s="2">
        <f>VLOOKUP(A28,[1]aaabonddata!$A:$B,2,0)</f>
        <v>5.48</v>
      </c>
    </row>
    <row r="29" spans="1:12" x14ac:dyDescent="0.2">
      <c r="A29" s="3">
        <v>38810</v>
      </c>
      <c r="B29" s="2">
        <v>1706.77</v>
      </c>
      <c r="C29" s="2">
        <v>1723.06</v>
      </c>
      <c r="D29" s="2">
        <v>1704.92</v>
      </c>
      <c r="E29" s="2">
        <v>2739741787423</v>
      </c>
      <c r="F29" s="2">
        <v>0</v>
      </c>
      <c r="G29">
        <v>1049.22</v>
      </c>
      <c r="H29">
        <v>1060.51</v>
      </c>
      <c r="I29">
        <v>1047.6400000000001</v>
      </c>
      <c r="J29">
        <v>1287118099220</v>
      </c>
      <c r="K29">
        <v>0</v>
      </c>
      <c r="L29" s="2">
        <f>VLOOKUP(A29,[1]aaabonddata!$A:$B,2,0)</f>
        <v>5.5</v>
      </c>
    </row>
    <row r="30" spans="1:12" x14ac:dyDescent="0.2">
      <c r="A30" s="3">
        <v>38811</v>
      </c>
      <c r="B30" s="2">
        <v>1716.55</v>
      </c>
      <c r="C30" s="2">
        <v>1720.43</v>
      </c>
      <c r="D30" s="2">
        <v>1705.27</v>
      </c>
      <c r="E30" s="2">
        <v>2755444585068</v>
      </c>
      <c r="F30" s="2">
        <v>0</v>
      </c>
      <c r="G30">
        <v>1050.1500000000001</v>
      </c>
      <c r="H30">
        <v>1055.26</v>
      </c>
      <c r="I30">
        <v>1046.98</v>
      </c>
      <c r="J30">
        <v>1288259435845</v>
      </c>
      <c r="K30">
        <v>0</v>
      </c>
      <c r="L30" s="2">
        <f>VLOOKUP(A30,[1]aaabonddata!$A:$B,2,0)</f>
        <v>5.48</v>
      </c>
    </row>
    <row r="31" spans="1:12" x14ac:dyDescent="0.2">
      <c r="A31" s="3">
        <v>38812</v>
      </c>
      <c r="B31" s="2">
        <v>1732.74</v>
      </c>
      <c r="C31" s="2">
        <v>1735.13</v>
      </c>
      <c r="D31" s="2">
        <v>1717.28</v>
      </c>
      <c r="E31" s="2">
        <v>2782322254754</v>
      </c>
      <c r="F31" s="2">
        <v>0</v>
      </c>
      <c r="G31">
        <v>1066.9000000000001</v>
      </c>
      <c r="H31">
        <v>1069.5999999999999</v>
      </c>
      <c r="I31">
        <v>1051.76</v>
      </c>
      <c r="J31">
        <v>1308809976323</v>
      </c>
      <c r="K31">
        <v>0</v>
      </c>
      <c r="L31" s="2">
        <f>VLOOKUP(A31,[1]aaabonddata!$A:$B,2,0)</f>
        <v>5.45</v>
      </c>
    </row>
    <row r="32" spans="1:12" x14ac:dyDescent="0.2">
      <c r="A32" s="3">
        <v>38813</v>
      </c>
      <c r="B32" s="2">
        <v>1739.2</v>
      </c>
      <c r="C32" s="2">
        <v>1745.68</v>
      </c>
      <c r="D32" s="2">
        <v>1727.14</v>
      </c>
      <c r="E32" s="2">
        <v>2792691945742</v>
      </c>
      <c r="F32" s="2">
        <v>0</v>
      </c>
      <c r="G32">
        <v>1073.8499999999999</v>
      </c>
      <c r="H32">
        <v>1076.5899999999999</v>
      </c>
      <c r="I32">
        <v>1065.0999999999999</v>
      </c>
      <c r="J32">
        <v>1317335971376</v>
      </c>
      <c r="K32">
        <v>0</v>
      </c>
      <c r="L32" s="2">
        <f>VLOOKUP(A32,[1]aaabonddata!$A:$B,2,0)</f>
        <v>5.49</v>
      </c>
    </row>
    <row r="33" spans="1:12" x14ac:dyDescent="0.2">
      <c r="A33" s="3">
        <v>38814</v>
      </c>
      <c r="B33" s="2">
        <v>1723.03</v>
      </c>
      <c r="C33" s="2">
        <v>1750.23</v>
      </c>
      <c r="D33" s="2">
        <v>1720.62</v>
      </c>
      <c r="E33" s="2">
        <v>2766725395878</v>
      </c>
      <c r="F33" s="2">
        <v>0</v>
      </c>
      <c r="G33">
        <v>1061.55</v>
      </c>
      <c r="H33">
        <v>1078.71</v>
      </c>
      <c r="I33">
        <v>1058.7</v>
      </c>
      <c r="J33">
        <v>1302245195084</v>
      </c>
      <c r="K33">
        <v>0</v>
      </c>
      <c r="L33" s="2">
        <f>VLOOKUP(A33,[1]aaabonddata!$A:$B,2,0)</f>
        <v>5.55</v>
      </c>
    </row>
    <row r="34" spans="1:12" x14ac:dyDescent="0.2">
      <c r="A34" s="3">
        <v>38817</v>
      </c>
      <c r="B34" s="2">
        <v>1718.86</v>
      </c>
      <c r="C34" s="2">
        <v>1727.82</v>
      </c>
      <c r="D34" s="2">
        <v>1712.47</v>
      </c>
      <c r="E34" s="2">
        <v>2760033706487</v>
      </c>
      <c r="F34" s="2">
        <v>0</v>
      </c>
      <c r="G34">
        <v>1057.3</v>
      </c>
      <c r="H34">
        <v>1065.03</v>
      </c>
      <c r="I34">
        <v>1054.27</v>
      </c>
      <c r="J34">
        <v>1297030912058</v>
      </c>
      <c r="K34">
        <v>0</v>
      </c>
      <c r="L34" s="2">
        <f>VLOOKUP(A34,[1]aaabonddata!$A:$B,2,0)</f>
        <v>5.55</v>
      </c>
    </row>
    <row r="35" spans="1:12" x14ac:dyDescent="0.2">
      <c r="A35" s="3">
        <v>38818</v>
      </c>
      <c r="B35" s="2">
        <v>1704.4</v>
      </c>
      <c r="C35" s="2">
        <v>1725.66</v>
      </c>
      <c r="D35" s="2">
        <v>1696.67</v>
      </c>
      <c r="E35" s="2">
        <v>2736822587324</v>
      </c>
      <c r="F35" s="2">
        <v>129837666</v>
      </c>
      <c r="G35">
        <v>1046.44</v>
      </c>
      <c r="H35">
        <v>1061.8</v>
      </c>
      <c r="I35">
        <v>1041.69</v>
      </c>
      <c r="J35">
        <v>1283710382552</v>
      </c>
      <c r="K35">
        <v>349570302</v>
      </c>
      <c r="L35" s="2">
        <f>VLOOKUP(A35,[1]aaabonddata!$A:$B,2,0)</f>
        <v>5.52</v>
      </c>
    </row>
    <row r="36" spans="1:12" x14ac:dyDescent="0.2">
      <c r="A36" s="3">
        <v>38819</v>
      </c>
      <c r="B36" s="2">
        <v>1704.75</v>
      </c>
      <c r="C36" s="2">
        <v>1710.92</v>
      </c>
      <c r="D36" s="2">
        <v>1701.29</v>
      </c>
      <c r="E36" s="2">
        <v>2737377111349</v>
      </c>
      <c r="F36" s="2">
        <v>0</v>
      </c>
      <c r="G36">
        <v>1048.24</v>
      </c>
      <c r="H36">
        <v>1051.27</v>
      </c>
      <c r="I36">
        <v>1045.21</v>
      </c>
      <c r="J36">
        <v>1285924270412</v>
      </c>
      <c r="K36">
        <v>0</v>
      </c>
      <c r="L36" s="2">
        <f>VLOOKUP(A36,[1]aaabonddata!$A:$B,2,0)</f>
        <v>5.56</v>
      </c>
    </row>
    <row r="37" spans="1:12" x14ac:dyDescent="0.2">
      <c r="A37" s="3">
        <v>38820</v>
      </c>
      <c r="B37" s="2">
        <v>1712.07</v>
      </c>
      <c r="C37" s="2">
        <v>1721.05</v>
      </c>
      <c r="D37" s="2">
        <v>1700.55</v>
      </c>
      <c r="E37" s="2">
        <v>2749126330345</v>
      </c>
      <c r="F37" s="2">
        <v>0</v>
      </c>
      <c r="G37">
        <v>1055.76</v>
      </c>
      <c r="H37">
        <v>1062.58</v>
      </c>
      <c r="I37">
        <v>1047.19</v>
      </c>
      <c r="J37">
        <v>1295140798855</v>
      </c>
      <c r="K37">
        <v>0</v>
      </c>
      <c r="L37" s="2">
        <f>VLOOKUP(A37,[1]aaabonddata!$A:$B,2,0)</f>
        <v>5.61</v>
      </c>
    </row>
    <row r="38" spans="1:12" x14ac:dyDescent="0.2">
      <c r="A38" s="3">
        <v>38824</v>
      </c>
      <c r="B38" s="2">
        <v>1694.32</v>
      </c>
      <c r="C38" s="2">
        <v>1716.72</v>
      </c>
      <c r="D38" s="2">
        <v>1684.35</v>
      </c>
      <c r="E38" s="2">
        <v>2720627873716</v>
      </c>
      <c r="F38" s="2">
        <v>0</v>
      </c>
      <c r="G38">
        <v>1041.1500000000001</v>
      </c>
      <c r="H38">
        <v>1059.1300000000001</v>
      </c>
      <c r="I38">
        <v>1035.4000000000001</v>
      </c>
      <c r="J38">
        <v>1277218452158</v>
      </c>
      <c r="K38">
        <v>0</v>
      </c>
      <c r="L38" s="2">
        <f>VLOOKUP(A38,[1]aaabonddata!$A:$B,2,0)</f>
        <v>5.58</v>
      </c>
    </row>
    <row r="39" spans="1:12" x14ac:dyDescent="0.2">
      <c r="A39" s="3">
        <v>38825</v>
      </c>
      <c r="B39" s="2">
        <v>1726.64</v>
      </c>
      <c r="C39" s="2">
        <v>1730.33</v>
      </c>
      <c r="D39" s="2">
        <v>1699</v>
      </c>
      <c r="E39" s="2">
        <v>2772522368958</v>
      </c>
      <c r="F39" s="2">
        <v>0</v>
      </c>
      <c r="G39">
        <v>1062.8699999999999</v>
      </c>
      <c r="H39">
        <v>1064.83</v>
      </c>
      <c r="I39">
        <v>1041.8699999999999</v>
      </c>
      <c r="J39">
        <v>1303864327717</v>
      </c>
      <c r="K39">
        <v>0</v>
      </c>
      <c r="L39" s="2">
        <f>VLOOKUP(A39,[1]aaabonddata!$A:$B,2,0)</f>
        <v>5.54</v>
      </c>
    </row>
    <row r="40" spans="1:12" x14ac:dyDescent="0.2">
      <c r="A40" s="3">
        <v>38826</v>
      </c>
      <c r="B40" s="2">
        <v>1734.04</v>
      </c>
      <c r="C40" s="2">
        <v>1734.1</v>
      </c>
      <c r="D40" s="2">
        <v>1720.64</v>
      </c>
      <c r="E40" s="2">
        <v>2793808415984</v>
      </c>
      <c r="F40" s="2">
        <v>0</v>
      </c>
      <c r="G40">
        <v>1073.21</v>
      </c>
      <c r="H40">
        <v>1073.23</v>
      </c>
      <c r="I40">
        <v>1059.44</v>
      </c>
      <c r="J40">
        <v>1316552958566</v>
      </c>
      <c r="K40">
        <v>0</v>
      </c>
      <c r="L40" s="2">
        <f>VLOOKUP(A40,[1]aaabonddata!$A:$B,2,0)</f>
        <v>5.57</v>
      </c>
    </row>
    <row r="41" spans="1:12" x14ac:dyDescent="0.2">
      <c r="A41" s="3">
        <v>38827</v>
      </c>
      <c r="B41" s="2">
        <v>1728.9</v>
      </c>
      <c r="C41" s="2">
        <v>1741.35</v>
      </c>
      <c r="D41" s="2">
        <v>1724.62</v>
      </c>
      <c r="E41" s="2">
        <v>2769921601288</v>
      </c>
      <c r="F41" s="2">
        <v>0</v>
      </c>
      <c r="G41">
        <v>1075.44</v>
      </c>
      <c r="H41">
        <v>1084.6199999999999</v>
      </c>
      <c r="I41">
        <v>1071.31</v>
      </c>
      <c r="J41">
        <v>1319289427114</v>
      </c>
      <c r="K41">
        <v>0</v>
      </c>
      <c r="L41" s="2">
        <f>VLOOKUP(A41,[1]aaabonddata!$A:$B,2,0)</f>
        <v>5.58</v>
      </c>
    </row>
    <row r="42" spans="1:12" x14ac:dyDescent="0.2">
      <c r="A42" s="3">
        <v>38828</v>
      </c>
      <c r="B42" s="2">
        <v>1709.02</v>
      </c>
      <c r="C42" s="2">
        <v>1737.2</v>
      </c>
      <c r="D42" s="2">
        <v>1701.57</v>
      </c>
      <c r="E42" s="2">
        <v>2738078367673</v>
      </c>
      <c r="F42" s="2">
        <v>0</v>
      </c>
      <c r="G42">
        <v>1055.05</v>
      </c>
      <c r="H42">
        <v>1075.79</v>
      </c>
      <c r="I42">
        <v>1049.8599999999999</v>
      </c>
      <c r="J42">
        <v>1294271541603</v>
      </c>
      <c r="K42">
        <v>0</v>
      </c>
      <c r="L42" s="2">
        <f>VLOOKUP(A42,[1]aaabonddata!$A:$B,2,0)</f>
        <v>5.58</v>
      </c>
    </row>
    <row r="43" spans="1:12" x14ac:dyDescent="0.2">
      <c r="A43" s="3">
        <v>38831</v>
      </c>
      <c r="B43" s="2">
        <v>1706.44</v>
      </c>
      <c r="C43" s="2">
        <v>1711.04</v>
      </c>
      <c r="D43" s="2">
        <v>1697</v>
      </c>
      <c r="E43" s="2">
        <v>2733943510962</v>
      </c>
      <c r="F43" s="2">
        <v>0</v>
      </c>
      <c r="G43">
        <v>1052.77</v>
      </c>
      <c r="H43">
        <v>1055.99</v>
      </c>
      <c r="I43">
        <v>1045.02</v>
      </c>
      <c r="J43">
        <v>1291482350530</v>
      </c>
      <c r="K43">
        <v>0</v>
      </c>
      <c r="L43" s="2">
        <f>VLOOKUP(A43,[1]aaabonddata!$A:$B,2,0)</f>
        <v>5.55</v>
      </c>
    </row>
    <row r="44" spans="1:12" x14ac:dyDescent="0.2">
      <c r="A44" s="3">
        <v>38832</v>
      </c>
      <c r="B44" s="2">
        <v>1701.47</v>
      </c>
      <c r="C44" s="2">
        <v>1711.35</v>
      </c>
      <c r="D44" s="2">
        <v>1694.52</v>
      </c>
      <c r="E44" s="2">
        <v>2725986267334</v>
      </c>
      <c r="F44" s="2">
        <v>0</v>
      </c>
      <c r="G44">
        <v>1055.1600000000001</v>
      </c>
      <c r="H44">
        <v>1057.98</v>
      </c>
      <c r="I44">
        <v>1049</v>
      </c>
      <c r="J44">
        <v>1294404685323</v>
      </c>
      <c r="K44">
        <v>0</v>
      </c>
      <c r="L44" s="2">
        <f>VLOOKUP(A44,[1]aaabonddata!$A:$B,2,0)</f>
        <v>5.62</v>
      </c>
    </row>
    <row r="45" spans="1:12" x14ac:dyDescent="0.2">
      <c r="A45" s="3">
        <v>38833</v>
      </c>
      <c r="B45" s="2">
        <v>1702.2</v>
      </c>
      <c r="C45" s="2">
        <v>1710</v>
      </c>
      <c r="D45" s="2">
        <v>1696.5</v>
      </c>
      <c r="E45" s="2">
        <v>2725899897693</v>
      </c>
      <c r="F45" s="2">
        <v>122958049</v>
      </c>
      <c r="G45">
        <v>1057.96</v>
      </c>
      <c r="H45">
        <v>1061.74</v>
      </c>
      <c r="I45">
        <v>1053.0999999999999</v>
      </c>
      <c r="J45">
        <v>1297845237327</v>
      </c>
      <c r="K45">
        <v>122982985</v>
      </c>
      <c r="L45" s="2">
        <f>VLOOKUP(A45,[1]aaabonddata!$A:$B,2,0)</f>
        <v>5.66</v>
      </c>
    </row>
    <row r="46" spans="1:12" x14ac:dyDescent="0.2">
      <c r="A46" s="3">
        <v>38834</v>
      </c>
      <c r="B46" s="2">
        <v>1717.14</v>
      </c>
      <c r="C46" s="2">
        <v>1727.79</v>
      </c>
      <c r="D46" s="2">
        <v>1688.25</v>
      </c>
      <c r="E46" s="2">
        <v>2749825038697</v>
      </c>
      <c r="F46" s="2">
        <v>108231410</v>
      </c>
      <c r="G46">
        <v>1064.46</v>
      </c>
      <c r="H46">
        <v>1073.94</v>
      </c>
      <c r="I46">
        <v>1045.73</v>
      </c>
      <c r="J46">
        <v>1305815331182</v>
      </c>
      <c r="K46">
        <v>0</v>
      </c>
      <c r="L46" s="2">
        <f>VLOOKUP(A46,[1]aaabonddata!$A:$B,2,0)</f>
        <v>5.61</v>
      </c>
    </row>
    <row r="47" spans="1:12" x14ac:dyDescent="0.2">
      <c r="A47" s="3">
        <v>38835</v>
      </c>
      <c r="B47" s="2">
        <v>1700.71</v>
      </c>
      <c r="C47" s="2">
        <v>1717.49</v>
      </c>
      <c r="D47" s="2">
        <v>1699.51</v>
      </c>
      <c r="E47" s="2">
        <v>2723510939833</v>
      </c>
      <c r="F47" s="2">
        <v>0</v>
      </c>
      <c r="G47">
        <v>1055.47</v>
      </c>
      <c r="H47">
        <v>1067.71</v>
      </c>
      <c r="I47">
        <v>1054.5</v>
      </c>
      <c r="J47">
        <v>1294795730551</v>
      </c>
      <c r="K47">
        <v>0</v>
      </c>
      <c r="L47" s="2">
        <f>VLOOKUP(A47,[1]aaabonddata!$A:$B,2,0)</f>
        <v>5.58</v>
      </c>
    </row>
    <row r="48" spans="1:12" x14ac:dyDescent="0.2">
      <c r="A48" s="3">
        <v>38838</v>
      </c>
      <c r="B48" s="2">
        <v>1686.61</v>
      </c>
      <c r="C48" s="2">
        <v>1709.44</v>
      </c>
      <c r="D48" s="2">
        <v>1680.52</v>
      </c>
      <c r="E48" s="2">
        <v>2700941546132</v>
      </c>
      <c r="F48" s="2">
        <v>0</v>
      </c>
      <c r="G48">
        <v>1048.1600000000001</v>
      </c>
      <c r="H48">
        <v>1061.79</v>
      </c>
      <c r="I48">
        <v>1043.52</v>
      </c>
      <c r="J48">
        <v>1285818395778</v>
      </c>
      <c r="K48">
        <v>0</v>
      </c>
      <c r="L48" s="2">
        <f>VLOOKUP(A48,[1]aaabonddata!$A:$B,2,0)</f>
        <v>5.64</v>
      </c>
    </row>
    <row r="49" spans="1:12" x14ac:dyDescent="0.2">
      <c r="A49" s="3">
        <v>38839</v>
      </c>
      <c r="B49" s="2">
        <v>1689.93</v>
      </c>
      <c r="C49" s="2">
        <v>1697.18</v>
      </c>
      <c r="D49" s="2">
        <v>1686.65</v>
      </c>
      <c r="E49" s="2">
        <v>2706253841294</v>
      </c>
      <c r="F49" s="2">
        <v>0</v>
      </c>
      <c r="G49">
        <v>1052.1199999999999</v>
      </c>
      <c r="H49">
        <v>1055.99</v>
      </c>
      <c r="I49">
        <v>1048</v>
      </c>
      <c r="J49">
        <v>1290680731594</v>
      </c>
      <c r="K49">
        <v>0</v>
      </c>
      <c r="L49" s="2">
        <f>VLOOKUP(A49,[1]aaabonddata!$A:$B,2,0)</f>
        <v>5.63</v>
      </c>
    </row>
    <row r="50" spans="1:12" x14ac:dyDescent="0.2">
      <c r="A50" s="3">
        <v>38840</v>
      </c>
      <c r="B50" s="2">
        <v>1686.3</v>
      </c>
      <c r="C50" s="2">
        <v>1693.52</v>
      </c>
      <c r="D50" s="2">
        <v>1679.26</v>
      </c>
      <c r="E50" s="2">
        <v>2701135807955</v>
      </c>
      <c r="F50" s="2">
        <v>386960814</v>
      </c>
      <c r="G50">
        <v>1056.8800000000001</v>
      </c>
      <c r="H50">
        <v>1059.1199999999999</v>
      </c>
      <c r="I50">
        <v>1050.8900000000001</v>
      </c>
      <c r="J50">
        <v>1296514321207</v>
      </c>
      <c r="K50">
        <v>147465142</v>
      </c>
      <c r="L50" s="2">
        <f>VLOOKUP(A50,[1]aaabonddata!$A:$B,2,0)</f>
        <v>5.66</v>
      </c>
    </row>
    <row r="51" spans="1:12" x14ac:dyDescent="0.2">
      <c r="A51" s="3">
        <v>38841</v>
      </c>
      <c r="B51" s="2">
        <v>1701.03</v>
      </c>
      <c r="C51" s="2">
        <v>1707.36</v>
      </c>
      <c r="D51" s="2">
        <v>1688.41</v>
      </c>
      <c r="E51" s="2">
        <v>2724737315273</v>
      </c>
      <c r="F51" s="2">
        <v>0</v>
      </c>
      <c r="G51">
        <v>1066.68</v>
      </c>
      <c r="H51">
        <v>1068.94</v>
      </c>
      <c r="I51">
        <v>1056.5999999999999</v>
      </c>
      <c r="J51">
        <v>1308535561596</v>
      </c>
      <c r="K51">
        <v>0</v>
      </c>
      <c r="L51" s="2">
        <f>VLOOKUP(A51,[1]aaabonddata!$A:$B,2,0)</f>
        <v>5.67</v>
      </c>
    </row>
    <row r="52" spans="1:12" x14ac:dyDescent="0.2">
      <c r="A52" s="3">
        <v>38842</v>
      </c>
      <c r="B52" s="2">
        <v>1713.84</v>
      </c>
      <c r="C52" s="2">
        <v>1716.19</v>
      </c>
      <c r="D52" s="2">
        <v>1706.33</v>
      </c>
      <c r="E52" s="2">
        <v>2745245486487</v>
      </c>
      <c r="F52" s="2">
        <v>71532139</v>
      </c>
      <c r="G52">
        <v>1071.8800000000001</v>
      </c>
      <c r="H52">
        <v>1076.92</v>
      </c>
      <c r="I52">
        <v>1067.3599999999999</v>
      </c>
      <c r="J52">
        <v>1314920799366</v>
      </c>
      <c r="K52">
        <v>177753608</v>
      </c>
      <c r="L52" s="2">
        <f>VLOOKUP(A52,[1]aaabonddata!$A:$B,2,0)</f>
        <v>5.64</v>
      </c>
    </row>
    <row r="53" spans="1:12" x14ac:dyDescent="0.2">
      <c r="A53" s="3">
        <v>38845</v>
      </c>
      <c r="B53" s="2">
        <v>1715.23</v>
      </c>
      <c r="C53" s="2">
        <v>1721.13</v>
      </c>
      <c r="D53" s="2">
        <v>1712.18</v>
      </c>
      <c r="E53" s="2">
        <v>2740723295782</v>
      </c>
      <c r="F53" s="2">
        <v>138178754</v>
      </c>
      <c r="G53">
        <v>1070.08</v>
      </c>
      <c r="H53">
        <v>1073.44</v>
      </c>
      <c r="I53">
        <v>1068.57</v>
      </c>
      <c r="J53">
        <v>1312717236184</v>
      </c>
      <c r="K53">
        <v>102005198</v>
      </c>
      <c r="L53" s="2">
        <f>VLOOKUP(A53,[1]aaabonddata!$A:$B,2,0)</f>
        <v>5.65</v>
      </c>
    </row>
    <row r="54" spans="1:12" x14ac:dyDescent="0.2">
      <c r="A54" s="3">
        <v>38846</v>
      </c>
      <c r="B54" s="2">
        <v>1711.17</v>
      </c>
      <c r="C54" s="2">
        <v>1715.73</v>
      </c>
      <c r="D54" s="2">
        <v>1708.03</v>
      </c>
      <c r="E54" s="2">
        <v>2734239499731</v>
      </c>
      <c r="F54" s="2">
        <v>0</v>
      </c>
      <c r="G54">
        <v>1063.7</v>
      </c>
      <c r="H54">
        <v>1066.96</v>
      </c>
      <c r="I54">
        <v>1061.2</v>
      </c>
      <c r="J54">
        <v>1304883393784</v>
      </c>
      <c r="K54">
        <v>0</v>
      </c>
      <c r="L54" s="2">
        <f>VLOOKUP(A54,[1]aaabonddata!$A:$B,2,0)</f>
        <v>5.66</v>
      </c>
    </row>
    <row r="55" spans="1:12" x14ac:dyDescent="0.2">
      <c r="A55" s="3">
        <v>38847</v>
      </c>
      <c r="B55" s="2">
        <v>1694.82</v>
      </c>
      <c r="C55" s="2">
        <v>1707.38</v>
      </c>
      <c r="D55" s="2">
        <v>1690.9</v>
      </c>
      <c r="E55" s="2">
        <v>2708116397882</v>
      </c>
      <c r="F55" s="2">
        <v>0</v>
      </c>
      <c r="G55">
        <v>1047.6300000000001</v>
      </c>
      <c r="H55">
        <v>1061.26</v>
      </c>
      <c r="I55">
        <v>1045.2</v>
      </c>
      <c r="J55">
        <v>1285170966923</v>
      </c>
      <c r="K55">
        <v>0</v>
      </c>
      <c r="L55" s="2">
        <f>VLOOKUP(A55,[1]aaabonddata!$A:$B,2,0)</f>
        <v>5.67</v>
      </c>
    </row>
    <row r="56" spans="1:12" x14ac:dyDescent="0.2">
      <c r="A56" s="3">
        <v>38848</v>
      </c>
      <c r="B56" s="2">
        <v>1657.48</v>
      </c>
      <c r="C56" s="2">
        <v>1694.47</v>
      </c>
      <c r="D56" s="2">
        <v>1653.79</v>
      </c>
      <c r="E56" s="2">
        <v>2648442112985</v>
      </c>
      <c r="F56" s="2">
        <v>159984578</v>
      </c>
      <c r="G56">
        <v>1019.99</v>
      </c>
      <c r="H56">
        <v>1045.3800000000001</v>
      </c>
      <c r="I56">
        <v>1016.55</v>
      </c>
      <c r="J56">
        <v>1251261484105</v>
      </c>
      <c r="K56">
        <v>168310547</v>
      </c>
      <c r="L56" s="2">
        <f>VLOOKUP(A56,[1]aaabonddata!$A:$B,2,0)</f>
        <v>5.68</v>
      </c>
    </row>
    <row r="57" spans="1:12" x14ac:dyDescent="0.2">
      <c r="A57" s="3">
        <v>38849</v>
      </c>
      <c r="B57" s="2">
        <v>1635.81</v>
      </c>
      <c r="C57" s="2">
        <v>1652.26</v>
      </c>
      <c r="D57" s="2">
        <v>1634.65</v>
      </c>
      <c r="E57" s="2">
        <v>2613815453257</v>
      </c>
      <c r="F57" s="2">
        <v>76251936</v>
      </c>
      <c r="G57">
        <v>1006.58</v>
      </c>
      <c r="H57">
        <v>1017.75</v>
      </c>
      <c r="I57">
        <v>1005.89</v>
      </c>
      <c r="J57">
        <v>1234818058641</v>
      </c>
      <c r="K57">
        <v>0</v>
      </c>
      <c r="L57" s="2">
        <f>VLOOKUP(A57,[1]aaabonddata!$A:$B,2,0)</f>
        <v>5.71</v>
      </c>
    </row>
    <row r="58" spans="1:12" x14ac:dyDescent="0.2">
      <c r="A58" s="3">
        <v>38852</v>
      </c>
      <c r="B58" s="2">
        <v>1634.78</v>
      </c>
      <c r="C58" s="2">
        <v>1640.1</v>
      </c>
      <c r="D58" s="2">
        <v>1619.26</v>
      </c>
      <c r="E58" s="2">
        <v>2612179573938</v>
      </c>
      <c r="F58" s="2">
        <v>601224682</v>
      </c>
      <c r="G58">
        <v>998.87</v>
      </c>
      <c r="H58">
        <v>1009.17</v>
      </c>
      <c r="I58">
        <v>989.55</v>
      </c>
      <c r="J58">
        <v>1225355614257</v>
      </c>
      <c r="K58">
        <v>98386389</v>
      </c>
      <c r="L58" s="2">
        <f>VLOOKUP(A58,[1]aaabonddata!$A:$B,2,0)</f>
        <v>5.68</v>
      </c>
    </row>
    <row r="59" spans="1:12" x14ac:dyDescent="0.2">
      <c r="A59" s="3">
        <v>38853</v>
      </c>
      <c r="B59" s="2">
        <v>1623.69</v>
      </c>
      <c r="C59" s="2">
        <v>1637.7</v>
      </c>
      <c r="D59" s="2">
        <v>1617.97</v>
      </c>
      <c r="E59" s="2">
        <v>2594450288005</v>
      </c>
      <c r="F59" s="2">
        <v>183704812</v>
      </c>
      <c r="G59">
        <v>992.71</v>
      </c>
      <c r="H59">
        <v>1001.62</v>
      </c>
      <c r="I59">
        <v>987.26</v>
      </c>
      <c r="J59">
        <v>1217800062725</v>
      </c>
      <c r="K59">
        <v>80691510</v>
      </c>
      <c r="L59" s="2">
        <f>VLOOKUP(A59,[1]aaabonddata!$A:$B,2,0)</f>
        <v>5.64</v>
      </c>
    </row>
    <row r="60" spans="1:12" x14ac:dyDescent="0.2">
      <c r="A60" s="3">
        <v>38854</v>
      </c>
      <c r="B60" s="2">
        <v>1598.91</v>
      </c>
      <c r="C60" s="2">
        <v>1618.85</v>
      </c>
      <c r="D60" s="2">
        <v>1595.62</v>
      </c>
      <c r="E60" s="2">
        <v>2554864404680</v>
      </c>
      <c r="F60" s="2">
        <v>0</v>
      </c>
      <c r="G60">
        <v>978.59</v>
      </c>
      <c r="H60">
        <v>991.2</v>
      </c>
      <c r="I60">
        <v>974.45</v>
      </c>
      <c r="J60">
        <v>1200477460190</v>
      </c>
      <c r="K60">
        <v>0</v>
      </c>
      <c r="L60" s="2">
        <f>VLOOKUP(A60,[1]aaabonddata!$A:$B,2,0)</f>
        <v>5.69</v>
      </c>
    </row>
    <row r="61" spans="1:12" x14ac:dyDescent="0.2">
      <c r="A61" s="3">
        <v>38855</v>
      </c>
      <c r="B61" s="2">
        <v>1587.11</v>
      </c>
      <c r="C61" s="2">
        <v>1612.53</v>
      </c>
      <c r="D61" s="2">
        <v>1587.04</v>
      </c>
      <c r="E61" s="2">
        <v>2535997881744</v>
      </c>
      <c r="F61" s="2">
        <v>0</v>
      </c>
      <c r="G61">
        <v>971.3</v>
      </c>
      <c r="H61">
        <v>988.83</v>
      </c>
      <c r="I61">
        <v>970.7</v>
      </c>
      <c r="J61">
        <v>1191540011886</v>
      </c>
      <c r="K61">
        <v>0</v>
      </c>
      <c r="L61" s="2">
        <f>VLOOKUP(A61,[1]aaabonddata!$A:$B,2,0)</f>
        <v>5.63</v>
      </c>
    </row>
    <row r="62" spans="1:12" x14ac:dyDescent="0.2">
      <c r="A62" s="3">
        <v>38856</v>
      </c>
      <c r="B62" s="2">
        <v>1600.86</v>
      </c>
      <c r="C62" s="2">
        <v>1604.48</v>
      </c>
      <c r="D62" s="2">
        <v>1575.81</v>
      </c>
      <c r="E62" s="2">
        <v>2557981969232</v>
      </c>
      <c r="F62" s="2">
        <v>0</v>
      </c>
      <c r="G62">
        <v>979.51</v>
      </c>
      <c r="H62">
        <v>983.05</v>
      </c>
      <c r="I62">
        <v>964.8</v>
      </c>
      <c r="J62">
        <v>1201608715519</v>
      </c>
      <c r="K62">
        <v>0</v>
      </c>
      <c r="L62" s="2">
        <f>VLOOKUP(A62,[1]aaabonddata!$A:$B,2,0)</f>
        <v>5.63</v>
      </c>
    </row>
    <row r="63" spans="1:12" x14ac:dyDescent="0.2">
      <c r="A63" s="3">
        <v>38859</v>
      </c>
      <c r="B63" s="2">
        <v>1584.57</v>
      </c>
      <c r="C63" s="2">
        <v>1595.06</v>
      </c>
      <c r="D63" s="2">
        <v>1571.06</v>
      </c>
      <c r="E63" s="2">
        <v>2531951514373</v>
      </c>
      <c r="F63" s="2">
        <v>0</v>
      </c>
      <c r="G63">
        <v>965.06</v>
      </c>
      <c r="H63">
        <v>973.73</v>
      </c>
      <c r="I63">
        <v>954.23</v>
      </c>
      <c r="J63">
        <v>1183880222060</v>
      </c>
      <c r="K63">
        <v>0</v>
      </c>
      <c r="L63" s="2">
        <f>VLOOKUP(A63,[1]aaabonddata!$A:$B,2,0)</f>
        <v>5.61</v>
      </c>
    </row>
    <row r="64" spans="1:12" x14ac:dyDescent="0.2">
      <c r="A64" s="3">
        <v>38860</v>
      </c>
      <c r="B64" s="2">
        <v>1569.01</v>
      </c>
      <c r="C64" s="2">
        <v>1601.75</v>
      </c>
      <c r="D64" s="2">
        <v>1569.01</v>
      </c>
      <c r="E64" s="2">
        <v>2507082817168</v>
      </c>
      <c r="F64" s="2">
        <v>0</v>
      </c>
      <c r="G64">
        <v>956.07</v>
      </c>
      <c r="H64">
        <v>978.71</v>
      </c>
      <c r="I64">
        <v>956.07</v>
      </c>
      <c r="J64">
        <v>1172849434897</v>
      </c>
      <c r="K64">
        <v>0</v>
      </c>
      <c r="L64" s="2">
        <f>VLOOKUP(A64,[1]aaabonddata!$A:$B,2,0)</f>
        <v>5.64</v>
      </c>
    </row>
    <row r="65" spans="1:12" x14ac:dyDescent="0.2">
      <c r="A65" s="3">
        <v>38861</v>
      </c>
      <c r="B65" s="2">
        <v>1580.18</v>
      </c>
      <c r="C65" s="2">
        <v>1586.62</v>
      </c>
      <c r="D65" s="2">
        <v>1554.76</v>
      </c>
      <c r="E65" s="2">
        <v>2530248029758</v>
      </c>
      <c r="F65" s="2">
        <v>487153222</v>
      </c>
      <c r="G65">
        <v>961.68</v>
      </c>
      <c r="H65">
        <v>968.08</v>
      </c>
      <c r="I65">
        <v>944.28</v>
      </c>
      <c r="J65">
        <v>1179728121090</v>
      </c>
      <c r="K65">
        <v>218470135</v>
      </c>
      <c r="L65" s="2">
        <f>VLOOKUP(A65,[1]aaabonddata!$A:$B,2,0)</f>
        <v>5.61</v>
      </c>
    </row>
    <row r="66" spans="1:12" x14ac:dyDescent="0.2">
      <c r="A66" s="3">
        <v>38862</v>
      </c>
      <c r="B66" s="2">
        <v>1599.68</v>
      </c>
      <c r="C66" s="2">
        <v>1600.22</v>
      </c>
      <c r="D66" s="2">
        <v>1579.24</v>
      </c>
      <c r="E66" s="2">
        <v>2561481713113</v>
      </c>
      <c r="F66" s="2">
        <v>0</v>
      </c>
      <c r="G66">
        <v>967.38</v>
      </c>
      <c r="H66">
        <v>968.45</v>
      </c>
      <c r="I66">
        <v>957.24</v>
      </c>
      <c r="J66">
        <v>1186724872023</v>
      </c>
      <c r="K66">
        <v>0</v>
      </c>
      <c r="L66" s="2">
        <f>VLOOKUP(A66,[1]aaabonddata!$A:$B,2,0)</f>
        <v>5.64</v>
      </c>
    </row>
    <row r="67" spans="1:12" x14ac:dyDescent="0.2">
      <c r="A67" s="3">
        <v>38863</v>
      </c>
      <c r="B67" s="2">
        <v>1606.37</v>
      </c>
      <c r="C67" s="2">
        <v>1606.46</v>
      </c>
      <c r="D67" s="2">
        <v>1595.29</v>
      </c>
      <c r="E67" s="2">
        <v>2572190062798</v>
      </c>
      <c r="F67" s="2">
        <v>0</v>
      </c>
      <c r="G67">
        <v>972.21</v>
      </c>
      <c r="H67">
        <v>972.63</v>
      </c>
      <c r="I67">
        <v>964.47</v>
      </c>
      <c r="J67">
        <v>1192653943475</v>
      </c>
      <c r="K67">
        <v>0</v>
      </c>
      <c r="L67" s="2">
        <f>VLOOKUP(A67,[1]aaabonddata!$A:$B,2,0)</f>
        <v>5.62</v>
      </c>
    </row>
    <row r="68" spans="1:12" x14ac:dyDescent="0.2">
      <c r="A68" s="3">
        <v>38867</v>
      </c>
      <c r="B68" s="2">
        <v>1571.29</v>
      </c>
      <c r="C68" s="2">
        <v>1606.37</v>
      </c>
      <c r="D68" s="2">
        <v>1571.29</v>
      </c>
      <c r="E68" s="2">
        <v>2516015235873</v>
      </c>
      <c r="F68" s="2">
        <v>68751104</v>
      </c>
      <c r="G68">
        <v>952.54</v>
      </c>
      <c r="H68">
        <v>972.21</v>
      </c>
      <c r="I68">
        <v>952.53</v>
      </c>
      <c r="J68">
        <v>1168526476002</v>
      </c>
      <c r="K68">
        <v>0</v>
      </c>
      <c r="L68" s="2">
        <f>VLOOKUP(A68,[1]aaabonddata!$A:$B,2,0)</f>
        <v>5.65</v>
      </c>
    </row>
    <row r="69" spans="1:12" x14ac:dyDescent="0.2">
      <c r="A69" s="3">
        <v>38868</v>
      </c>
      <c r="B69" s="2">
        <v>1579.58</v>
      </c>
      <c r="C69" s="2">
        <v>1587.78</v>
      </c>
      <c r="D69" s="2">
        <v>1568.22</v>
      </c>
      <c r="E69" s="2">
        <v>2529292857522</v>
      </c>
      <c r="F69" s="2">
        <v>0</v>
      </c>
      <c r="G69">
        <v>962.35</v>
      </c>
      <c r="H69">
        <v>966.28</v>
      </c>
      <c r="I69">
        <v>952.54</v>
      </c>
      <c r="J69">
        <v>1180552566657</v>
      </c>
      <c r="K69">
        <v>0</v>
      </c>
      <c r="L69" s="2">
        <f>VLOOKUP(A69,[1]aaabonddata!$A:$B,2,0)</f>
        <v>5.7</v>
      </c>
    </row>
    <row r="70" spans="1:12" x14ac:dyDescent="0.2">
      <c r="A70" s="3">
        <v>38869</v>
      </c>
      <c r="B70" s="2">
        <v>1616.57</v>
      </c>
      <c r="C70" s="2">
        <v>1616.57</v>
      </c>
      <c r="D70" s="2">
        <v>1579.58</v>
      </c>
      <c r="E70" s="2">
        <v>2588520532340</v>
      </c>
      <c r="F70" s="2">
        <v>0</v>
      </c>
      <c r="G70">
        <v>983.94</v>
      </c>
      <c r="H70">
        <v>983.96</v>
      </c>
      <c r="I70">
        <v>960.73</v>
      </c>
      <c r="J70">
        <v>1207040752886</v>
      </c>
      <c r="K70">
        <v>0</v>
      </c>
      <c r="L70" s="2">
        <f>VLOOKUP(A70,[1]aaabonddata!$A:$B,2,0)</f>
        <v>5.69</v>
      </c>
    </row>
    <row r="71" spans="1:12" x14ac:dyDescent="0.2">
      <c r="A71" s="3">
        <v>38870</v>
      </c>
      <c r="B71" s="2">
        <v>1612.9</v>
      </c>
      <c r="C71" s="2">
        <v>1626.29</v>
      </c>
      <c r="D71" s="2">
        <v>1599.17</v>
      </c>
      <c r="E71" s="2">
        <v>2582648886075</v>
      </c>
      <c r="F71" s="2">
        <v>0</v>
      </c>
      <c r="G71">
        <v>980.04</v>
      </c>
      <c r="H71">
        <v>990.49</v>
      </c>
      <c r="I71">
        <v>972.12</v>
      </c>
      <c r="J71">
        <v>1202254751673</v>
      </c>
      <c r="K71">
        <v>0</v>
      </c>
      <c r="L71" s="2">
        <f>VLOOKUP(A71,[1]aaabonddata!$A:$B,2,0)</f>
        <v>5.58</v>
      </c>
    </row>
    <row r="72" spans="1:12" x14ac:dyDescent="0.2">
      <c r="A72" s="3">
        <v>38873</v>
      </c>
      <c r="B72" s="2">
        <v>1577.5</v>
      </c>
      <c r="C72" s="2">
        <v>1612.9</v>
      </c>
      <c r="D72" s="2">
        <v>1577.49</v>
      </c>
      <c r="E72" s="2">
        <v>2525951088026</v>
      </c>
      <c r="F72" s="2">
        <v>0</v>
      </c>
      <c r="G72">
        <v>959.23</v>
      </c>
      <c r="H72">
        <v>978.97</v>
      </c>
      <c r="I72">
        <v>959.23</v>
      </c>
      <c r="J72">
        <v>1176727319739</v>
      </c>
      <c r="K72">
        <v>0</v>
      </c>
      <c r="L72" s="2">
        <f>VLOOKUP(A72,[1]aaabonddata!$A:$B,2,0)</f>
        <v>5.62</v>
      </c>
    </row>
    <row r="73" spans="1:12" x14ac:dyDescent="0.2">
      <c r="A73" s="3">
        <v>38874</v>
      </c>
      <c r="B73" s="2">
        <v>1575.39</v>
      </c>
      <c r="C73" s="2">
        <v>1583.9</v>
      </c>
      <c r="D73" s="2">
        <v>1560.23</v>
      </c>
      <c r="E73" s="2">
        <v>2522575300492</v>
      </c>
      <c r="F73" s="2">
        <v>0</v>
      </c>
      <c r="G73">
        <v>956.6</v>
      </c>
      <c r="H73">
        <v>963.35</v>
      </c>
      <c r="I73">
        <v>948.25</v>
      </c>
      <c r="J73">
        <v>1173504242647</v>
      </c>
      <c r="K73">
        <v>0</v>
      </c>
      <c r="L73" s="2">
        <f>VLOOKUP(A73,[1]aaabonddata!$A:$B,2,0)</f>
        <v>5.61</v>
      </c>
    </row>
    <row r="74" spans="1:12" x14ac:dyDescent="0.2">
      <c r="A74" s="3">
        <v>38875</v>
      </c>
      <c r="B74" s="2">
        <v>1565.22</v>
      </c>
      <c r="C74" s="2">
        <v>1592.37</v>
      </c>
      <c r="D74" s="2">
        <v>1563.95</v>
      </c>
      <c r="E74" s="2">
        <v>2506301908748</v>
      </c>
      <c r="F74" s="2">
        <v>66417142</v>
      </c>
      <c r="G74">
        <v>945.42</v>
      </c>
      <c r="H74">
        <v>963.63</v>
      </c>
      <c r="I74">
        <v>944.76</v>
      </c>
      <c r="J74">
        <v>1159790359774</v>
      </c>
      <c r="K74">
        <v>0</v>
      </c>
      <c r="L74" s="2">
        <f>VLOOKUP(A74,[1]aaabonddata!$A:$B,2,0)</f>
        <v>5.64</v>
      </c>
    </row>
    <row r="75" spans="1:12" x14ac:dyDescent="0.2">
      <c r="A75" s="3">
        <v>38876</v>
      </c>
      <c r="B75" s="2">
        <v>1561.55</v>
      </c>
      <c r="C75" s="2">
        <v>1566.59</v>
      </c>
      <c r="D75" s="2">
        <v>1525.78</v>
      </c>
      <c r="E75" s="2">
        <v>2500412330007</v>
      </c>
      <c r="F75" s="2">
        <v>21869180</v>
      </c>
      <c r="G75">
        <v>937.92</v>
      </c>
      <c r="H75">
        <v>942.79</v>
      </c>
      <c r="I75">
        <v>915.59</v>
      </c>
      <c r="J75">
        <v>1150589283648</v>
      </c>
      <c r="K75">
        <v>0</v>
      </c>
      <c r="L75" s="2">
        <f>VLOOKUP(A75,[1]aaabonddata!$A:$B,2,0)</f>
        <v>5.62</v>
      </c>
    </row>
    <row r="76" spans="1:12" x14ac:dyDescent="0.2">
      <c r="A76" s="3">
        <v>38877</v>
      </c>
      <c r="B76" s="2">
        <v>1550.97</v>
      </c>
      <c r="C76" s="2">
        <v>1575.12</v>
      </c>
      <c r="D76" s="2">
        <v>1550.14</v>
      </c>
      <c r="E76" s="2">
        <v>2483473607710</v>
      </c>
      <c r="F76" s="2">
        <v>0</v>
      </c>
      <c r="G76">
        <v>933.94</v>
      </c>
      <c r="H76">
        <v>951.67</v>
      </c>
      <c r="I76">
        <v>932.5</v>
      </c>
      <c r="J76">
        <v>1145700718919</v>
      </c>
      <c r="K76">
        <v>0</v>
      </c>
      <c r="L76" s="2">
        <f>VLOOKUP(A76,[1]aaabonddata!$A:$B,2,0)</f>
        <v>5.62</v>
      </c>
    </row>
    <row r="77" spans="1:12" x14ac:dyDescent="0.2">
      <c r="A77" s="3">
        <v>38880</v>
      </c>
      <c r="B77" s="2">
        <v>1520.31</v>
      </c>
      <c r="C77" s="2">
        <v>1555.09</v>
      </c>
      <c r="D77" s="2">
        <v>1520.29</v>
      </c>
      <c r="E77" s="2">
        <v>2434378543646</v>
      </c>
      <c r="F77" s="2">
        <v>0</v>
      </c>
      <c r="G77">
        <v>909.59</v>
      </c>
      <c r="H77">
        <v>934.55</v>
      </c>
      <c r="I77">
        <v>909.45</v>
      </c>
      <c r="J77">
        <v>1115828620564</v>
      </c>
      <c r="K77">
        <v>0</v>
      </c>
      <c r="L77" s="2">
        <f>VLOOKUP(A77,[1]aaabonddata!$A:$B,2,0)</f>
        <v>5.63</v>
      </c>
    </row>
    <row r="78" spans="1:12" x14ac:dyDescent="0.2">
      <c r="A78" s="3">
        <v>38881</v>
      </c>
      <c r="B78" s="2">
        <v>1516.85</v>
      </c>
      <c r="C78" s="2">
        <v>1536.5</v>
      </c>
      <c r="D78" s="2">
        <v>1511.53</v>
      </c>
      <c r="E78" s="2">
        <v>2428843088265</v>
      </c>
      <c r="F78" s="2">
        <v>26227436</v>
      </c>
      <c r="G78">
        <v>906.55</v>
      </c>
      <c r="H78">
        <v>918.27</v>
      </c>
      <c r="I78">
        <v>903.27</v>
      </c>
      <c r="J78">
        <v>1112106788886</v>
      </c>
      <c r="K78">
        <v>0</v>
      </c>
      <c r="L78" s="2">
        <f>VLOOKUP(A78,[1]aaabonddata!$A:$B,2,0)</f>
        <v>5.61</v>
      </c>
    </row>
    <row r="79" spans="1:12" x14ac:dyDescent="0.2">
      <c r="A79" s="3">
        <v>38882</v>
      </c>
      <c r="B79" s="2">
        <v>1530.26</v>
      </c>
      <c r="C79" s="2">
        <v>1531.59</v>
      </c>
      <c r="D79" s="2">
        <v>1512.98</v>
      </c>
      <c r="E79" s="2">
        <v>2450308855164</v>
      </c>
      <c r="F79" s="2">
        <v>81577582</v>
      </c>
      <c r="G79">
        <v>913.82</v>
      </c>
      <c r="H79">
        <v>917.03</v>
      </c>
      <c r="I79">
        <v>902.73</v>
      </c>
      <c r="J79">
        <v>1121022196775</v>
      </c>
      <c r="K79">
        <v>0</v>
      </c>
      <c r="L79" s="2">
        <f>VLOOKUP(A79,[1]aaabonddata!$A:$B,2,0)</f>
        <v>5.7</v>
      </c>
    </row>
    <row r="80" spans="1:12" x14ac:dyDescent="0.2">
      <c r="A80" s="3">
        <v>38883</v>
      </c>
      <c r="B80" s="2">
        <v>1573.08</v>
      </c>
      <c r="C80" s="2">
        <v>1576.79</v>
      </c>
      <c r="D80" s="2">
        <v>1530.26</v>
      </c>
      <c r="E80" s="2">
        <v>2518881807152</v>
      </c>
      <c r="F80" s="2">
        <v>0</v>
      </c>
      <c r="G80">
        <v>947.46</v>
      </c>
      <c r="H80">
        <v>950.36</v>
      </c>
      <c r="I80">
        <v>913.82</v>
      </c>
      <c r="J80">
        <v>1162284049690</v>
      </c>
      <c r="K80">
        <v>0</v>
      </c>
      <c r="L80" s="2">
        <f>VLOOKUP(A80,[1]aaabonddata!$A:$B,2,0)</f>
        <v>5.74</v>
      </c>
    </row>
    <row r="81" spans="1:12" x14ac:dyDescent="0.2">
      <c r="A81" s="3">
        <v>38884</v>
      </c>
      <c r="B81" s="2">
        <v>1562.84</v>
      </c>
      <c r="C81" s="2">
        <v>1573.08</v>
      </c>
      <c r="D81" s="2">
        <v>1554.83</v>
      </c>
      <c r="E81" s="2">
        <v>2502477649735</v>
      </c>
      <c r="F81" s="2">
        <v>0</v>
      </c>
      <c r="G81">
        <v>940.3</v>
      </c>
      <c r="H81">
        <v>948.55</v>
      </c>
      <c r="I81">
        <v>934.98</v>
      </c>
      <c r="J81">
        <v>1153500769480</v>
      </c>
      <c r="K81">
        <v>0</v>
      </c>
      <c r="L81" s="2">
        <f>VLOOKUP(A81,[1]aaabonddata!$A:$B,2,0)</f>
        <v>5.76</v>
      </c>
    </row>
    <row r="82" spans="1:12" x14ac:dyDescent="0.2">
      <c r="A82" s="3">
        <v>38887</v>
      </c>
      <c r="B82" s="2">
        <v>1548.94</v>
      </c>
      <c r="C82" s="2">
        <v>1568.89</v>
      </c>
      <c r="D82" s="2">
        <v>1543.85</v>
      </c>
      <c r="E82" s="2">
        <v>2476218478265</v>
      </c>
      <c r="F82" s="2">
        <v>0</v>
      </c>
      <c r="G82">
        <v>930.99</v>
      </c>
      <c r="H82">
        <v>963.4</v>
      </c>
      <c r="I82">
        <v>927.93</v>
      </c>
      <c r="J82">
        <v>1114613827797</v>
      </c>
      <c r="K82">
        <v>0</v>
      </c>
      <c r="L82" s="2">
        <f>VLOOKUP(A82,[1]aaabonddata!$A:$B,2,0)</f>
        <v>5.79</v>
      </c>
    </row>
    <row r="83" spans="1:12" x14ac:dyDescent="0.2">
      <c r="A83" s="3">
        <v>38888</v>
      </c>
      <c r="B83" s="2">
        <v>1548.32</v>
      </c>
      <c r="C83" s="2">
        <v>1565.17</v>
      </c>
      <c r="D83" s="2">
        <v>1544.3</v>
      </c>
      <c r="E83" s="2">
        <v>2475230919994</v>
      </c>
      <c r="F83" s="2">
        <v>0</v>
      </c>
      <c r="G83">
        <v>931.35</v>
      </c>
      <c r="H83">
        <v>941.9</v>
      </c>
      <c r="I83">
        <v>926.84</v>
      </c>
      <c r="J83">
        <v>1115048834972</v>
      </c>
      <c r="K83">
        <v>0</v>
      </c>
      <c r="L83" s="2">
        <f>VLOOKUP(A83,[1]aaabonddata!$A:$B,2,0)</f>
        <v>5.8</v>
      </c>
    </row>
    <row r="84" spans="1:12" x14ac:dyDescent="0.2">
      <c r="A84" s="3">
        <v>38889</v>
      </c>
      <c r="B84" s="2">
        <v>1573.56</v>
      </c>
      <c r="C84" s="2">
        <v>1585.88</v>
      </c>
      <c r="D84" s="2">
        <v>1548.32</v>
      </c>
      <c r="E84" s="2">
        <v>2515573096495</v>
      </c>
      <c r="F84" s="2">
        <v>0</v>
      </c>
      <c r="G84">
        <v>950.58</v>
      </c>
      <c r="H84">
        <v>959.01</v>
      </c>
      <c r="I84">
        <v>931.35</v>
      </c>
      <c r="J84">
        <v>1138070065375</v>
      </c>
      <c r="K84">
        <v>0</v>
      </c>
      <c r="L84" s="2">
        <f>VLOOKUP(A84,[1]aaabonddata!$A:$B,2,0)</f>
        <v>5.8</v>
      </c>
    </row>
    <row r="85" spans="1:12" x14ac:dyDescent="0.2">
      <c r="A85" s="3">
        <v>38890</v>
      </c>
      <c r="B85" s="2">
        <v>1554.49</v>
      </c>
      <c r="C85" s="2">
        <v>1573.67</v>
      </c>
      <c r="D85" s="2">
        <v>1546.12</v>
      </c>
      <c r="E85" s="2">
        <v>2485084574789</v>
      </c>
      <c r="F85" s="2">
        <v>9965335</v>
      </c>
      <c r="G85">
        <v>941.74</v>
      </c>
      <c r="H85">
        <v>951.46</v>
      </c>
      <c r="I85">
        <v>935.32</v>
      </c>
      <c r="J85">
        <v>1127487508832</v>
      </c>
      <c r="K85">
        <v>0</v>
      </c>
      <c r="L85" s="2">
        <f>VLOOKUP(A85,[1]aaabonddata!$A:$B,2,0)</f>
        <v>5.84</v>
      </c>
    </row>
    <row r="86" spans="1:12" x14ac:dyDescent="0.2">
      <c r="A86" s="3">
        <v>38891</v>
      </c>
      <c r="B86" s="2">
        <v>1551.05</v>
      </c>
      <c r="C86" s="2">
        <v>1566.9</v>
      </c>
      <c r="D86" s="2">
        <v>1544.11</v>
      </c>
      <c r="E86" s="2">
        <v>2479592016074</v>
      </c>
      <c r="F86" s="2">
        <v>0</v>
      </c>
      <c r="G86">
        <v>939.52</v>
      </c>
      <c r="H86">
        <v>949.49</v>
      </c>
      <c r="I86">
        <v>934.41</v>
      </c>
      <c r="J86">
        <v>1124824932385</v>
      </c>
      <c r="K86">
        <v>0</v>
      </c>
      <c r="L86" s="2">
        <f>VLOOKUP(A86,[1]aaabonddata!$A:$B,2,0)</f>
        <v>5.86</v>
      </c>
    </row>
    <row r="87" spans="1:12" x14ac:dyDescent="0.2">
      <c r="A87" s="3">
        <v>38894</v>
      </c>
      <c r="B87" s="2">
        <v>1556.17</v>
      </c>
      <c r="C87" s="2">
        <v>1561.47</v>
      </c>
      <c r="D87" s="2">
        <v>1549.13</v>
      </c>
      <c r="E87" s="2">
        <v>2487777838444</v>
      </c>
      <c r="F87" s="2">
        <v>0</v>
      </c>
      <c r="G87">
        <v>941.54</v>
      </c>
      <c r="H87">
        <v>945.08</v>
      </c>
      <c r="I87">
        <v>938.17</v>
      </c>
      <c r="J87">
        <v>1127243545651</v>
      </c>
      <c r="K87">
        <v>0</v>
      </c>
      <c r="L87" s="2">
        <f>VLOOKUP(A87,[1]aaabonddata!$A:$B,2,0)</f>
        <v>5.88</v>
      </c>
    </row>
    <row r="88" spans="1:12" x14ac:dyDescent="0.2">
      <c r="A88" s="3">
        <v>38895</v>
      </c>
      <c r="B88" s="2">
        <v>1527</v>
      </c>
      <c r="C88" s="2">
        <v>1559.19</v>
      </c>
      <c r="D88" s="2">
        <v>1525.89</v>
      </c>
      <c r="E88" s="2">
        <v>2441146722802</v>
      </c>
      <c r="F88" s="2">
        <v>0</v>
      </c>
      <c r="G88">
        <v>919.28</v>
      </c>
      <c r="H88">
        <v>941.54</v>
      </c>
      <c r="I88">
        <v>917.93</v>
      </c>
      <c r="J88">
        <v>1100596446088</v>
      </c>
      <c r="K88">
        <v>0</v>
      </c>
      <c r="L88" s="2">
        <f>VLOOKUP(A88,[1]aaabonddata!$A:$B,2,0)</f>
        <v>5.85</v>
      </c>
    </row>
    <row r="89" spans="1:12" x14ac:dyDescent="0.2">
      <c r="A89" s="3">
        <v>38896</v>
      </c>
      <c r="B89" s="2">
        <v>1538.25</v>
      </c>
      <c r="C89" s="2">
        <v>1538.65</v>
      </c>
      <c r="D89" s="2">
        <v>1520.93</v>
      </c>
      <c r="E89" s="2">
        <v>2459123813127</v>
      </c>
      <c r="F89" s="2">
        <v>0</v>
      </c>
      <c r="G89">
        <v>924.3</v>
      </c>
      <c r="H89">
        <v>924.3</v>
      </c>
      <c r="I89">
        <v>910.67</v>
      </c>
      <c r="J89">
        <v>1106602335497</v>
      </c>
      <c r="K89">
        <v>0</v>
      </c>
      <c r="L89" s="2">
        <f>VLOOKUP(A89,[1]aaabonddata!$A:$B,2,0)</f>
        <v>5.89</v>
      </c>
    </row>
    <row r="90" spans="1:12" x14ac:dyDescent="0.2">
      <c r="A90" s="3">
        <v>38897</v>
      </c>
      <c r="B90" s="2">
        <v>1585.56</v>
      </c>
      <c r="C90" s="2">
        <v>1585.56</v>
      </c>
      <c r="D90" s="2">
        <v>1538.25</v>
      </c>
      <c r="E90" s="2">
        <v>2534754500712</v>
      </c>
      <c r="F90" s="2">
        <v>0</v>
      </c>
      <c r="G90">
        <v>951.67</v>
      </c>
      <c r="H90">
        <v>951.67</v>
      </c>
      <c r="I90">
        <v>923.64</v>
      </c>
      <c r="J90">
        <v>1139378615637</v>
      </c>
      <c r="K90">
        <v>0</v>
      </c>
      <c r="L90" s="2">
        <f>VLOOKUP(A90,[1]aaabonddata!$A:$B,2,0)</f>
        <v>5.83</v>
      </c>
    </row>
    <row r="91" spans="1:12" x14ac:dyDescent="0.2">
      <c r="A91" s="3">
        <v>38898</v>
      </c>
      <c r="B91" s="2">
        <v>1575.23</v>
      </c>
      <c r="C91" s="2">
        <v>1590.83</v>
      </c>
      <c r="D91" s="2">
        <v>1574.38</v>
      </c>
      <c r="E91" s="2">
        <v>2518243358451</v>
      </c>
      <c r="F91" s="2">
        <v>0</v>
      </c>
      <c r="G91">
        <v>947.31</v>
      </c>
      <c r="H91">
        <v>957.07</v>
      </c>
      <c r="I91">
        <v>945.34</v>
      </c>
      <c r="J91">
        <v>1134159302796</v>
      </c>
      <c r="K91">
        <v>0</v>
      </c>
      <c r="L91" s="2">
        <f>VLOOKUP(A91,[1]aaabonddata!$A:$B,2,0)</f>
        <v>5.78</v>
      </c>
    </row>
    <row r="92" spans="1:12" x14ac:dyDescent="0.2">
      <c r="A92" s="3">
        <v>38901</v>
      </c>
      <c r="B92" s="2">
        <v>1586.25</v>
      </c>
      <c r="C92" s="2">
        <v>1586.44</v>
      </c>
      <c r="D92" s="2">
        <v>1575.23</v>
      </c>
      <c r="E92" s="2">
        <v>2535865721737</v>
      </c>
      <c r="F92" s="2">
        <v>0</v>
      </c>
      <c r="G92">
        <v>955.44</v>
      </c>
      <c r="H92">
        <v>955.46</v>
      </c>
      <c r="I92">
        <v>947.31</v>
      </c>
      <c r="J92">
        <v>1143893910656</v>
      </c>
      <c r="K92">
        <v>0</v>
      </c>
      <c r="L92" s="2">
        <f>VLOOKUP(A92,[1]aaabonddata!$A:$B,2,0)</f>
        <v>5.79</v>
      </c>
    </row>
    <row r="93" spans="1:12" x14ac:dyDescent="0.2">
      <c r="A93" s="3">
        <v>38903</v>
      </c>
      <c r="B93" s="2">
        <v>1553.95</v>
      </c>
      <c r="C93" s="2">
        <v>1586.25</v>
      </c>
      <c r="D93" s="2">
        <v>1550.58</v>
      </c>
      <c r="E93" s="2">
        <v>2484234200445</v>
      </c>
      <c r="F93" s="2">
        <v>0</v>
      </c>
      <c r="G93">
        <v>932.97</v>
      </c>
      <c r="H93">
        <v>955.44</v>
      </c>
      <c r="I93">
        <v>931.69</v>
      </c>
      <c r="J93">
        <v>1116983157628</v>
      </c>
      <c r="K93">
        <v>0</v>
      </c>
      <c r="L93" s="2">
        <f>VLOOKUP(A93,[1]aaabonddata!$A:$B,2,0)</f>
        <v>5.86</v>
      </c>
    </row>
    <row r="94" spans="1:12" x14ac:dyDescent="0.2">
      <c r="A94" s="3">
        <v>38904</v>
      </c>
      <c r="B94" s="2">
        <v>1551.55</v>
      </c>
      <c r="C94" s="2">
        <v>1564.96</v>
      </c>
      <c r="D94" s="2">
        <v>1547.28</v>
      </c>
      <c r="E94" s="2">
        <v>2480395056586</v>
      </c>
      <c r="F94" s="2">
        <v>0</v>
      </c>
      <c r="G94">
        <v>930.7</v>
      </c>
      <c r="H94">
        <v>939.93</v>
      </c>
      <c r="I94">
        <v>926.43</v>
      </c>
      <c r="J94">
        <v>1114269399776</v>
      </c>
      <c r="K94">
        <v>0</v>
      </c>
      <c r="L94" s="2">
        <f>VLOOKUP(A94,[1]aaabonddata!$A:$B,2,0)</f>
        <v>5.82</v>
      </c>
    </row>
    <row r="95" spans="1:12" x14ac:dyDescent="0.2">
      <c r="A95" s="3">
        <v>38905</v>
      </c>
      <c r="B95" s="2">
        <v>1533.71</v>
      </c>
      <c r="C95" s="2">
        <v>1553.09</v>
      </c>
      <c r="D95" s="2">
        <v>1529.4</v>
      </c>
      <c r="E95" s="2">
        <v>2451865112597</v>
      </c>
      <c r="F95" s="2">
        <v>0</v>
      </c>
      <c r="G95">
        <v>917.1</v>
      </c>
      <c r="H95">
        <v>930.7</v>
      </c>
      <c r="I95">
        <v>913.26</v>
      </c>
      <c r="J95">
        <v>1097987656080</v>
      </c>
      <c r="K95">
        <v>0</v>
      </c>
      <c r="L95" s="2">
        <f>VLOOKUP(A95,[1]aaabonddata!$A:$B,2,0)</f>
        <v>5.78</v>
      </c>
    </row>
    <row r="96" spans="1:12" x14ac:dyDescent="0.2">
      <c r="A96" s="3">
        <v>38908</v>
      </c>
      <c r="B96" s="2">
        <v>1520.9</v>
      </c>
      <c r="C96" s="2">
        <v>1543.12</v>
      </c>
      <c r="D96" s="2">
        <v>1513.47</v>
      </c>
      <c r="E96" s="2">
        <v>2431395406162</v>
      </c>
      <c r="F96" s="2">
        <v>0</v>
      </c>
      <c r="G96">
        <v>896.19</v>
      </c>
      <c r="H96">
        <v>921.96</v>
      </c>
      <c r="I96">
        <v>890.74</v>
      </c>
      <c r="J96">
        <v>1072951239193</v>
      </c>
      <c r="K96">
        <v>0</v>
      </c>
      <c r="L96" s="2">
        <f>VLOOKUP(A96,[1]aaabonddata!$A:$B,2,0)</f>
        <v>5.77</v>
      </c>
    </row>
    <row r="97" spans="1:12" x14ac:dyDescent="0.2">
      <c r="A97" s="3">
        <v>38909</v>
      </c>
      <c r="B97" s="2">
        <v>1533.06</v>
      </c>
      <c r="C97" s="2">
        <v>1534.97</v>
      </c>
      <c r="D97" s="2">
        <v>1508.91</v>
      </c>
      <c r="E97" s="2">
        <v>2450838443995</v>
      </c>
      <c r="F97" s="2">
        <v>0</v>
      </c>
      <c r="G97">
        <v>906.83</v>
      </c>
      <c r="H97">
        <v>907.83</v>
      </c>
      <c r="I97">
        <v>886.61</v>
      </c>
      <c r="J97">
        <v>1085687810104</v>
      </c>
      <c r="K97">
        <v>0</v>
      </c>
      <c r="L97" s="2">
        <f>VLOOKUP(A97,[1]aaabonddata!$A:$B,2,0)</f>
        <v>5.75</v>
      </c>
    </row>
    <row r="98" spans="1:12" x14ac:dyDescent="0.2">
      <c r="A98" s="3">
        <v>38910</v>
      </c>
      <c r="B98" s="2">
        <v>1501.46</v>
      </c>
      <c r="C98" s="2">
        <v>1533.06</v>
      </c>
      <c r="D98" s="2">
        <v>1499.77</v>
      </c>
      <c r="E98" s="2">
        <v>2400315035623</v>
      </c>
      <c r="F98" s="2">
        <v>225426562</v>
      </c>
      <c r="G98">
        <v>884.98</v>
      </c>
      <c r="H98">
        <v>906.83</v>
      </c>
      <c r="I98">
        <v>883.02</v>
      </c>
      <c r="J98">
        <v>1059532398369</v>
      </c>
      <c r="K98">
        <v>0</v>
      </c>
      <c r="L98" s="2">
        <f>VLOOKUP(A98,[1]aaabonddata!$A:$B,2,0)</f>
        <v>5.75</v>
      </c>
    </row>
    <row r="99" spans="1:12" x14ac:dyDescent="0.2">
      <c r="A99" s="3">
        <v>38911</v>
      </c>
      <c r="B99" s="2">
        <v>1478.16</v>
      </c>
      <c r="C99" s="2">
        <v>1506.53</v>
      </c>
      <c r="D99" s="2">
        <v>1478.13</v>
      </c>
      <c r="E99" s="2">
        <v>2363062048931</v>
      </c>
      <c r="F99" s="2">
        <v>0</v>
      </c>
      <c r="G99">
        <v>873.27</v>
      </c>
      <c r="H99">
        <v>893.62</v>
      </c>
      <c r="I99">
        <v>870.88</v>
      </c>
      <c r="J99">
        <v>1045508171815</v>
      </c>
      <c r="K99">
        <v>0</v>
      </c>
      <c r="L99" s="2">
        <f>VLOOKUP(A99,[1]aaabonddata!$A:$B,2,0)</f>
        <v>5.72</v>
      </c>
    </row>
    <row r="100" spans="1:12" x14ac:dyDescent="0.2">
      <c r="A100" s="3">
        <v>38912</v>
      </c>
      <c r="B100" s="2">
        <v>1462.17</v>
      </c>
      <c r="C100" s="2">
        <v>1480.31</v>
      </c>
      <c r="D100" s="2">
        <v>1456.38</v>
      </c>
      <c r="E100" s="2">
        <v>2337497730406</v>
      </c>
      <c r="F100" s="2">
        <v>0</v>
      </c>
      <c r="G100">
        <v>866.36</v>
      </c>
      <c r="H100">
        <v>874.87</v>
      </c>
      <c r="I100">
        <v>860.49</v>
      </c>
      <c r="J100">
        <v>1037241926566</v>
      </c>
      <c r="K100">
        <v>0</v>
      </c>
      <c r="L100" s="2">
        <f>VLOOKUP(A100,[1]aaabonddata!$A:$B,2,0)</f>
        <v>5.7</v>
      </c>
    </row>
    <row r="101" spans="1:12" x14ac:dyDescent="0.2">
      <c r="A101" s="3">
        <v>38915</v>
      </c>
      <c r="B101" s="2">
        <v>1468.5</v>
      </c>
      <c r="C101" s="2">
        <v>1475.21</v>
      </c>
      <c r="D101" s="2">
        <v>1459.9</v>
      </c>
      <c r="E101" s="2">
        <v>2347628683245</v>
      </c>
      <c r="F101" s="2">
        <v>0</v>
      </c>
      <c r="G101">
        <v>865.51</v>
      </c>
      <c r="H101">
        <v>873.92</v>
      </c>
      <c r="I101">
        <v>862.06</v>
      </c>
      <c r="J101">
        <v>1036223369640</v>
      </c>
      <c r="K101">
        <v>0</v>
      </c>
      <c r="L101" s="2">
        <f>VLOOKUP(A101,[1]aaabonddata!$A:$B,2,0)</f>
        <v>5.71</v>
      </c>
    </row>
    <row r="102" spans="1:12" x14ac:dyDescent="0.2">
      <c r="A102" s="3">
        <v>38916</v>
      </c>
      <c r="B102" s="2">
        <v>1472.34</v>
      </c>
      <c r="C102" s="2">
        <v>1477.8</v>
      </c>
      <c r="D102" s="2">
        <v>1446.77</v>
      </c>
      <c r="E102" s="2">
        <v>2353755171590</v>
      </c>
      <c r="F102" s="2">
        <v>0</v>
      </c>
      <c r="G102">
        <v>870.16</v>
      </c>
      <c r="H102">
        <v>873.26</v>
      </c>
      <c r="I102">
        <v>849.68</v>
      </c>
      <c r="J102">
        <v>1041790336795</v>
      </c>
      <c r="K102">
        <v>0</v>
      </c>
      <c r="L102" s="2">
        <f>VLOOKUP(A102,[1]aaabonddata!$A:$B,2,0)</f>
        <v>5.77</v>
      </c>
    </row>
    <row r="103" spans="1:12" x14ac:dyDescent="0.2">
      <c r="A103" s="3">
        <v>38917</v>
      </c>
      <c r="B103" s="2">
        <v>1490.6</v>
      </c>
      <c r="C103" s="2">
        <v>1498.32</v>
      </c>
      <c r="D103" s="2">
        <v>1467.3</v>
      </c>
      <c r="E103" s="2">
        <v>2382949642491</v>
      </c>
      <c r="F103" s="2">
        <v>0</v>
      </c>
      <c r="G103">
        <v>881.99</v>
      </c>
      <c r="H103">
        <v>886.65</v>
      </c>
      <c r="I103">
        <v>865.87</v>
      </c>
      <c r="J103">
        <v>1055948083761</v>
      </c>
      <c r="K103">
        <v>0</v>
      </c>
      <c r="L103" s="2">
        <f>VLOOKUP(A103,[1]aaabonddata!$A:$B,2,0)</f>
        <v>5.7</v>
      </c>
    </row>
    <row r="104" spans="1:12" x14ac:dyDescent="0.2">
      <c r="A104" s="3">
        <v>38918</v>
      </c>
      <c r="B104" s="2">
        <v>1466.89</v>
      </c>
      <c r="C104" s="2">
        <v>1497.14</v>
      </c>
      <c r="D104" s="2">
        <v>1466.27</v>
      </c>
      <c r="E104" s="2">
        <v>2345045855313</v>
      </c>
      <c r="F104" s="2">
        <v>0</v>
      </c>
      <c r="G104">
        <v>861.73</v>
      </c>
      <c r="H104">
        <v>883.5</v>
      </c>
      <c r="I104">
        <v>861.45</v>
      </c>
      <c r="J104">
        <v>1031697015099</v>
      </c>
      <c r="K104">
        <v>0</v>
      </c>
      <c r="L104" s="2">
        <f>VLOOKUP(A104,[1]aaabonddata!$A:$B,2,0)</f>
        <v>5.67</v>
      </c>
    </row>
    <row r="105" spans="1:12" x14ac:dyDescent="0.2">
      <c r="A105" s="3">
        <v>38919</v>
      </c>
      <c r="B105" s="2">
        <v>1451.88</v>
      </c>
      <c r="C105" s="2">
        <v>1463.44</v>
      </c>
      <c r="D105" s="2">
        <v>1450.24</v>
      </c>
      <c r="E105" s="2">
        <v>2321057016635</v>
      </c>
      <c r="F105" s="2">
        <v>0</v>
      </c>
      <c r="G105">
        <v>842.28</v>
      </c>
      <c r="H105">
        <v>851.72</v>
      </c>
      <c r="I105">
        <v>839.75</v>
      </c>
      <c r="J105">
        <v>1008412989065</v>
      </c>
      <c r="K105">
        <v>0</v>
      </c>
      <c r="L105" s="2">
        <f>VLOOKUP(A105,[1]aaabonddata!$A:$B,2,0)</f>
        <v>5.68</v>
      </c>
    </row>
    <row r="106" spans="1:12" x14ac:dyDescent="0.2">
      <c r="A106" s="3">
        <v>38922</v>
      </c>
      <c r="B106" s="2">
        <v>1482.34</v>
      </c>
      <c r="C106" s="2">
        <v>1482.34</v>
      </c>
      <c r="D106" s="2">
        <v>1457.11</v>
      </c>
      <c r="E106" s="2">
        <v>2369754970724</v>
      </c>
      <c r="F106" s="2">
        <v>0</v>
      </c>
      <c r="G106">
        <v>867.37</v>
      </c>
      <c r="H106">
        <v>867.37</v>
      </c>
      <c r="I106">
        <v>850.43</v>
      </c>
      <c r="J106">
        <v>1038449808533</v>
      </c>
      <c r="K106">
        <v>0</v>
      </c>
      <c r="L106" s="2">
        <f>VLOOKUP(A106,[1]aaabonddata!$A:$B,2,0)</f>
        <v>5.68</v>
      </c>
    </row>
    <row r="107" spans="1:12" x14ac:dyDescent="0.2">
      <c r="A107" s="3">
        <v>38923</v>
      </c>
      <c r="B107" s="2">
        <v>1489.52</v>
      </c>
      <c r="C107" s="2">
        <v>1494.14</v>
      </c>
      <c r="D107" s="2">
        <v>1475.12</v>
      </c>
      <c r="E107" s="2">
        <v>2381224211065</v>
      </c>
      <c r="F107" s="2">
        <v>0</v>
      </c>
      <c r="G107">
        <v>874.39</v>
      </c>
      <c r="H107">
        <v>878.23</v>
      </c>
      <c r="I107">
        <v>864.79</v>
      </c>
      <c r="J107">
        <v>1046852679457</v>
      </c>
      <c r="K107">
        <v>0</v>
      </c>
      <c r="L107" s="2">
        <f>VLOOKUP(A107,[1]aaabonddata!$A:$B,2,0)</f>
        <v>5.71</v>
      </c>
    </row>
    <row r="108" spans="1:12" x14ac:dyDescent="0.2">
      <c r="A108" s="3">
        <v>38924</v>
      </c>
      <c r="B108" s="2">
        <v>1487.88</v>
      </c>
      <c r="C108" s="2">
        <v>1499.43</v>
      </c>
      <c r="D108" s="2">
        <v>1474.67</v>
      </c>
      <c r="E108" s="2">
        <v>2378607675112</v>
      </c>
      <c r="F108" s="2">
        <v>7818093</v>
      </c>
      <c r="G108">
        <v>873.52</v>
      </c>
      <c r="H108">
        <v>882.68</v>
      </c>
      <c r="I108">
        <v>864.93</v>
      </c>
      <c r="J108">
        <v>1045815915387</v>
      </c>
      <c r="K108">
        <v>0</v>
      </c>
      <c r="L108" s="2">
        <f>VLOOKUP(A108,[1]aaabonddata!$A:$B,2,0)</f>
        <v>5.67</v>
      </c>
    </row>
    <row r="109" spans="1:12" x14ac:dyDescent="0.2">
      <c r="A109" s="3">
        <v>38925</v>
      </c>
      <c r="B109" s="2">
        <v>1478.53</v>
      </c>
      <c r="C109" s="2">
        <v>1506.75</v>
      </c>
      <c r="D109" s="2">
        <v>1475.91</v>
      </c>
      <c r="E109" s="2">
        <v>2363660649131</v>
      </c>
      <c r="F109" s="2">
        <v>0</v>
      </c>
      <c r="G109">
        <v>875.16</v>
      </c>
      <c r="H109">
        <v>891.64</v>
      </c>
      <c r="I109">
        <v>873.87</v>
      </c>
      <c r="J109">
        <v>1047780425275</v>
      </c>
      <c r="K109">
        <v>0</v>
      </c>
      <c r="L109" s="2">
        <f>VLOOKUP(A109,[1]aaabonddata!$A:$B,2,0)</f>
        <v>5.67</v>
      </c>
    </row>
    <row r="110" spans="1:12" x14ac:dyDescent="0.2">
      <c r="A110" s="3">
        <v>38926</v>
      </c>
      <c r="B110" s="2">
        <v>1510.3</v>
      </c>
      <c r="C110" s="2">
        <v>1511</v>
      </c>
      <c r="D110" s="2">
        <v>1485.96</v>
      </c>
      <c r="E110" s="2">
        <v>2414445584955</v>
      </c>
      <c r="F110" s="2">
        <v>168891912</v>
      </c>
      <c r="G110">
        <v>896.01</v>
      </c>
      <c r="H110">
        <v>896.73</v>
      </c>
      <c r="I110">
        <v>880.04</v>
      </c>
      <c r="J110">
        <v>1072734233214</v>
      </c>
      <c r="K110">
        <v>0</v>
      </c>
      <c r="L110" s="2">
        <f>VLOOKUP(A110,[1]aaabonddata!$A:$B,2,0)</f>
        <v>5.62</v>
      </c>
    </row>
    <row r="111" spans="1:12" x14ac:dyDescent="0.2">
      <c r="A111" s="3">
        <v>38929</v>
      </c>
      <c r="B111" s="2">
        <v>1509.43</v>
      </c>
      <c r="C111" s="2">
        <v>1517.86</v>
      </c>
      <c r="D111" s="2">
        <v>1501.78</v>
      </c>
      <c r="E111" s="2">
        <v>2413062183250</v>
      </c>
      <c r="F111" s="2">
        <v>0</v>
      </c>
      <c r="G111">
        <v>897.28</v>
      </c>
      <c r="H111">
        <v>901.09</v>
      </c>
      <c r="I111">
        <v>889.83</v>
      </c>
      <c r="J111">
        <v>1074256306543</v>
      </c>
      <c r="K111">
        <v>0</v>
      </c>
      <c r="L111" s="2">
        <f>VLOOKUP(A111,[1]aaabonddata!$A:$B,2,0)</f>
        <v>5.61</v>
      </c>
    </row>
    <row r="112" spans="1:12" x14ac:dyDescent="0.2">
      <c r="A112" s="3">
        <v>38930</v>
      </c>
      <c r="B112" s="2">
        <v>1484.94</v>
      </c>
      <c r="C112" s="2">
        <v>1498.17</v>
      </c>
      <c r="D112" s="2">
        <v>1476.06</v>
      </c>
      <c r="E112" s="2">
        <v>2373900665822</v>
      </c>
      <c r="F112" s="2">
        <v>78672889</v>
      </c>
      <c r="G112">
        <v>878.42</v>
      </c>
      <c r="H112">
        <v>889.66</v>
      </c>
      <c r="I112">
        <v>872.83</v>
      </c>
      <c r="J112">
        <v>1051683904043</v>
      </c>
      <c r="K112">
        <v>187965512</v>
      </c>
      <c r="L112" s="2">
        <f>VLOOKUP(A112,[1]aaabonddata!$A:$B,2,0)</f>
        <v>5.6</v>
      </c>
    </row>
    <row r="113" spans="1:12" x14ac:dyDescent="0.2">
      <c r="A113" s="3">
        <v>38931</v>
      </c>
      <c r="B113" s="2">
        <v>1500.48</v>
      </c>
      <c r="C113" s="2">
        <v>1510.51</v>
      </c>
      <c r="D113" s="2">
        <v>1490.41</v>
      </c>
      <c r="E113" s="2">
        <v>2396124621906</v>
      </c>
      <c r="F113" s="2">
        <v>114344435</v>
      </c>
      <c r="G113">
        <v>890.97</v>
      </c>
      <c r="H113">
        <v>897.35</v>
      </c>
      <c r="I113">
        <v>882.94</v>
      </c>
      <c r="J113">
        <v>1066704963297</v>
      </c>
      <c r="K113">
        <v>114307299</v>
      </c>
      <c r="L113" s="2">
        <f>VLOOKUP(A113,[1]aaabonddata!$A:$B,2,0)</f>
        <v>5.59</v>
      </c>
    </row>
    <row r="114" spans="1:12" x14ac:dyDescent="0.2">
      <c r="A114" s="3">
        <v>38932</v>
      </c>
      <c r="B114" s="2">
        <v>1510.6</v>
      </c>
      <c r="C114" s="2">
        <v>1518.41</v>
      </c>
      <c r="D114" s="2">
        <v>1484.6</v>
      </c>
      <c r="E114" s="2">
        <v>2412284044569</v>
      </c>
      <c r="F114" s="2">
        <v>382619592</v>
      </c>
      <c r="G114">
        <v>899.44</v>
      </c>
      <c r="H114">
        <v>904.5</v>
      </c>
      <c r="I114">
        <v>882.04</v>
      </c>
      <c r="J114">
        <v>1076841696666</v>
      </c>
      <c r="K114">
        <v>149539735</v>
      </c>
      <c r="L114" s="2">
        <f>VLOOKUP(A114,[1]aaabonddata!$A:$B,2,0)</f>
        <v>5.59</v>
      </c>
    </row>
    <row r="115" spans="1:12" x14ac:dyDescent="0.2">
      <c r="A115" s="3">
        <v>38933</v>
      </c>
      <c r="B115" s="2">
        <v>1503.84</v>
      </c>
      <c r="C115" s="2">
        <v>1530.04</v>
      </c>
      <c r="D115" s="2">
        <v>1490.16</v>
      </c>
      <c r="E115" s="2">
        <v>2401484818605</v>
      </c>
      <c r="F115" s="2">
        <v>0</v>
      </c>
      <c r="G115">
        <v>893.43</v>
      </c>
      <c r="H115">
        <v>914.96</v>
      </c>
      <c r="I115">
        <v>885.13</v>
      </c>
      <c r="J115">
        <v>1069654417502</v>
      </c>
      <c r="K115">
        <v>0</v>
      </c>
      <c r="L115" s="2">
        <f>VLOOKUP(A115,[1]aaabonddata!$A:$B,2,0)</f>
        <v>5.54</v>
      </c>
    </row>
    <row r="116" spans="1:12" x14ac:dyDescent="0.2">
      <c r="A116" s="3">
        <v>38936</v>
      </c>
      <c r="B116" s="2">
        <v>1494.13</v>
      </c>
      <c r="C116" s="2">
        <v>1501.43</v>
      </c>
      <c r="D116" s="2">
        <v>1487.19</v>
      </c>
      <c r="E116" s="2">
        <v>2385982195031</v>
      </c>
      <c r="F116" s="2">
        <v>0</v>
      </c>
      <c r="G116">
        <v>888.07</v>
      </c>
      <c r="H116">
        <v>893.73</v>
      </c>
      <c r="I116">
        <v>884.09</v>
      </c>
      <c r="J116">
        <v>1063229000003</v>
      </c>
      <c r="K116">
        <v>0</v>
      </c>
      <c r="L116" s="2">
        <f>VLOOKUP(A116,[1]aaabonddata!$A:$B,2,0)</f>
        <v>5.56</v>
      </c>
    </row>
    <row r="117" spans="1:12" x14ac:dyDescent="0.2">
      <c r="A117" s="3">
        <v>38937</v>
      </c>
      <c r="B117" s="2">
        <v>1484.8</v>
      </c>
      <c r="C117" s="2">
        <v>1500.76</v>
      </c>
      <c r="D117" s="2">
        <v>1476.48</v>
      </c>
      <c r="E117" s="2">
        <v>2371086279994</v>
      </c>
      <c r="F117" s="2">
        <v>0</v>
      </c>
      <c r="G117">
        <v>883.02</v>
      </c>
      <c r="H117">
        <v>892.81</v>
      </c>
      <c r="I117">
        <v>877.02</v>
      </c>
      <c r="J117">
        <v>1057187764588</v>
      </c>
      <c r="K117">
        <v>0</v>
      </c>
      <c r="L117" s="2">
        <f>VLOOKUP(A117,[1]aaabonddata!$A:$B,2,0)</f>
        <v>5.55</v>
      </c>
    </row>
    <row r="118" spans="1:12" x14ac:dyDescent="0.2">
      <c r="A118" s="3">
        <v>38938</v>
      </c>
      <c r="B118" s="2">
        <v>1485.64</v>
      </c>
      <c r="C118" s="2">
        <v>1517.9</v>
      </c>
      <c r="D118" s="2">
        <v>1482.49</v>
      </c>
      <c r="E118" s="2">
        <v>2372428043251</v>
      </c>
      <c r="F118" s="2">
        <v>0</v>
      </c>
      <c r="G118">
        <v>887.82</v>
      </c>
      <c r="H118">
        <v>908.7</v>
      </c>
      <c r="I118">
        <v>885.79</v>
      </c>
      <c r="J118">
        <v>1062929497165</v>
      </c>
      <c r="K118">
        <v>0</v>
      </c>
      <c r="L118" s="2">
        <f>VLOOKUP(A118,[1]aaabonddata!$A:$B,2,0)</f>
        <v>5.55</v>
      </c>
    </row>
    <row r="119" spans="1:12" x14ac:dyDescent="0.2">
      <c r="A119" s="3">
        <v>38939</v>
      </c>
      <c r="B119" s="2">
        <v>1496.28</v>
      </c>
      <c r="C119" s="2">
        <v>1499.93</v>
      </c>
      <c r="D119" s="2">
        <v>1478.2</v>
      </c>
      <c r="E119" s="2">
        <v>2389419660452</v>
      </c>
      <c r="F119" s="2">
        <v>0</v>
      </c>
      <c r="G119">
        <v>894.88</v>
      </c>
      <c r="H119">
        <v>897.39</v>
      </c>
      <c r="I119">
        <v>882.98</v>
      </c>
      <c r="J119">
        <v>1071379541947</v>
      </c>
      <c r="K119">
        <v>0</v>
      </c>
      <c r="L119" s="2">
        <f>VLOOKUP(A119,[1]aaabonddata!$A:$B,2,0)</f>
        <v>5.56</v>
      </c>
    </row>
    <row r="120" spans="1:12" x14ac:dyDescent="0.2">
      <c r="A120" s="3">
        <v>38940</v>
      </c>
      <c r="B120" s="2">
        <v>1486.74</v>
      </c>
      <c r="C120" s="2">
        <v>1491.97</v>
      </c>
      <c r="D120" s="2">
        <v>1479.69</v>
      </c>
      <c r="E120" s="2">
        <v>2374176924139</v>
      </c>
      <c r="F120" s="2">
        <v>131707769</v>
      </c>
      <c r="G120">
        <v>884.42</v>
      </c>
      <c r="H120">
        <v>889.8</v>
      </c>
      <c r="I120">
        <v>880.34</v>
      </c>
      <c r="J120">
        <v>1058862223062</v>
      </c>
      <c r="K120">
        <v>77428432</v>
      </c>
      <c r="L120" s="2">
        <f>VLOOKUP(A120,[1]aaabonddata!$A:$B,2,0)</f>
        <v>5.61</v>
      </c>
    </row>
    <row r="121" spans="1:12" x14ac:dyDescent="0.2">
      <c r="A121" s="3">
        <v>38943</v>
      </c>
      <c r="B121" s="2">
        <v>1494.33</v>
      </c>
      <c r="C121" s="2">
        <v>1515.68</v>
      </c>
      <c r="D121" s="2">
        <v>1493.74</v>
      </c>
      <c r="E121" s="2">
        <v>2386304377952</v>
      </c>
      <c r="F121" s="2">
        <v>77041289</v>
      </c>
      <c r="G121">
        <v>893</v>
      </c>
      <c r="H121">
        <v>904.43</v>
      </c>
      <c r="I121">
        <v>889.74</v>
      </c>
      <c r="J121">
        <v>1069134827000</v>
      </c>
      <c r="K121">
        <v>91910967</v>
      </c>
      <c r="L121" s="2">
        <f>VLOOKUP(A121,[1]aaabonddata!$A:$B,2,0)</f>
        <v>5.64</v>
      </c>
    </row>
    <row r="122" spans="1:12" x14ac:dyDescent="0.2">
      <c r="A122" s="3">
        <v>38944</v>
      </c>
      <c r="B122" s="2">
        <v>1534.43</v>
      </c>
      <c r="C122" s="2">
        <v>1534.78</v>
      </c>
      <c r="D122" s="2">
        <v>1508.94</v>
      </c>
      <c r="E122" s="2">
        <v>2450327797217</v>
      </c>
      <c r="F122" s="2">
        <v>669489989</v>
      </c>
      <c r="G122">
        <v>926.93</v>
      </c>
      <c r="H122">
        <v>927.14</v>
      </c>
      <c r="I122">
        <v>905.84</v>
      </c>
      <c r="J122">
        <v>1109762238917</v>
      </c>
      <c r="K122">
        <v>188758309</v>
      </c>
      <c r="L122" s="2">
        <f>VLOOKUP(A122,[1]aaabonddata!$A:$B,2,0)</f>
        <v>5.57</v>
      </c>
    </row>
    <row r="123" spans="1:12" x14ac:dyDescent="0.2">
      <c r="A123" s="3">
        <v>38945</v>
      </c>
      <c r="B123" s="2">
        <v>1570.06</v>
      </c>
      <c r="C123" s="2">
        <v>1570.06</v>
      </c>
      <c r="D123" s="2">
        <v>1539.59</v>
      </c>
      <c r="E123" s="2">
        <v>2506893260736</v>
      </c>
      <c r="F123" s="2">
        <v>105307630</v>
      </c>
      <c r="G123">
        <v>954.99</v>
      </c>
      <c r="H123">
        <v>954.99</v>
      </c>
      <c r="I123">
        <v>929.49</v>
      </c>
      <c r="J123">
        <v>1143347349583</v>
      </c>
      <c r="K123">
        <v>0</v>
      </c>
      <c r="L123" s="2">
        <f>VLOOKUP(A123,[1]aaabonddata!$A:$B,2,0)</f>
        <v>5.51</v>
      </c>
    </row>
    <row r="124" spans="1:12" x14ac:dyDescent="0.2">
      <c r="A124" s="3">
        <v>38946</v>
      </c>
      <c r="B124" s="2">
        <v>1573.59</v>
      </c>
      <c r="C124" s="2">
        <v>1584.72</v>
      </c>
      <c r="D124" s="2">
        <v>1562.62</v>
      </c>
      <c r="E124" s="2">
        <v>2512527642409</v>
      </c>
      <c r="F124" s="2">
        <v>185929366</v>
      </c>
      <c r="G124">
        <v>960.15</v>
      </c>
      <c r="H124">
        <v>969.18</v>
      </c>
      <c r="I124">
        <v>951.22</v>
      </c>
      <c r="J124">
        <v>1149525682156</v>
      </c>
      <c r="K124">
        <v>129893162</v>
      </c>
      <c r="L124" s="2">
        <f>VLOOKUP(A124,[1]aaabonddata!$A:$B,2,0)</f>
        <v>5.51</v>
      </c>
    </row>
    <row r="125" spans="1:12" x14ac:dyDescent="0.2">
      <c r="A125" s="3">
        <v>38947</v>
      </c>
      <c r="B125" s="2">
        <v>1576.46</v>
      </c>
      <c r="C125" s="2">
        <v>1578.35</v>
      </c>
      <c r="D125" s="2">
        <v>1557.89</v>
      </c>
      <c r="E125" s="2">
        <v>2517124344195</v>
      </c>
      <c r="F125" s="2">
        <v>0</v>
      </c>
      <c r="G125">
        <v>961.99</v>
      </c>
      <c r="H125">
        <v>963.68</v>
      </c>
      <c r="I125">
        <v>945.18</v>
      </c>
      <c r="J125">
        <v>1151735738451</v>
      </c>
      <c r="K125">
        <v>0</v>
      </c>
      <c r="L125" s="2">
        <f>VLOOKUP(A125,[1]aaabonddata!$A:$B,2,0)</f>
        <v>5.48</v>
      </c>
    </row>
    <row r="126" spans="1:12" x14ac:dyDescent="0.2">
      <c r="A126" s="3">
        <v>38950</v>
      </c>
      <c r="B126" s="2">
        <v>1561.12</v>
      </c>
      <c r="C126" s="2">
        <v>1567.5</v>
      </c>
      <c r="D126" s="2">
        <v>1556.28</v>
      </c>
      <c r="E126" s="2">
        <v>2492627878743</v>
      </c>
      <c r="F126" s="2">
        <v>0</v>
      </c>
      <c r="G126">
        <v>946.66</v>
      </c>
      <c r="H126">
        <v>953.74</v>
      </c>
      <c r="I126">
        <v>943.83</v>
      </c>
      <c r="J126">
        <v>1133376359328</v>
      </c>
      <c r="K126">
        <v>0</v>
      </c>
      <c r="L126" s="2">
        <f>VLOOKUP(A126,[1]aaabonddata!$A:$B,2,0)</f>
        <v>5.46</v>
      </c>
    </row>
    <row r="127" spans="1:12" x14ac:dyDescent="0.2">
      <c r="A127" s="3">
        <v>38951</v>
      </c>
      <c r="B127" s="2">
        <v>1563.43</v>
      </c>
      <c r="C127" s="2">
        <v>1577.54</v>
      </c>
      <c r="D127" s="2">
        <v>1555.98</v>
      </c>
      <c r="E127" s="2">
        <v>2496318870522</v>
      </c>
      <c r="F127" s="2">
        <v>0</v>
      </c>
      <c r="G127">
        <v>948.53</v>
      </c>
      <c r="H127">
        <v>958.34</v>
      </c>
      <c r="I127">
        <v>943.78</v>
      </c>
      <c r="J127">
        <v>1135613625757</v>
      </c>
      <c r="K127">
        <v>0</v>
      </c>
      <c r="L127" s="2">
        <f>VLOOKUP(A127,[1]aaabonddata!$A:$B,2,0)</f>
        <v>5.46</v>
      </c>
    </row>
    <row r="128" spans="1:12" x14ac:dyDescent="0.2">
      <c r="A128" s="3">
        <v>38952</v>
      </c>
      <c r="B128" s="2">
        <v>1550.41</v>
      </c>
      <c r="C128" s="2">
        <v>1571.48</v>
      </c>
      <c r="D128" s="2">
        <v>1543.86</v>
      </c>
      <c r="E128" s="2">
        <v>2475517513590</v>
      </c>
      <c r="F128" s="2">
        <v>455680493</v>
      </c>
      <c r="G128">
        <v>941.42</v>
      </c>
      <c r="H128">
        <v>956.85</v>
      </c>
      <c r="I128">
        <v>936.83</v>
      </c>
      <c r="J128">
        <v>1127107639094</v>
      </c>
      <c r="K128">
        <v>69143908</v>
      </c>
      <c r="L128" s="2">
        <f>VLOOKUP(A128,[1]aaabonddata!$A:$B,2,0)</f>
        <v>5.47</v>
      </c>
    </row>
    <row r="129" spans="1:12" x14ac:dyDescent="0.2">
      <c r="A129" s="3">
        <v>38953</v>
      </c>
      <c r="B129" s="2">
        <v>1555.19</v>
      </c>
      <c r="C129" s="2">
        <v>1558.94</v>
      </c>
      <c r="D129" s="2">
        <v>1542.57</v>
      </c>
      <c r="E129" s="2">
        <v>2483147046773</v>
      </c>
      <c r="F129" s="2">
        <v>36397348</v>
      </c>
      <c r="G129">
        <v>947.57</v>
      </c>
      <c r="H129">
        <v>948</v>
      </c>
      <c r="I129">
        <v>936.52</v>
      </c>
      <c r="J129">
        <v>1134471833519</v>
      </c>
      <c r="K129">
        <v>138992261</v>
      </c>
      <c r="L129" s="2">
        <f>VLOOKUP(A129,[1]aaabonddata!$A:$B,2,0)</f>
        <v>5.47</v>
      </c>
    </row>
    <row r="130" spans="1:12" x14ac:dyDescent="0.2">
      <c r="A130" s="3">
        <v>38954</v>
      </c>
      <c r="B130" s="2">
        <v>1557.7</v>
      </c>
      <c r="C130" s="2">
        <v>1570.34</v>
      </c>
      <c r="D130" s="2">
        <v>1548.01</v>
      </c>
      <c r="E130" s="2">
        <v>2487155348825</v>
      </c>
      <c r="F130" s="2">
        <v>0</v>
      </c>
      <c r="G130">
        <v>948.79</v>
      </c>
      <c r="H130">
        <v>958.99</v>
      </c>
      <c r="I130">
        <v>943.46</v>
      </c>
      <c r="J130">
        <v>1135931580345</v>
      </c>
      <c r="K130">
        <v>0</v>
      </c>
      <c r="L130" s="2">
        <f>VLOOKUP(A130,[1]aaabonddata!$A:$B,2,0)</f>
        <v>5.45</v>
      </c>
    </row>
    <row r="131" spans="1:12" x14ac:dyDescent="0.2">
      <c r="A131" s="3">
        <v>38957</v>
      </c>
      <c r="B131" s="2">
        <v>1570.29</v>
      </c>
      <c r="C131" s="2">
        <v>1574.45</v>
      </c>
      <c r="D131" s="2">
        <v>1556.52</v>
      </c>
      <c r="E131" s="2">
        <v>2507260866093</v>
      </c>
      <c r="F131" s="2">
        <v>0</v>
      </c>
      <c r="G131">
        <v>958.85</v>
      </c>
      <c r="H131">
        <v>960</v>
      </c>
      <c r="I131">
        <v>947.62</v>
      </c>
      <c r="J131">
        <v>1147977197247</v>
      </c>
      <c r="K131">
        <v>0</v>
      </c>
      <c r="L131" s="2">
        <f>VLOOKUP(A131,[1]aaabonddata!$A:$B,2,0)</f>
        <v>5.46</v>
      </c>
    </row>
    <row r="132" spans="1:12" x14ac:dyDescent="0.2">
      <c r="A132" s="3">
        <v>38958</v>
      </c>
      <c r="B132" s="2">
        <v>1573.65</v>
      </c>
      <c r="C132" s="2">
        <v>1575.45</v>
      </c>
      <c r="D132" s="2">
        <v>1552.4</v>
      </c>
      <c r="E132" s="2">
        <v>2512635117391</v>
      </c>
      <c r="F132" s="2">
        <v>0</v>
      </c>
      <c r="G132">
        <v>964.6</v>
      </c>
      <c r="H132">
        <v>965.49</v>
      </c>
      <c r="I132">
        <v>948.97</v>
      </c>
      <c r="J132">
        <v>1154861544043</v>
      </c>
      <c r="K132">
        <v>0</v>
      </c>
      <c r="L132" s="2">
        <f>VLOOKUP(A132,[1]aaabonddata!$A:$B,2,0)</f>
        <v>5.45</v>
      </c>
    </row>
    <row r="133" spans="1:12" x14ac:dyDescent="0.2">
      <c r="A133" s="3">
        <v>38959</v>
      </c>
      <c r="B133" s="2">
        <v>1581.95</v>
      </c>
      <c r="C133" s="2">
        <v>1583.77</v>
      </c>
      <c r="D133" s="2">
        <v>1570.15</v>
      </c>
      <c r="E133" s="2">
        <v>2525878635588</v>
      </c>
      <c r="F133" s="2">
        <v>41288107</v>
      </c>
      <c r="G133">
        <v>975.8</v>
      </c>
      <c r="H133">
        <v>976.99</v>
      </c>
      <c r="I133">
        <v>962.41</v>
      </c>
      <c r="J133">
        <v>1168263068738</v>
      </c>
      <c r="K133">
        <v>0</v>
      </c>
      <c r="L133" s="2">
        <f>VLOOKUP(A133,[1]aaabonddata!$A:$B,2,0)</f>
        <v>5.42</v>
      </c>
    </row>
    <row r="134" spans="1:12" x14ac:dyDescent="0.2">
      <c r="A134" s="3">
        <v>38960</v>
      </c>
      <c r="B134" s="2">
        <v>1579.73</v>
      </c>
      <c r="C134" s="2">
        <v>1586.6</v>
      </c>
      <c r="D134" s="2">
        <v>1576.33</v>
      </c>
      <c r="E134" s="2">
        <v>2522332349239</v>
      </c>
      <c r="F134" s="2">
        <v>0</v>
      </c>
      <c r="G134">
        <v>969.53</v>
      </c>
      <c r="H134">
        <v>975.29</v>
      </c>
      <c r="I134">
        <v>967.81</v>
      </c>
      <c r="J134">
        <v>1160755385377</v>
      </c>
      <c r="K134">
        <v>0</v>
      </c>
      <c r="L134" s="2">
        <f>VLOOKUP(A134,[1]aaabonddata!$A:$B,2,0)</f>
        <v>5.39</v>
      </c>
    </row>
    <row r="135" spans="1:12" x14ac:dyDescent="0.2">
      <c r="A135" s="3">
        <v>38961</v>
      </c>
      <c r="B135" s="2">
        <v>1589.47</v>
      </c>
      <c r="C135" s="2">
        <v>1593.66</v>
      </c>
      <c r="D135" s="2">
        <v>1581.91</v>
      </c>
      <c r="E135" s="2">
        <v>2537883150480</v>
      </c>
      <c r="F135" s="2">
        <v>0</v>
      </c>
      <c r="G135">
        <v>969.15</v>
      </c>
      <c r="H135">
        <v>975.49</v>
      </c>
      <c r="I135">
        <v>965.01</v>
      </c>
      <c r="J135">
        <v>1160303669982</v>
      </c>
      <c r="K135">
        <v>0</v>
      </c>
      <c r="L135" s="2">
        <f>VLOOKUP(A135,[1]aaabonddata!$A:$B,2,0)</f>
        <v>5.37</v>
      </c>
    </row>
    <row r="136" spans="1:12" x14ac:dyDescent="0.2">
      <c r="A136" s="3">
        <v>38965</v>
      </c>
      <c r="B136" s="2">
        <v>1603.69</v>
      </c>
      <c r="C136" s="2">
        <v>1605.02</v>
      </c>
      <c r="D136" s="2">
        <v>1580.21</v>
      </c>
      <c r="E136" s="2">
        <v>2560598387249</v>
      </c>
      <c r="F136" s="2">
        <v>0</v>
      </c>
      <c r="G136">
        <v>979.52</v>
      </c>
      <c r="H136">
        <v>980.21</v>
      </c>
      <c r="I136">
        <v>962.44</v>
      </c>
      <c r="J136">
        <v>1172718908504</v>
      </c>
      <c r="K136">
        <v>0</v>
      </c>
      <c r="L136" s="2">
        <f>VLOOKUP(A136,[1]aaabonddata!$A:$B,2,0)</f>
        <v>5.42</v>
      </c>
    </row>
    <row r="137" spans="1:12" x14ac:dyDescent="0.2">
      <c r="A137" s="3">
        <v>38966</v>
      </c>
      <c r="B137" s="2">
        <v>1572.2</v>
      </c>
      <c r="C137" s="2">
        <v>1592.89</v>
      </c>
      <c r="D137" s="2">
        <v>1570.42</v>
      </c>
      <c r="E137" s="2">
        <v>2510311454028</v>
      </c>
      <c r="F137" s="2">
        <v>66633447</v>
      </c>
      <c r="G137">
        <v>955.24</v>
      </c>
      <c r="H137">
        <v>970.99</v>
      </c>
      <c r="I137">
        <v>955.17</v>
      </c>
      <c r="J137">
        <v>1143646134572</v>
      </c>
      <c r="K137">
        <v>0</v>
      </c>
      <c r="L137" s="2">
        <f>VLOOKUP(A137,[1]aaabonddata!$A:$B,2,0)</f>
        <v>5.44</v>
      </c>
    </row>
    <row r="138" spans="1:12" x14ac:dyDescent="0.2">
      <c r="A138" s="3">
        <v>38967</v>
      </c>
      <c r="B138" s="2">
        <v>1564.84</v>
      </c>
      <c r="C138" s="2">
        <v>1581.44</v>
      </c>
      <c r="D138" s="2">
        <v>1560.05</v>
      </c>
      <c r="E138" s="2">
        <v>2498566781155</v>
      </c>
      <c r="F138" s="2">
        <v>0</v>
      </c>
      <c r="G138">
        <v>945.74</v>
      </c>
      <c r="H138">
        <v>958.64</v>
      </c>
      <c r="I138">
        <v>941.72</v>
      </c>
      <c r="J138">
        <v>1132276327602</v>
      </c>
      <c r="K138">
        <v>0</v>
      </c>
      <c r="L138" s="2">
        <f>VLOOKUP(A138,[1]aaabonddata!$A:$B,2,0)</f>
        <v>5.43</v>
      </c>
    </row>
    <row r="139" spans="1:12" x14ac:dyDescent="0.2">
      <c r="A139" s="3">
        <v>38968</v>
      </c>
      <c r="B139" s="2">
        <v>1574.71</v>
      </c>
      <c r="C139" s="2">
        <v>1578.12</v>
      </c>
      <c r="D139" s="2">
        <v>1564.55</v>
      </c>
      <c r="E139" s="2">
        <v>2514330313517</v>
      </c>
      <c r="F139" s="2">
        <v>13268045</v>
      </c>
      <c r="G139">
        <v>953.79</v>
      </c>
      <c r="H139">
        <v>955.37</v>
      </c>
      <c r="I139">
        <v>944.84</v>
      </c>
      <c r="J139">
        <v>1141918335032</v>
      </c>
      <c r="K139">
        <v>0</v>
      </c>
      <c r="L139" s="2">
        <f>VLOOKUP(A139,[1]aaabonddata!$A:$B,2,0)</f>
        <v>5.4</v>
      </c>
    </row>
    <row r="140" spans="1:12" x14ac:dyDescent="0.2">
      <c r="A140" s="3">
        <v>38971</v>
      </c>
      <c r="B140" s="2">
        <v>1583.78</v>
      </c>
      <c r="C140" s="2">
        <v>1591.12</v>
      </c>
      <c r="D140" s="2">
        <v>1558.17</v>
      </c>
      <c r="E140" s="2">
        <v>2528797221874</v>
      </c>
      <c r="F140" s="2">
        <v>0</v>
      </c>
      <c r="G140">
        <v>962.74</v>
      </c>
      <c r="H140">
        <v>969.24</v>
      </c>
      <c r="I140">
        <v>945.05</v>
      </c>
      <c r="J140">
        <v>1152631936279</v>
      </c>
      <c r="K140">
        <v>0</v>
      </c>
      <c r="L140" s="2">
        <f>VLOOKUP(A140,[1]aaabonddata!$A:$B,2,0)</f>
        <v>5.44</v>
      </c>
    </row>
    <row r="141" spans="1:12" x14ac:dyDescent="0.2">
      <c r="A141" s="3">
        <v>38972</v>
      </c>
      <c r="B141" s="2">
        <v>1615.75</v>
      </c>
      <c r="C141" s="2">
        <v>1617.55</v>
      </c>
      <c r="D141" s="2">
        <v>1584.85</v>
      </c>
      <c r="E141" s="2">
        <v>2579844043885</v>
      </c>
      <c r="F141" s="2">
        <v>26029878</v>
      </c>
      <c r="G141">
        <v>991.99</v>
      </c>
      <c r="H141">
        <v>993.96</v>
      </c>
      <c r="I141">
        <v>966.94</v>
      </c>
      <c r="J141">
        <v>1187648980894</v>
      </c>
      <c r="K141">
        <v>0</v>
      </c>
      <c r="L141" s="2">
        <f>VLOOKUP(A141,[1]aaabonddata!$A:$B,2,0)</f>
        <v>5.41</v>
      </c>
    </row>
    <row r="142" spans="1:12" x14ac:dyDescent="0.2">
      <c r="A142" s="3">
        <v>38973</v>
      </c>
      <c r="B142" s="2">
        <v>1623.99</v>
      </c>
      <c r="C142" s="2">
        <v>1625.55</v>
      </c>
      <c r="D142" s="2">
        <v>1611.98</v>
      </c>
      <c r="E142" s="2">
        <v>2593011192877</v>
      </c>
      <c r="F142" s="2">
        <v>0</v>
      </c>
      <c r="G142">
        <v>998.51</v>
      </c>
      <c r="H142">
        <v>1000.57</v>
      </c>
      <c r="I142">
        <v>990.35</v>
      </c>
      <c r="J142">
        <v>1195458272441</v>
      </c>
      <c r="K142">
        <v>0</v>
      </c>
      <c r="L142" s="2">
        <f>VLOOKUP(A142,[1]aaabonddata!$A:$B,2,0)</f>
        <v>5.4</v>
      </c>
    </row>
    <row r="143" spans="1:12" x14ac:dyDescent="0.2">
      <c r="A143" s="3">
        <v>38974</v>
      </c>
      <c r="B143" s="2">
        <v>1625.98</v>
      </c>
      <c r="C143" s="2">
        <v>1629.27</v>
      </c>
      <c r="D143" s="2">
        <v>1617.97</v>
      </c>
      <c r="E143" s="2">
        <v>2596177236511</v>
      </c>
      <c r="F143" s="2">
        <v>0</v>
      </c>
      <c r="G143">
        <v>1003.06</v>
      </c>
      <c r="H143">
        <v>1005.7</v>
      </c>
      <c r="I143">
        <v>995.6</v>
      </c>
      <c r="J143">
        <v>1200904237675</v>
      </c>
      <c r="K143">
        <v>0</v>
      </c>
      <c r="L143" s="2">
        <f>VLOOKUP(A143,[1]aaabonddata!$A:$B,2,0)</f>
        <v>5.43</v>
      </c>
    </row>
    <row r="144" spans="1:12" x14ac:dyDescent="0.2">
      <c r="A144" s="3">
        <v>38975</v>
      </c>
      <c r="B144" s="2">
        <v>1632.44</v>
      </c>
      <c r="C144" s="2">
        <v>1645.6</v>
      </c>
      <c r="D144" s="2">
        <v>1627.54</v>
      </c>
      <c r="E144" s="2">
        <v>2606500956306</v>
      </c>
      <c r="F144" s="2">
        <v>0</v>
      </c>
      <c r="G144">
        <v>1007.71</v>
      </c>
      <c r="H144">
        <v>1021.4</v>
      </c>
      <c r="I144">
        <v>1004.17</v>
      </c>
      <c r="J144">
        <v>1206470228114</v>
      </c>
      <c r="K144">
        <v>0</v>
      </c>
      <c r="L144" s="2">
        <f>VLOOKUP(A144,[1]aaabonddata!$A:$B,2,0)</f>
        <v>5.44</v>
      </c>
    </row>
    <row r="145" spans="1:12" x14ac:dyDescent="0.2">
      <c r="A145" s="3">
        <v>38978</v>
      </c>
      <c r="B145" s="2">
        <v>1632.17</v>
      </c>
      <c r="C145" s="2">
        <v>1643.53</v>
      </c>
      <c r="D145" s="2">
        <v>1625.8</v>
      </c>
      <c r="E145" s="2">
        <v>2592905995445</v>
      </c>
      <c r="F145" s="2">
        <v>0</v>
      </c>
      <c r="G145">
        <v>1012.01</v>
      </c>
      <c r="H145">
        <v>1021.1</v>
      </c>
      <c r="I145">
        <v>1007.23</v>
      </c>
      <c r="J145">
        <v>1244126402797</v>
      </c>
      <c r="K145">
        <v>0</v>
      </c>
      <c r="L145" s="2">
        <f>VLOOKUP(A145,[1]aaabonddata!$A:$B,2,0)</f>
        <v>5.46</v>
      </c>
    </row>
    <row r="146" spans="1:12" x14ac:dyDescent="0.2">
      <c r="A146" s="3">
        <v>38979</v>
      </c>
      <c r="B146" s="2">
        <v>1621.07</v>
      </c>
      <c r="C146" s="2">
        <v>1638.08</v>
      </c>
      <c r="D146" s="2">
        <v>1608.51</v>
      </c>
      <c r="E146" s="2">
        <v>2575271412982</v>
      </c>
      <c r="F146" s="2">
        <v>0</v>
      </c>
      <c r="G146">
        <v>1002.38</v>
      </c>
      <c r="H146">
        <v>1014.92</v>
      </c>
      <c r="I146">
        <v>992.39</v>
      </c>
      <c r="J146">
        <v>1232285978873</v>
      </c>
      <c r="K146">
        <v>0</v>
      </c>
      <c r="L146" s="2">
        <f>VLOOKUP(A146,[1]aaabonddata!$A:$B,2,0)</f>
        <v>5.39</v>
      </c>
    </row>
    <row r="147" spans="1:12" x14ac:dyDescent="0.2">
      <c r="A147" s="3">
        <v>38980</v>
      </c>
      <c r="B147" s="2">
        <v>1645.35</v>
      </c>
      <c r="C147" s="2">
        <v>1648.9</v>
      </c>
      <c r="D147" s="2">
        <v>1635.28</v>
      </c>
      <c r="E147" s="2">
        <v>2613851482341</v>
      </c>
      <c r="F147" s="2">
        <v>0</v>
      </c>
      <c r="G147">
        <v>1019.57</v>
      </c>
      <c r="H147">
        <v>1023.75</v>
      </c>
      <c r="I147">
        <v>1012.45</v>
      </c>
      <c r="J147">
        <v>1253417158084</v>
      </c>
      <c r="K147">
        <v>0</v>
      </c>
      <c r="L147" s="2">
        <f>VLOOKUP(A147,[1]aaabonddata!$A:$B,2,0)</f>
        <v>5.38</v>
      </c>
    </row>
    <row r="148" spans="1:12" x14ac:dyDescent="0.2">
      <c r="A148" s="3">
        <v>38981</v>
      </c>
      <c r="B148" s="2">
        <v>1634.87</v>
      </c>
      <c r="C148" s="2">
        <v>1654.4</v>
      </c>
      <c r="D148" s="2">
        <v>1631.29</v>
      </c>
      <c r="E148" s="2">
        <v>2597195626329</v>
      </c>
      <c r="F148" s="2">
        <v>0</v>
      </c>
      <c r="G148">
        <v>1011.32</v>
      </c>
      <c r="H148">
        <v>1025.21</v>
      </c>
      <c r="I148">
        <v>1008.97</v>
      </c>
      <c r="J148">
        <v>1243277841812</v>
      </c>
      <c r="K148">
        <v>0</v>
      </c>
      <c r="L148" s="2">
        <f>VLOOKUP(A148,[1]aaabonddata!$A:$B,2,0)</f>
        <v>5.3</v>
      </c>
    </row>
    <row r="149" spans="1:12" x14ac:dyDescent="0.2">
      <c r="A149" s="3">
        <v>38982</v>
      </c>
      <c r="B149" s="2">
        <v>1622.37</v>
      </c>
      <c r="C149" s="2">
        <v>1633.15</v>
      </c>
      <c r="D149" s="2">
        <v>1615.98</v>
      </c>
      <c r="E149" s="2">
        <v>2577349502015</v>
      </c>
      <c r="F149" s="2">
        <v>0</v>
      </c>
      <c r="G149">
        <v>1003.33</v>
      </c>
      <c r="H149">
        <v>1009.82</v>
      </c>
      <c r="I149">
        <v>998.51</v>
      </c>
      <c r="J149">
        <v>1233445499986</v>
      </c>
      <c r="K149">
        <v>0</v>
      </c>
      <c r="L149" s="2">
        <f>VLOOKUP(A149,[1]aaabonddata!$A:$B,2,0)</f>
        <v>5.26</v>
      </c>
    </row>
    <row r="150" spans="1:12" x14ac:dyDescent="0.2">
      <c r="A150" s="3">
        <v>38985</v>
      </c>
      <c r="B150" s="2">
        <v>1650.37</v>
      </c>
      <c r="C150" s="2">
        <v>1653.86</v>
      </c>
      <c r="D150" s="2">
        <v>1615.14</v>
      </c>
      <c r="E150" s="2">
        <v>2621829261203</v>
      </c>
      <c r="F150" s="2">
        <v>0</v>
      </c>
      <c r="G150">
        <v>1024.01</v>
      </c>
      <c r="H150">
        <v>1025.73</v>
      </c>
      <c r="I150">
        <v>997.48</v>
      </c>
      <c r="J150">
        <v>1258876309195</v>
      </c>
      <c r="K150">
        <v>0</v>
      </c>
      <c r="L150" s="2">
        <f>VLOOKUP(A150,[1]aaabonddata!$A:$B,2,0)</f>
        <v>5.22</v>
      </c>
    </row>
    <row r="151" spans="1:12" x14ac:dyDescent="0.2">
      <c r="A151" s="3">
        <v>38986</v>
      </c>
      <c r="B151" s="2">
        <v>1659.2</v>
      </c>
      <c r="C151" s="2">
        <v>1659.6</v>
      </c>
      <c r="D151" s="2">
        <v>1644.29</v>
      </c>
      <c r="E151" s="2">
        <v>2635855775042</v>
      </c>
      <c r="F151" s="2">
        <v>0</v>
      </c>
      <c r="G151">
        <v>1023.01</v>
      </c>
      <c r="H151">
        <v>1025.1500000000001</v>
      </c>
      <c r="I151">
        <v>1011.72</v>
      </c>
      <c r="J151">
        <v>1257642039445</v>
      </c>
      <c r="K151">
        <v>0</v>
      </c>
      <c r="L151" s="2">
        <f>VLOOKUP(A151,[1]aaabonddata!$A:$B,2,0)</f>
        <v>5.25</v>
      </c>
    </row>
    <row r="152" spans="1:12" x14ac:dyDescent="0.2">
      <c r="A152" s="3">
        <v>38987</v>
      </c>
      <c r="B152" s="2">
        <v>1655.67</v>
      </c>
      <c r="C152" s="2">
        <v>1665.61</v>
      </c>
      <c r="D152" s="2">
        <v>1648.14</v>
      </c>
      <c r="E152" s="2">
        <v>2630249863717</v>
      </c>
      <c r="F152" s="2">
        <v>9708401</v>
      </c>
      <c r="G152">
        <v>1013.72</v>
      </c>
      <c r="H152">
        <v>1025.69</v>
      </c>
      <c r="I152">
        <v>1009.62</v>
      </c>
      <c r="J152">
        <v>1246228119149</v>
      </c>
      <c r="K152">
        <v>0</v>
      </c>
      <c r="L152" s="2">
        <f>VLOOKUP(A152,[1]aaabonddata!$A:$B,2,0)</f>
        <v>5.25</v>
      </c>
    </row>
    <row r="153" spans="1:12" x14ac:dyDescent="0.2">
      <c r="A153" s="3">
        <v>38988</v>
      </c>
      <c r="B153" s="2">
        <v>1661.59</v>
      </c>
      <c r="C153" s="2">
        <v>1663.28</v>
      </c>
      <c r="D153" s="2">
        <v>1645.2</v>
      </c>
      <c r="E153" s="2">
        <v>2639648210362</v>
      </c>
      <c r="F153" s="2">
        <v>0</v>
      </c>
      <c r="G153">
        <v>1020.71</v>
      </c>
      <c r="H153">
        <v>1021.01</v>
      </c>
      <c r="I153">
        <v>1008.66</v>
      </c>
      <c r="J153">
        <v>1254817582957</v>
      </c>
      <c r="K153">
        <v>0</v>
      </c>
      <c r="L153" s="2">
        <f>VLOOKUP(A153,[1]aaabonddata!$A:$B,2,0)</f>
        <v>5.28</v>
      </c>
    </row>
    <row r="154" spans="1:12" x14ac:dyDescent="0.2">
      <c r="A154" s="3">
        <v>38989</v>
      </c>
      <c r="B154" s="2">
        <v>1654.13</v>
      </c>
      <c r="C154" s="2">
        <v>1666.03</v>
      </c>
      <c r="D154" s="2">
        <v>1653.74</v>
      </c>
      <c r="E154" s="2">
        <v>2627794577996</v>
      </c>
      <c r="F154" s="2">
        <v>0</v>
      </c>
      <c r="G154">
        <v>1015.38</v>
      </c>
      <c r="H154">
        <v>1025.1400000000001</v>
      </c>
      <c r="I154">
        <v>1015.03</v>
      </c>
      <c r="J154">
        <v>1248266892364</v>
      </c>
      <c r="K154">
        <v>0</v>
      </c>
      <c r="L154" s="2">
        <f>VLOOKUP(A154,[1]aaabonddata!$A:$B,2,0)</f>
        <v>5.29</v>
      </c>
    </row>
    <row r="155" spans="1:12" x14ac:dyDescent="0.2">
      <c r="A155" s="3">
        <v>38992</v>
      </c>
      <c r="B155" s="2">
        <v>1632.81</v>
      </c>
      <c r="C155" s="2">
        <v>1655.67</v>
      </c>
      <c r="D155" s="2">
        <v>1631.36</v>
      </c>
      <c r="E155" s="2">
        <v>2593934177823</v>
      </c>
      <c r="F155" s="2">
        <v>0</v>
      </c>
      <c r="G155">
        <v>1005.66</v>
      </c>
      <c r="H155">
        <v>1020.4</v>
      </c>
      <c r="I155">
        <v>1004.71</v>
      </c>
      <c r="J155">
        <v>1236314525482</v>
      </c>
      <c r="K155">
        <v>0</v>
      </c>
      <c r="L155" s="2">
        <f>VLOOKUP(A155,[1]aaabonddata!$A:$B,2,0)</f>
        <v>5.26</v>
      </c>
    </row>
    <row r="156" spans="1:12" x14ac:dyDescent="0.2">
      <c r="A156" s="3">
        <v>38993</v>
      </c>
      <c r="B156" s="2">
        <v>1640.29</v>
      </c>
      <c r="C156" s="2">
        <v>1646.74</v>
      </c>
      <c r="D156" s="2">
        <v>1623.07</v>
      </c>
      <c r="E156" s="2">
        <v>2605815428992</v>
      </c>
      <c r="F156" s="2">
        <v>0</v>
      </c>
      <c r="G156">
        <v>1005.33</v>
      </c>
      <c r="H156">
        <v>1008.7</v>
      </c>
      <c r="I156">
        <v>993.1</v>
      </c>
      <c r="J156">
        <v>1235907462905</v>
      </c>
      <c r="K156">
        <v>0</v>
      </c>
      <c r="L156" s="2">
        <f>VLOOKUP(A156,[1]aaabonddata!$A:$B,2,0)</f>
        <v>5.26</v>
      </c>
    </row>
    <row r="157" spans="1:12" x14ac:dyDescent="0.2">
      <c r="A157" s="3">
        <v>38994</v>
      </c>
      <c r="B157" s="2">
        <v>1681.14</v>
      </c>
      <c r="C157" s="2">
        <v>1681.14</v>
      </c>
      <c r="D157" s="2">
        <v>1634.23</v>
      </c>
      <c r="E157" s="2">
        <v>2669704382166</v>
      </c>
      <c r="F157" s="2">
        <v>0</v>
      </c>
      <c r="G157">
        <v>1030.97</v>
      </c>
      <c r="H157">
        <v>1030.97</v>
      </c>
      <c r="I157">
        <v>1000.53</v>
      </c>
      <c r="J157">
        <v>1267430673959</v>
      </c>
      <c r="K157">
        <v>0</v>
      </c>
      <c r="L157" s="2">
        <f>VLOOKUP(A157,[1]aaabonddata!$A:$B,2,0)</f>
        <v>5.2</v>
      </c>
    </row>
    <row r="158" spans="1:12" x14ac:dyDescent="0.2">
      <c r="A158" s="3">
        <v>38995</v>
      </c>
      <c r="B158" s="2">
        <v>1689.43</v>
      </c>
      <c r="C158" s="2">
        <v>1690.41</v>
      </c>
      <c r="D158" s="2">
        <v>1676.08</v>
      </c>
      <c r="E158" s="2">
        <v>2682873771008</v>
      </c>
      <c r="F158" s="2">
        <v>0</v>
      </c>
      <c r="G158">
        <v>1033</v>
      </c>
      <c r="H158">
        <v>1033.75</v>
      </c>
      <c r="I158">
        <v>1025.23</v>
      </c>
      <c r="J158">
        <v>1269932262918</v>
      </c>
      <c r="K158">
        <v>0</v>
      </c>
      <c r="L158" s="2">
        <f>VLOOKUP(A158,[1]aaabonddata!$A:$B,2,0)</f>
        <v>5.25</v>
      </c>
    </row>
    <row r="159" spans="1:12" x14ac:dyDescent="0.2">
      <c r="A159" s="3">
        <v>38996</v>
      </c>
      <c r="B159" s="2">
        <v>1684.88</v>
      </c>
      <c r="C159" s="2">
        <v>1690.8</v>
      </c>
      <c r="D159" s="2">
        <v>1678.55</v>
      </c>
      <c r="E159" s="2">
        <v>2675652211508</v>
      </c>
      <c r="F159" s="2">
        <v>0</v>
      </c>
      <c r="G159">
        <v>1031.8599999999999</v>
      </c>
      <c r="H159">
        <v>1036.6199999999999</v>
      </c>
      <c r="I159">
        <v>1026.51</v>
      </c>
      <c r="J159">
        <v>1268525995605</v>
      </c>
      <c r="K159">
        <v>0</v>
      </c>
      <c r="L159" s="2">
        <f>VLOOKUP(A159,[1]aaabonddata!$A:$B,2,0)</f>
        <v>5.34</v>
      </c>
    </row>
    <row r="160" spans="1:12" x14ac:dyDescent="0.2">
      <c r="A160" s="3">
        <v>38999</v>
      </c>
      <c r="B160" s="2">
        <v>1691.08</v>
      </c>
      <c r="C160" s="2">
        <v>1698.38</v>
      </c>
      <c r="D160" s="2">
        <v>1681.64</v>
      </c>
      <c r="E160" s="2">
        <v>2685490796476</v>
      </c>
      <c r="F160" s="2">
        <v>0</v>
      </c>
      <c r="G160">
        <v>1035.8599999999999</v>
      </c>
      <c r="H160">
        <v>1041.7</v>
      </c>
      <c r="I160">
        <v>1030.6300000000001</v>
      </c>
      <c r="J160">
        <v>1273442276878</v>
      </c>
      <c r="K160">
        <v>0</v>
      </c>
      <c r="L160" s="2">
        <f>VLOOKUP(A160,[1]aaabonddata!$A:$B,2,0)</f>
        <v>5.34</v>
      </c>
    </row>
    <row r="161" spans="1:12" x14ac:dyDescent="0.2">
      <c r="A161" s="3">
        <v>39000</v>
      </c>
      <c r="B161" s="2">
        <v>1693.29</v>
      </c>
      <c r="C161" s="2">
        <v>1698.26</v>
      </c>
      <c r="D161" s="2">
        <v>1681.44</v>
      </c>
      <c r="E161" s="2">
        <v>2688995602550</v>
      </c>
      <c r="F161" s="2">
        <v>0</v>
      </c>
      <c r="G161">
        <v>1034.67</v>
      </c>
      <c r="H161">
        <v>1039.1400000000001</v>
      </c>
      <c r="I161">
        <v>1027.9000000000001</v>
      </c>
      <c r="J161">
        <v>1271983953866</v>
      </c>
      <c r="K161">
        <v>0</v>
      </c>
      <c r="L161" s="2">
        <f>VLOOKUP(A161,[1]aaabonddata!$A:$B,2,0)</f>
        <v>5.39</v>
      </c>
    </row>
    <row r="162" spans="1:12" x14ac:dyDescent="0.2">
      <c r="A162" s="3">
        <v>39001</v>
      </c>
      <c r="B162" s="2">
        <v>1691.28</v>
      </c>
      <c r="C162" s="2">
        <v>1701.58</v>
      </c>
      <c r="D162" s="2">
        <v>1675.98</v>
      </c>
      <c r="E162" s="2">
        <v>2683134696068</v>
      </c>
      <c r="F162" s="2">
        <v>39012108</v>
      </c>
      <c r="G162">
        <v>1038.67</v>
      </c>
      <c r="H162">
        <v>1048.6400000000001</v>
      </c>
      <c r="I162">
        <v>1029.72</v>
      </c>
      <c r="J162">
        <v>1276897298666</v>
      </c>
      <c r="K162">
        <v>0</v>
      </c>
      <c r="L162" s="2">
        <f>VLOOKUP(A162,[1]aaabonddata!$A:$B,2,0)</f>
        <v>5.43</v>
      </c>
    </row>
    <row r="163" spans="1:12" x14ac:dyDescent="0.2">
      <c r="A163" s="3">
        <v>39002</v>
      </c>
      <c r="B163" s="2">
        <v>1718.54</v>
      </c>
      <c r="C163" s="2">
        <v>1718.72</v>
      </c>
      <c r="D163" s="2">
        <v>1697.47</v>
      </c>
      <c r="E163" s="2">
        <v>2726380747571</v>
      </c>
      <c r="F163" s="2">
        <v>0</v>
      </c>
      <c r="G163">
        <v>1052.4000000000001</v>
      </c>
      <c r="H163">
        <v>1052.9100000000001</v>
      </c>
      <c r="I163">
        <v>1038.92</v>
      </c>
      <c r="J163">
        <v>1293774092003</v>
      </c>
      <c r="K163">
        <v>0</v>
      </c>
      <c r="L163" s="2">
        <f>VLOOKUP(A163,[1]aaabonddata!$A:$B,2,0)</f>
        <v>5.42</v>
      </c>
    </row>
    <row r="164" spans="1:12" x14ac:dyDescent="0.2">
      <c r="A164" s="3">
        <v>39003</v>
      </c>
      <c r="B164" s="2">
        <v>1727.21</v>
      </c>
      <c r="C164" s="2">
        <v>1729.26</v>
      </c>
      <c r="D164" s="2">
        <v>1714.58</v>
      </c>
      <c r="E164" s="2">
        <v>2740132193167</v>
      </c>
      <c r="F164" s="2">
        <v>0</v>
      </c>
      <c r="G164">
        <v>1061.0999999999999</v>
      </c>
      <c r="H164">
        <v>1063.54</v>
      </c>
      <c r="I164">
        <v>1046.6199999999999</v>
      </c>
      <c r="J164">
        <v>1304473229192</v>
      </c>
      <c r="K164">
        <v>0</v>
      </c>
      <c r="L164" s="2">
        <f>VLOOKUP(A164,[1]aaabonddata!$A:$B,2,0)</f>
        <v>5.45</v>
      </c>
    </row>
    <row r="165" spans="1:12" x14ac:dyDescent="0.2">
      <c r="A165" s="3">
        <v>39006</v>
      </c>
      <c r="B165" s="2">
        <v>1727.61</v>
      </c>
      <c r="C165" s="2">
        <v>1733.73</v>
      </c>
      <c r="D165" s="2">
        <v>1725.7</v>
      </c>
      <c r="E165" s="2">
        <v>2740774490692</v>
      </c>
      <c r="F165" s="2">
        <v>0</v>
      </c>
      <c r="G165">
        <v>1064.9000000000001</v>
      </c>
      <c r="H165">
        <v>1069.23</v>
      </c>
      <c r="I165">
        <v>1061.57</v>
      </c>
      <c r="J165">
        <v>1309138983496</v>
      </c>
      <c r="K165">
        <v>0</v>
      </c>
      <c r="L165" s="2">
        <f>VLOOKUP(A165,[1]aaabonddata!$A:$B,2,0)</f>
        <v>5.43</v>
      </c>
    </row>
    <row r="166" spans="1:12" x14ac:dyDescent="0.2">
      <c r="A166" s="3">
        <v>39007</v>
      </c>
      <c r="B166" s="2">
        <v>1709.61</v>
      </c>
      <c r="C166" s="2">
        <v>1718.1</v>
      </c>
      <c r="D166" s="2">
        <v>1699.88</v>
      </c>
      <c r="E166" s="2">
        <v>2712219491714</v>
      </c>
      <c r="F166" s="2">
        <v>0</v>
      </c>
      <c r="G166">
        <v>1048.51</v>
      </c>
      <c r="H166">
        <v>1057.1500000000001</v>
      </c>
      <c r="I166">
        <v>1040.6199999999999</v>
      </c>
      <c r="J166">
        <v>1288998632205</v>
      </c>
      <c r="K166">
        <v>0</v>
      </c>
      <c r="L166" s="2">
        <f>VLOOKUP(A166,[1]aaabonddata!$A:$B,2,0)</f>
        <v>5.42</v>
      </c>
    </row>
    <row r="167" spans="1:12" x14ac:dyDescent="0.2">
      <c r="A167" s="3">
        <v>39008</v>
      </c>
      <c r="B167" s="2">
        <v>1700.75</v>
      </c>
      <c r="C167" s="2">
        <v>1721.43</v>
      </c>
      <c r="D167" s="2">
        <v>1695.37</v>
      </c>
      <c r="E167" s="2">
        <v>2698165925790</v>
      </c>
      <c r="F167" s="2">
        <v>0</v>
      </c>
      <c r="G167">
        <v>1035.1400000000001</v>
      </c>
      <c r="H167">
        <v>1053.9000000000001</v>
      </c>
      <c r="I167">
        <v>1032.08</v>
      </c>
      <c r="J167">
        <v>1272553837689</v>
      </c>
      <c r="K167">
        <v>0</v>
      </c>
      <c r="L167" s="2">
        <f>VLOOKUP(A167,[1]aaabonddata!$A:$B,2,0)</f>
        <v>5.41</v>
      </c>
    </row>
    <row r="168" spans="1:12" x14ac:dyDescent="0.2">
      <c r="A168" s="3">
        <v>39009</v>
      </c>
      <c r="B168" s="2">
        <v>1706.37</v>
      </c>
      <c r="C168" s="2">
        <v>1713.43</v>
      </c>
      <c r="D168" s="2">
        <v>1693.19</v>
      </c>
      <c r="E168" s="2">
        <v>2707082762984</v>
      </c>
      <c r="F168" s="2">
        <v>0</v>
      </c>
      <c r="G168">
        <v>1031.17</v>
      </c>
      <c r="H168">
        <v>1037.94</v>
      </c>
      <c r="I168">
        <v>1023.38</v>
      </c>
      <c r="J168">
        <v>1267671584252</v>
      </c>
      <c r="K168">
        <v>0</v>
      </c>
      <c r="L168" s="2">
        <f>VLOOKUP(A168,[1]aaabonddata!$A:$B,2,0)</f>
        <v>5.43</v>
      </c>
    </row>
    <row r="169" spans="1:12" x14ac:dyDescent="0.2">
      <c r="A169" s="3">
        <v>39010</v>
      </c>
      <c r="B169" s="2">
        <v>1709.58</v>
      </c>
      <c r="C169" s="2">
        <v>1713.45</v>
      </c>
      <c r="D169" s="2">
        <v>1695.21</v>
      </c>
      <c r="E169" s="2">
        <v>2712164000785</v>
      </c>
      <c r="F169" s="2">
        <v>0</v>
      </c>
      <c r="G169">
        <v>1025.3599999999999</v>
      </c>
      <c r="H169">
        <v>1033.6500000000001</v>
      </c>
      <c r="I169">
        <v>1021.93</v>
      </c>
      <c r="J169">
        <v>1260528921996</v>
      </c>
      <c r="K169">
        <v>0</v>
      </c>
      <c r="L169" s="2">
        <f>VLOOKUP(A169,[1]aaabonddata!$A:$B,2,0)</f>
        <v>5.43</v>
      </c>
    </row>
    <row r="170" spans="1:12" x14ac:dyDescent="0.2">
      <c r="A170" s="3">
        <v>39013</v>
      </c>
      <c r="B170" s="2">
        <v>1725.93</v>
      </c>
      <c r="C170" s="2">
        <v>1732.52</v>
      </c>
      <c r="D170" s="2">
        <v>1702.58</v>
      </c>
      <c r="E170" s="2">
        <v>2738102164908</v>
      </c>
      <c r="F170" s="2">
        <v>0</v>
      </c>
      <c r="G170">
        <v>1033.1400000000001</v>
      </c>
      <c r="H170">
        <v>1040.18</v>
      </c>
      <c r="I170">
        <v>1021.26</v>
      </c>
      <c r="J170">
        <v>1270098811689</v>
      </c>
      <c r="K170">
        <v>0</v>
      </c>
      <c r="L170" s="2">
        <f>VLOOKUP(A170,[1]aaabonddata!$A:$B,2,0)</f>
        <v>5.47</v>
      </c>
    </row>
    <row r="171" spans="1:12" x14ac:dyDescent="0.2">
      <c r="A171" s="3">
        <v>39014</v>
      </c>
      <c r="B171" s="2">
        <v>1713.88</v>
      </c>
      <c r="C171" s="2">
        <v>1726.78</v>
      </c>
      <c r="D171" s="2">
        <v>1706.22</v>
      </c>
      <c r="E171" s="2">
        <v>2736037998238</v>
      </c>
      <c r="F171" s="2">
        <v>0</v>
      </c>
      <c r="G171">
        <v>1026.9000000000001</v>
      </c>
      <c r="H171">
        <v>1032.57</v>
      </c>
      <c r="I171">
        <v>1021.53</v>
      </c>
      <c r="J171">
        <v>1238389622051</v>
      </c>
      <c r="K171">
        <v>0</v>
      </c>
      <c r="L171" s="2">
        <f>VLOOKUP(A171,[1]aaabonddata!$A:$B,2,0)</f>
        <v>5.48</v>
      </c>
    </row>
    <row r="172" spans="1:12" x14ac:dyDescent="0.2">
      <c r="A172" s="3">
        <v>39015</v>
      </c>
      <c r="B172" s="2">
        <v>1726.76</v>
      </c>
      <c r="C172" s="2">
        <v>1729.9</v>
      </c>
      <c r="D172" s="2">
        <v>1711.68</v>
      </c>
      <c r="E172" s="2">
        <v>2756600032781</v>
      </c>
      <c r="F172" s="2">
        <v>122164647</v>
      </c>
      <c r="G172">
        <v>1041.02</v>
      </c>
      <c r="H172">
        <v>1042.3699999999999</v>
      </c>
      <c r="I172">
        <v>1028.3399999999999</v>
      </c>
      <c r="J172">
        <v>1255413208892</v>
      </c>
      <c r="K172">
        <v>120000745</v>
      </c>
      <c r="L172" s="2">
        <f>VLOOKUP(A172,[1]aaabonddata!$A:$B,2,0)</f>
        <v>5.43</v>
      </c>
    </row>
    <row r="173" spans="1:12" x14ac:dyDescent="0.2">
      <c r="A173" s="3">
        <v>39016</v>
      </c>
      <c r="B173" s="2">
        <v>1744.07</v>
      </c>
      <c r="C173" s="2">
        <v>1745.79</v>
      </c>
      <c r="D173" s="2">
        <v>1718.53</v>
      </c>
      <c r="E173" s="2">
        <v>2784232662965</v>
      </c>
      <c r="F173" s="2">
        <v>0</v>
      </c>
      <c r="G173">
        <v>1045.5999999999999</v>
      </c>
      <c r="H173">
        <v>1046.02</v>
      </c>
      <c r="I173">
        <v>1028.42</v>
      </c>
      <c r="J173">
        <v>1260944813618</v>
      </c>
      <c r="K173">
        <v>0</v>
      </c>
      <c r="L173" s="2">
        <f>VLOOKUP(A173,[1]aaabonddata!$A:$B,2,0)</f>
        <v>5.37</v>
      </c>
    </row>
    <row r="174" spans="1:12" x14ac:dyDescent="0.2">
      <c r="A174" s="3">
        <v>39017</v>
      </c>
      <c r="B174" s="2">
        <v>1717.61</v>
      </c>
      <c r="C174" s="2">
        <v>1741.61</v>
      </c>
      <c r="D174" s="2">
        <v>1712.76</v>
      </c>
      <c r="E174" s="2">
        <v>2741985241923</v>
      </c>
      <c r="F174" s="2">
        <v>0</v>
      </c>
      <c r="G174">
        <v>1026.8699999999999</v>
      </c>
      <c r="H174">
        <v>1044.5999999999999</v>
      </c>
      <c r="I174">
        <v>1023.63</v>
      </c>
      <c r="J174">
        <v>1238349079741</v>
      </c>
      <c r="K174">
        <v>0</v>
      </c>
      <c r="L174" s="2">
        <f>VLOOKUP(A174,[1]aaabonddata!$A:$B,2,0)</f>
        <v>5.33</v>
      </c>
    </row>
    <row r="175" spans="1:12" x14ac:dyDescent="0.2">
      <c r="A175" s="3">
        <v>39020</v>
      </c>
      <c r="B175" s="2">
        <v>1727.8</v>
      </c>
      <c r="C175" s="2">
        <v>1735.02</v>
      </c>
      <c r="D175" s="2">
        <v>1711.85</v>
      </c>
      <c r="E175" s="2">
        <v>2758258337429</v>
      </c>
      <c r="F175" s="2">
        <v>142387028</v>
      </c>
      <c r="G175">
        <v>1046.26</v>
      </c>
      <c r="H175">
        <v>1051.5999999999999</v>
      </c>
      <c r="I175">
        <v>1033.5899999999999</v>
      </c>
      <c r="J175">
        <v>1261734010489</v>
      </c>
      <c r="K175">
        <v>0</v>
      </c>
      <c r="L175" s="2">
        <f>VLOOKUP(A175,[1]aaabonddata!$A:$B,2,0)</f>
        <v>5.33</v>
      </c>
    </row>
    <row r="176" spans="1:12" x14ac:dyDescent="0.2">
      <c r="A176" s="3">
        <v>39021</v>
      </c>
      <c r="B176" s="2">
        <v>1732.54</v>
      </c>
      <c r="C176" s="2">
        <v>1739.33</v>
      </c>
      <c r="D176" s="2">
        <v>1722.15</v>
      </c>
      <c r="E176" s="2">
        <v>2765826335590</v>
      </c>
      <c r="F176" s="2">
        <v>0</v>
      </c>
      <c r="G176">
        <v>1048.6199999999999</v>
      </c>
      <c r="H176">
        <v>1053.3399999999999</v>
      </c>
      <c r="I176">
        <v>1042.9000000000001</v>
      </c>
      <c r="J176">
        <v>1264583805758</v>
      </c>
      <c r="K176">
        <v>0</v>
      </c>
      <c r="L176" s="2">
        <f>VLOOKUP(A176,[1]aaabonddata!$A:$B,2,0)</f>
        <v>5.26</v>
      </c>
    </row>
    <row r="177" spans="1:12" x14ac:dyDescent="0.2">
      <c r="A177" s="3">
        <v>39022</v>
      </c>
      <c r="B177" s="2">
        <v>1707.65</v>
      </c>
      <c r="C177" s="2">
        <v>1739.79</v>
      </c>
      <c r="D177" s="2">
        <v>1702.18</v>
      </c>
      <c r="E177" s="2">
        <v>2726741486375</v>
      </c>
      <c r="F177" s="2">
        <v>0</v>
      </c>
      <c r="G177">
        <v>1032.6199999999999</v>
      </c>
      <c r="H177">
        <v>1053.98</v>
      </c>
      <c r="I177">
        <v>1028.3499999999999</v>
      </c>
      <c r="J177">
        <v>1245291181460</v>
      </c>
      <c r="K177">
        <v>0</v>
      </c>
      <c r="L177" s="2">
        <f>VLOOKUP(A177,[1]aaabonddata!$A:$B,2,0)</f>
        <v>5.21</v>
      </c>
    </row>
    <row r="178" spans="1:12" x14ac:dyDescent="0.2">
      <c r="A178" s="3">
        <v>39023</v>
      </c>
      <c r="B178" s="2">
        <v>1710.17</v>
      </c>
      <c r="C178" s="2">
        <v>1714.37</v>
      </c>
      <c r="D178" s="2">
        <v>1698.6</v>
      </c>
      <c r="E178" s="2">
        <v>2730771359800</v>
      </c>
      <c r="F178" s="2">
        <v>0</v>
      </c>
      <c r="G178">
        <v>1033.8499999999999</v>
      </c>
      <c r="H178">
        <v>1039.49</v>
      </c>
      <c r="I178">
        <v>1029.3599999999999</v>
      </c>
      <c r="J178">
        <v>1246771674506</v>
      </c>
      <c r="K178">
        <v>0</v>
      </c>
      <c r="L178" s="2">
        <f>VLOOKUP(A178,[1]aaabonddata!$A:$B,2,0)</f>
        <v>5.24</v>
      </c>
    </row>
    <row r="179" spans="1:12" x14ac:dyDescent="0.2">
      <c r="A179" s="3">
        <v>39024</v>
      </c>
      <c r="B179" s="2">
        <v>1703.98</v>
      </c>
      <c r="C179" s="2">
        <v>1716.65</v>
      </c>
      <c r="D179" s="2">
        <v>1693.19</v>
      </c>
      <c r="E179" s="2">
        <v>2720881757401</v>
      </c>
      <c r="F179" s="2">
        <v>379396562</v>
      </c>
      <c r="G179">
        <v>1035.4100000000001</v>
      </c>
      <c r="H179">
        <v>1040.0999999999999</v>
      </c>
      <c r="I179">
        <v>1027.74</v>
      </c>
      <c r="J179">
        <v>1248652963887</v>
      </c>
      <c r="K179">
        <v>136960850</v>
      </c>
      <c r="L179" s="2">
        <f>VLOOKUP(A179,[1]aaabonddata!$A:$B,2,0)</f>
        <v>5.36</v>
      </c>
    </row>
    <row r="180" spans="1:12" x14ac:dyDescent="0.2">
      <c r="A180" s="3">
        <v>39027</v>
      </c>
      <c r="B180" s="2">
        <v>1732.26</v>
      </c>
      <c r="C180" s="2">
        <v>1736.54</v>
      </c>
      <c r="D180" s="2">
        <v>1712.03</v>
      </c>
      <c r="E180" s="2">
        <v>2766032580122</v>
      </c>
      <c r="F180" s="2">
        <v>83909829</v>
      </c>
      <c r="G180">
        <v>1055.21</v>
      </c>
      <c r="H180">
        <v>1058.5</v>
      </c>
      <c r="I180">
        <v>1038.53</v>
      </c>
      <c r="J180">
        <v>1272525053368</v>
      </c>
      <c r="K180">
        <v>198092060</v>
      </c>
      <c r="L180" s="2">
        <f>VLOOKUP(A180,[1]aaabonddata!$A:$B,2,0)</f>
        <v>5.36</v>
      </c>
    </row>
    <row r="181" spans="1:12" x14ac:dyDescent="0.2">
      <c r="A181" s="3">
        <v>39028</v>
      </c>
      <c r="B181" s="2">
        <v>1741.53</v>
      </c>
      <c r="C181" s="2">
        <v>1752.95</v>
      </c>
      <c r="D181" s="2">
        <v>1728.27</v>
      </c>
      <c r="E181" s="2">
        <v>2780843251244</v>
      </c>
      <c r="F181" s="2">
        <v>0</v>
      </c>
      <c r="G181">
        <v>1065.49</v>
      </c>
      <c r="H181">
        <v>1074.01</v>
      </c>
      <c r="I181">
        <v>1055.6300000000001</v>
      </c>
      <c r="J181">
        <v>1284929953231</v>
      </c>
      <c r="K181">
        <v>0</v>
      </c>
      <c r="L181" s="2">
        <f>VLOOKUP(A181,[1]aaabonddata!$A:$B,2,0)</f>
        <v>5.31</v>
      </c>
    </row>
    <row r="182" spans="1:12" x14ac:dyDescent="0.2">
      <c r="A182" s="3">
        <v>39029</v>
      </c>
      <c r="B182" s="2">
        <v>1749.75</v>
      </c>
      <c r="C182" s="2">
        <v>1757.18</v>
      </c>
      <c r="D182" s="2">
        <v>1728.35</v>
      </c>
      <c r="E182" s="2">
        <v>2793961393663</v>
      </c>
      <c r="F182" s="2">
        <v>0</v>
      </c>
      <c r="G182">
        <v>1071.1600000000001</v>
      </c>
      <c r="H182">
        <v>1077.29</v>
      </c>
      <c r="I182">
        <v>1059.01</v>
      </c>
      <c r="J182">
        <v>1291769482253</v>
      </c>
      <c r="K182">
        <v>0</v>
      </c>
      <c r="L182" s="2">
        <f>VLOOKUP(A182,[1]aaabonddata!$A:$B,2,0)</f>
        <v>5.28</v>
      </c>
    </row>
    <row r="183" spans="1:12" x14ac:dyDescent="0.2">
      <c r="A183" s="3">
        <v>39030</v>
      </c>
      <c r="B183" s="2">
        <v>1740.14</v>
      </c>
      <c r="C183" s="2">
        <v>1762.95</v>
      </c>
      <c r="D183" s="2">
        <v>1736.66</v>
      </c>
      <c r="E183" s="2">
        <v>2778627763932</v>
      </c>
      <c r="F183" s="2">
        <v>0</v>
      </c>
      <c r="G183">
        <v>1063.8699999999999</v>
      </c>
      <c r="H183">
        <v>1084.1400000000001</v>
      </c>
      <c r="I183">
        <v>1062.8900000000001</v>
      </c>
      <c r="J183">
        <v>1282970804105</v>
      </c>
      <c r="K183">
        <v>0</v>
      </c>
      <c r="L183" s="2">
        <f>VLOOKUP(A183,[1]aaabonddata!$A:$B,2,0)</f>
        <v>5.28</v>
      </c>
    </row>
    <row r="184" spans="1:12" x14ac:dyDescent="0.2">
      <c r="A184" s="3">
        <v>39031</v>
      </c>
      <c r="B184" s="2">
        <v>1751.11</v>
      </c>
      <c r="C184" s="2">
        <v>1751.11</v>
      </c>
      <c r="D184" s="2">
        <v>1736.39</v>
      </c>
      <c r="E184" s="2">
        <v>2796142726788</v>
      </c>
      <c r="F184" s="2">
        <v>76949516</v>
      </c>
      <c r="G184">
        <v>1070.52</v>
      </c>
      <c r="H184">
        <v>1070.52</v>
      </c>
      <c r="I184">
        <v>1059.76</v>
      </c>
      <c r="J184">
        <v>1290990818727</v>
      </c>
      <c r="K184">
        <v>0</v>
      </c>
      <c r="L184" s="2">
        <f>VLOOKUP(A184,[1]aaabonddata!$A:$B,2,0)</f>
        <v>5.25</v>
      </c>
    </row>
    <row r="185" spans="1:12" x14ac:dyDescent="0.2">
      <c r="A185" s="3">
        <v>39034</v>
      </c>
      <c r="B185" s="2">
        <v>1768</v>
      </c>
      <c r="C185" s="2">
        <v>1770.54</v>
      </c>
      <c r="D185" s="2">
        <v>1749.52</v>
      </c>
      <c r="E185" s="2">
        <v>2823099984798</v>
      </c>
      <c r="F185" s="2">
        <v>130533881</v>
      </c>
      <c r="G185">
        <v>1086.1500000000001</v>
      </c>
      <c r="H185">
        <v>1086.6500000000001</v>
      </c>
      <c r="I185">
        <v>1067.8499999999999</v>
      </c>
      <c r="J185">
        <v>1309840015941</v>
      </c>
      <c r="K185">
        <v>185790246</v>
      </c>
      <c r="L185" s="2">
        <f>VLOOKUP(A185,[1]aaabonddata!$A:$B,2,0)</f>
        <v>5.27</v>
      </c>
    </row>
    <row r="186" spans="1:12" x14ac:dyDescent="0.2">
      <c r="A186" s="3">
        <v>39035</v>
      </c>
      <c r="B186" s="2">
        <v>1787.23</v>
      </c>
      <c r="C186" s="2">
        <v>1787.88</v>
      </c>
      <c r="D186" s="2">
        <v>1759.24</v>
      </c>
      <c r="E186" s="2">
        <v>2853808314047</v>
      </c>
      <c r="F186" s="2">
        <v>711837283</v>
      </c>
      <c r="G186">
        <v>1101.8499999999999</v>
      </c>
      <c r="H186">
        <v>1102.6400000000001</v>
      </c>
      <c r="I186">
        <v>1077.93</v>
      </c>
      <c r="J186">
        <v>1328772153210</v>
      </c>
      <c r="K186">
        <v>188434701</v>
      </c>
      <c r="L186" s="2">
        <f>VLOOKUP(A186,[1]aaabonddata!$A:$B,2,0)</f>
        <v>5.24</v>
      </c>
    </row>
    <row r="187" spans="1:12" x14ac:dyDescent="0.2">
      <c r="A187" s="3">
        <v>39036</v>
      </c>
      <c r="B187" s="2">
        <v>1793.82</v>
      </c>
      <c r="C187" s="2">
        <v>1804.88</v>
      </c>
      <c r="D187" s="2">
        <v>1786.71</v>
      </c>
      <c r="E187" s="2">
        <v>2865050376937</v>
      </c>
      <c r="F187" s="2">
        <v>165175916</v>
      </c>
      <c r="G187">
        <v>1102.9100000000001</v>
      </c>
      <c r="H187">
        <v>1107.72</v>
      </c>
      <c r="I187">
        <v>1097.68</v>
      </c>
      <c r="J187">
        <v>1330047975412</v>
      </c>
      <c r="K187">
        <v>0</v>
      </c>
      <c r="L187" s="2">
        <f>VLOOKUP(A187,[1]aaabonddata!$A:$B,2,0)</f>
        <v>5.29</v>
      </c>
    </row>
    <row r="188" spans="1:12" x14ac:dyDescent="0.2">
      <c r="A188" s="3">
        <v>39037</v>
      </c>
      <c r="B188" s="2">
        <v>1801.97</v>
      </c>
      <c r="C188" s="2">
        <v>1806</v>
      </c>
      <c r="D188" s="2">
        <v>1790.96</v>
      </c>
      <c r="E188" s="2">
        <v>2878057474179</v>
      </c>
      <c r="F188" s="2">
        <v>0</v>
      </c>
      <c r="G188">
        <v>1105.05</v>
      </c>
      <c r="H188">
        <v>1106.82</v>
      </c>
      <c r="I188">
        <v>1094.49</v>
      </c>
      <c r="J188">
        <v>1332633971548</v>
      </c>
      <c r="K188">
        <v>0</v>
      </c>
      <c r="L188" s="2">
        <f>VLOOKUP(A188,[1]aaabonddata!$A:$B,2,0)</f>
        <v>5.33</v>
      </c>
    </row>
    <row r="189" spans="1:12" x14ac:dyDescent="0.2">
      <c r="A189" s="3">
        <v>39038</v>
      </c>
      <c r="B189" s="2">
        <v>1800.67</v>
      </c>
      <c r="C189" s="2">
        <v>1800.9</v>
      </c>
      <c r="D189" s="2">
        <v>1788.05</v>
      </c>
      <c r="E189" s="2">
        <v>2875984285372</v>
      </c>
      <c r="F189" s="2">
        <v>131678768</v>
      </c>
      <c r="G189">
        <v>1105.1500000000001</v>
      </c>
      <c r="H189">
        <v>1105.3900000000001</v>
      </c>
      <c r="I189">
        <v>1096.93</v>
      </c>
      <c r="J189">
        <v>1332755525757</v>
      </c>
      <c r="K189">
        <v>142107700</v>
      </c>
      <c r="L189" s="2">
        <f>VLOOKUP(A189,[1]aaabonddata!$A:$B,2,0)</f>
        <v>5.27</v>
      </c>
    </row>
    <row r="190" spans="1:12" x14ac:dyDescent="0.2">
      <c r="A190" s="3">
        <v>39041</v>
      </c>
      <c r="B190" s="2">
        <v>1803.81</v>
      </c>
      <c r="C190" s="2">
        <v>1808.71</v>
      </c>
      <c r="D190" s="2">
        <v>1790.47</v>
      </c>
      <c r="E190" s="2">
        <v>2879764848473</v>
      </c>
      <c r="F190" s="2">
        <v>0</v>
      </c>
      <c r="G190">
        <v>1113.71</v>
      </c>
      <c r="H190">
        <v>1114.6099999999999</v>
      </c>
      <c r="I190">
        <v>1099.07</v>
      </c>
      <c r="J190">
        <v>1343079378072</v>
      </c>
      <c r="K190">
        <v>0</v>
      </c>
      <c r="L190" s="2">
        <f>VLOOKUP(A190,[1]aaabonddata!$A:$B,2,0)</f>
        <v>5.26</v>
      </c>
    </row>
    <row r="191" spans="1:12" x14ac:dyDescent="0.2">
      <c r="A191" s="3">
        <v>39042</v>
      </c>
      <c r="B191" s="2">
        <v>1808.88</v>
      </c>
      <c r="C191" s="2">
        <v>1809.8</v>
      </c>
      <c r="D191" s="2">
        <v>1800.3</v>
      </c>
      <c r="E191" s="2">
        <v>2887852602944</v>
      </c>
      <c r="F191" s="2">
        <v>0</v>
      </c>
      <c r="G191">
        <v>1115.69</v>
      </c>
      <c r="H191">
        <v>1118.2</v>
      </c>
      <c r="I191">
        <v>1109.21</v>
      </c>
      <c r="J191">
        <v>1345460684805</v>
      </c>
      <c r="K191">
        <v>0</v>
      </c>
      <c r="L191" s="2">
        <f>VLOOKUP(A191,[1]aaabonddata!$A:$B,2,0)</f>
        <v>5.25</v>
      </c>
    </row>
    <row r="192" spans="1:12" x14ac:dyDescent="0.2">
      <c r="A192" s="3">
        <v>39043</v>
      </c>
      <c r="B192" s="2">
        <v>1819.76</v>
      </c>
      <c r="C192" s="2">
        <v>1820.2</v>
      </c>
      <c r="D192" s="2">
        <v>1800.72</v>
      </c>
      <c r="E192" s="2">
        <v>2905231806367</v>
      </c>
      <c r="F192" s="2">
        <v>0</v>
      </c>
      <c r="G192">
        <v>1128.9100000000001</v>
      </c>
      <c r="H192">
        <v>1129.96</v>
      </c>
      <c r="I192">
        <v>1114.74</v>
      </c>
      <c r="J192">
        <v>1361405004335</v>
      </c>
      <c r="K192">
        <v>0</v>
      </c>
      <c r="L192" s="2">
        <f>VLOOKUP(A192,[1]aaabonddata!$A:$B,2,0)</f>
        <v>5.24</v>
      </c>
    </row>
    <row r="193" spans="1:12" x14ac:dyDescent="0.2">
      <c r="A193" s="3">
        <v>39045</v>
      </c>
      <c r="B193" s="2">
        <v>1815.53</v>
      </c>
      <c r="C193" s="2">
        <v>1824.21</v>
      </c>
      <c r="D193" s="2">
        <v>1805.39</v>
      </c>
      <c r="E193" s="2">
        <v>2898479160758</v>
      </c>
      <c r="F193" s="2">
        <v>35964783</v>
      </c>
      <c r="G193">
        <v>1125.6500000000001</v>
      </c>
      <c r="H193">
        <v>1130.28</v>
      </c>
      <c r="I193">
        <v>1119.29</v>
      </c>
      <c r="J193">
        <v>1357475210086</v>
      </c>
      <c r="K193">
        <v>154670639</v>
      </c>
      <c r="L193" s="2">
        <f>VLOOKUP(A193,[1]aaabonddata!$A:$B,2,0)</f>
        <v>5.22</v>
      </c>
    </row>
    <row r="194" spans="1:12" x14ac:dyDescent="0.2">
      <c r="A194" s="3">
        <v>39048</v>
      </c>
      <c r="B194" s="2">
        <v>1775.17</v>
      </c>
      <c r="C194" s="2">
        <v>1813.92</v>
      </c>
      <c r="D194" s="2">
        <v>1775.17</v>
      </c>
      <c r="E194" s="2">
        <v>2834044773687</v>
      </c>
      <c r="F194" s="2">
        <v>0</v>
      </c>
      <c r="G194">
        <v>1092.8599999999999</v>
      </c>
      <c r="H194">
        <v>1124.08</v>
      </c>
      <c r="I194">
        <v>1092.8</v>
      </c>
      <c r="J194">
        <v>1317936302338</v>
      </c>
      <c r="K194">
        <v>0</v>
      </c>
      <c r="L194" s="2">
        <f>VLOOKUP(A194,[1]aaabonddata!$A:$B,2,0)</f>
        <v>5.21</v>
      </c>
    </row>
    <row r="195" spans="1:12" x14ac:dyDescent="0.2">
      <c r="A195" s="3">
        <v>39049</v>
      </c>
      <c r="B195" s="2">
        <v>1780.34</v>
      </c>
      <c r="C195" s="2">
        <v>1782.65</v>
      </c>
      <c r="D195" s="2">
        <v>1763.34</v>
      </c>
      <c r="E195" s="2">
        <v>2842291891788</v>
      </c>
      <c r="F195" s="2">
        <v>0</v>
      </c>
      <c r="G195">
        <v>1095</v>
      </c>
      <c r="H195">
        <v>1096.6199999999999</v>
      </c>
      <c r="I195">
        <v>1083.56</v>
      </c>
      <c r="J195">
        <v>1320517336000</v>
      </c>
      <c r="K195">
        <v>0</v>
      </c>
      <c r="L195" s="2">
        <f>VLOOKUP(A195,[1]aaabonddata!$A:$B,2,0)</f>
        <v>5.18</v>
      </c>
    </row>
    <row r="196" spans="1:12" x14ac:dyDescent="0.2">
      <c r="A196" s="3">
        <v>39050</v>
      </c>
      <c r="B196" s="2">
        <v>1792.77</v>
      </c>
      <c r="C196" s="2">
        <v>1796.5</v>
      </c>
      <c r="D196" s="2">
        <v>1776.1</v>
      </c>
      <c r="E196" s="2">
        <v>2862138867050</v>
      </c>
      <c r="F196" s="2">
        <v>257379472</v>
      </c>
      <c r="G196">
        <v>1098.5899999999999</v>
      </c>
      <c r="H196">
        <v>1104.92</v>
      </c>
      <c r="I196">
        <v>1089.29</v>
      </c>
      <c r="J196">
        <v>1324843298896</v>
      </c>
      <c r="K196">
        <v>0</v>
      </c>
      <c r="L196" s="2">
        <f>VLOOKUP(A196,[1]aaabonddata!$A:$B,2,0)</f>
        <v>5.19</v>
      </c>
    </row>
    <row r="197" spans="1:12" x14ac:dyDescent="0.2">
      <c r="A197" s="3">
        <v>39051</v>
      </c>
      <c r="B197" s="2">
        <v>1791.25</v>
      </c>
      <c r="C197" s="2">
        <v>1800.47</v>
      </c>
      <c r="D197" s="2">
        <v>1781.49</v>
      </c>
      <c r="E197" s="2">
        <v>2859711744553</v>
      </c>
      <c r="F197" s="2">
        <v>0</v>
      </c>
      <c r="G197">
        <v>1104.67</v>
      </c>
      <c r="H197">
        <v>1111.3599999999999</v>
      </c>
      <c r="I197">
        <v>1094.51</v>
      </c>
      <c r="J197">
        <v>1332180714704</v>
      </c>
      <c r="K197">
        <v>0</v>
      </c>
      <c r="L197" s="2">
        <f>VLOOKUP(A197,[1]aaabonddata!$A:$B,2,0)</f>
        <v>5.12</v>
      </c>
    </row>
    <row r="198" spans="1:12" x14ac:dyDescent="0.2">
      <c r="A198" s="3">
        <v>39052</v>
      </c>
      <c r="B198" s="2">
        <v>1775.12</v>
      </c>
      <c r="C198" s="2">
        <v>1793.31</v>
      </c>
      <c r="D198" s="2">
        <v>1760.01</v>
      </c>
      <c r="E198" s="2">
        <v>2833961858995</v>
      </c>
      <c r="F198" s="2">
        <v>32838673</v>
      </c>
      <c r="G198">
        <v>1089.52</v>
      </c>
      <c r="H198">
        <v>1105.07</v>
      </c>
      <c r="I198">
        <v>1079.6500000000001</v>
      </c>
      <c r="J198">
        <v>1313903606432</v>
      </c>
      <c r="K198">
        <v>0</v>
      </c>
      <c r="L198" s="2">
        <f>VLOOKUP(A198,[1]aaabonddata!$A:$B,2,0)</f>
        <v>5.07</v>
      </c>
    </row>
    <row r="199" spans="1:12" x14ac:dyDescent="0.2">
      <c r="A199" s="3">
        <v>39055</v>
      </c>
      <c r="B199" s="2">
        <v>1799.93</v>
      </c>
      <c r="C199" s="2">
        <v>1808.12</v>
      </c>
      <c r="D199" s="2">
        <v>1782.13</v>
      </c>
      <c r="E199" s="2">
        <v>2873566010778</v>
      </c>
      <c r="F199" s="2">
        <v>15856214</v>
      </c>
      <c r="G199">
        <v>1108.03</v>
      </c>
      <c r="H199">
        <v>1113.73</v>
      </c>
      <c r="I199">
        <v>1091.8499999999999</v>
      </c>
      <c r="J199">
        <v>1336228233814</v>
      </c>
      <c r="K199">
        <v>0</v>
      </c>
      <c r="L199" s="2">
        <f>VLOOKUP(A199,[1]aaabonddata!$A:$B,2,0)</f>
        <v>5.0599999999999996</v>
      </c>
    </row>
    <row r="200" spans="1:12" x14ac:dyDescent="0.2">
      <c r="A200" s="3">
        <v>39056</v>
      </c>
      <c r="B200" s="2">
        <v>1804.85</v>
      </c>
      <c r="C200" s="2">
        <v>1810.82</v>
      </c>
      <c r="D200" s="2">
        <v>1797.37</v>
      </c>
      <c r="E200" s="2">
        <v>2881420230221</v>
      </c>
      <c r="F200" s="2">
        <v>449081637</v>
      </c>
      <c r="G200">
        <v>1105.2</v>
      </c>
      <c r="H200">
        <v>1112.33</v>
      </c>
      <c r="I200">
        <v>1103.76</v>
      </c>
      <c r="J200">
        <v>1332815757245</v>
      </c>
      <c r="K200">
        <v>83874978</v>
      </c>
      <c r="L200" s="2">
        <f>VLOOKUP(A200,[1]aaabonddata!$A:$B,2,0)</f>
        <v>5.0599999999999996</v>
      </c>
    </row>
    <row r="201" spans="1:12" x14ac:dyDescent="0.2">
      <c r="A201" s="3">
        <v>39057</v>
      </c>
      <c r="B201" s="2">
        <v>1799.13</v>
      </c>
      <c r="C201" s="2">
        <v>1804.88</v>
      </c>
      <c r="D201" s="2">
        <v>1792.29</v>
      </c>
      <c r="E201" s="2">
        <v>2874586320451</v>
      </c>
      <c r="F201" s="2">
        <v>56636671</v>
      </c>
      <c r="G201">
        <v>1102.17</v>
      </c>
      <c r="H201">
        <v>1106.05</v>
      </c>
      <c r="I201">
        <v>1095</v>
      </c>
      <c r="J201">
        <v>1329163276075</v>
      </c>
      <c r="K201">
        <v>0</v>
      </c>
      <c r="L201" s="2">
        <f>VLOOKUP(A201,[1]aaabonddata!$A:$B,2,0)</f>
        <v>5.1100000000000003</v>
      </c>
    </row>
    <row r="202" spans="1:12" x14ac:dyDescent="0.2">
      <c r="A202" s="3">
        <v>39058</v>
      </c>
      <c r="B202" s="2">
        <v>1777.46</v>
      </c>
      <c r="C202" s="2">
        <v>1808.2</v>
      </c>
      <c r="D202" s="2">
        <v>1777.2</v>
      </c>
      <c r="E202" s="2">
        <v>2839964109425</v>
      </c>
      <c r="F202" s="2">
        <v>0</v>
      </c>
      <c r="G202">
        <v>1088.6600000000001</v>
      </c>
      <c r="H202">
        <v>1106.67</v>
      </c>
      <c r="I202">
        <v>1087.97</v>
      </c>
      <c r="J202">
        <v>1312874794712</v>
      </c>
      <c r="K202">
        <v>0</v>
      </c>
      <c r="L202" s="2">
        <f>VLOOKUP(A202,[1]aaabonddata!$A:$B,2,0)</f>
        <v>5.1100000000000003</v>
      </c>
    </row>
    <row r="203" spans="1:12" x14ac:dyDescent="0.2">
      <c r="A203" s="3">
        <v>39059</v>
      </c>
      <c r="B203" s="2">
        <v>1786.21</v>
      </c>
      <c r="C203" s="2">
        <v>1799.22</v>
      </c>
      <c r="D203" s="2">
        <v>1767.83</v>
      </c>
      <c r="E203" s="2">
        <v>2853935749544</v>
      </c>
      <c r="F203" s="2">
        <v>13318199</v>
      </c>
      <c r="G203">
        <v>1089.76</v>
      </c>
      <c r="H203">
        <v>1098.9000000000001</v>
      </c>
      <c r="I203">
        <v>1078.44</v>
      </c>
      <c r="J203">
        <v>1314200188682</v>
      </c>
      <c r="K203">
        <v>0</v>
      </c>
      <c r="L203" s="2">
        <f>VLOOKUP(A203,[1]aaabonddata!$A:$B,2,0)</f>
        <v>5.18</v>
      </c>
    </row>
    <row r="204" spans="1:12" x14ac:dyDescent="0.2">
      <c r="A204" s="3">
        <v>39062</v>
      </c>
      <c r="B204" s="2">
        <v>1791.74</v>
      </c>
      <c r="C204" s="2">
        <v>1803.38</v>
      </c>
      <c r="D204" s="2">
        <v>1779.65</v>
      </c>
      <c r="E204" s="2">
        <v>2862770028437</v>
      </c>
      <c r="F204" s="2">
        <v>0</v>
      </c>
      <c r="G204">
        <v>1091.02</v>
      </c>
      <c r="H204">
        <v>1100.0999999999999</v>
      </c>
      <c r="I204">
        <v>1084.05</v>
      </c>
      <c r="J204">
        <v>1315716443396</v>
      </c>
      <c r="K204">
        <v>0</v>
      </c>
      <c r="L204" s="2">
        <f>VLOOKUP(A204,[1]aaabonddata!$A:$B,2,0)</f>
        <v>5.16</v>
      </c>
    </row>
    <row r="205" spans="1:12" x14ac:dyDescent="0.2">
      <c r="A205" s="3">
        <v>39063</v>
      </c>
      <c r="B205" s="2">
        <v>1781.97</v>
      </c>
      <c r="C205" s="2">
        <v>1794.05</v>
      </c>
      <c r="D205" s="2">
        <v>1771.3</v>
      </c>
      <c r="E205" s="2">
        <v>2855331586466</v>
      </c>
      <c r="F205" s="2">
        <v>25203530</v>
      </c>
      <c r="G205">
        <v>1085.69</v>
      </c>
      <c r="H205">
        <v>1094.9000000000001</v>
      </c>
      <c r="I205">
        <v>1079.3900000000001</v>
      </c>
      <c r="J205">
        <v>1291341596631</v>
      </c>
      <c r="K205">
        <v>0</v>
      </c>
      <c r="L205" s="2">
        <f>VLOOKUP(A205,[1]aaabonddata!$A:$B,2,0)</f>
        <v>5.13</v>
      </c>
    </row>
    <row r="206" spans="1:12" x14ac:dyDescent="0.2">
      <c r="A206" s="3">
        <v>39064</v>
      </c>
      <c r="B206" s="2">
        <v>1783.44</v>
      </c>
      <c r="C206" s="2">
        <v>1793.86</v>
      </c>
      <c r="D206" s="2">
        <v>1774.05</v>
      </c>
      <c r="E206" s="2">
        <v>2857683433047</v>
      </c>
      <c r="F206" s="2">
        <v>0</v>
      </c>
      <c r="G206">
        <v>1083.8599999999999</v>
      </c>
      <c r="H206">
        <v>1093.6500000000001</v>
      </c>
      <c r="I206">
        <v>1079.3</v>
      </c>
      <c r="J206">
        <v>1289162344892</v>
      </c>
      <c r="K206">
        <v>0</v>
      </c>
      <c r="L206" s="2">
        <f>VLOOKUP(A206,[1]aaabonddata!$A:$B,2,0)</f>
        <v>5.21</v>
      </c>
    </row>
    <row r="207" spans="1:12" x14ac:dyDescent="0.2">
      <c r="A207" s="3">
        <v>39065</v>
      </c>
      <c r="B207" s="2">
        <v>1803.41</v>
      </c>
      <c r="C207" s="2">
        <v>1811.08</v>
      </c>
      <c r="D207" s="2">
        <v>1786.52</v>
      </c>
      <c r="E207" s="2">
        <v>2889683915330</v>
      </c>
      <c r="F207" s="2">
        <v>1049853802</v>
      </c>
      <c r="G207">
        <v>1101.1099999999999</v>
      </c>
      <c r="H207">
        <v>1106.6500000000001</v>
      </c>
      <c r="I207">
        <v>1086.6300000000001</v>
      </c>
      <c r="J207">
        <v>1309676237755</v>
      </c>
      <c r="K207">
        <v>0</v>
      </c>
      <c r="L207" s="2">
        <f>VLOOKUP(A207,[1]aaabonddata!$A:$B,2,0)</f>
        <v>5.24</v>
      </c>
    </row>
    <row r="208" spans="1:12" x14ac:dyDescent="0.2">
      <c r="A208" s="3">
        <v>39066</v>
      </c>
      <c r="B208" s="2">
        <v>1808.56</v>
      </c>
      <c r="C208" s="2">
        <v>1821.18</v>
      </c>
      <c r="D208" s="2">
        <v>1805.45</v>
      </c>
      <c r="E208" s="2">
        <v>2897943027478</v>
      </c>
      <c r="F208" s="2">
        <v>0</v>
      </c>
      <c r="G208">
        <v>1104.99</v>
      </c>
      <c r="H208">
        <v>1112.3599999999999</v>
      </c>
      <c r="I208">
        <v>1102.75</v>
      </c>
      <c r="J208">
        <v>1314294432735</v>
      </c>
      <c r="K208">
        <v>0</v>
      </c>
      <c r="L208" s="2">
        <f>VLOOKUP(A208,[1]aaabonddata!$A:$B,2,0)</f>
        <v>5.24</v>
      </c>
    </row>
    <row r="209" spans="1:12" x14ac:dyDescent="0.2">
      <c r="A209" s="3">
        <v>39069</v>
      </c>
      <c r="B209" s="2">
        <v>1790.99</v>
      </c>
      <c r="C209" s="2">
        <v>1820.94</v>
      </c>
      <c r="D209" s="2">
        <v>1783.24</v>
      </c>
      <c r="E209" s="2">
        <v>2874753617898</v>
      </c>
      <c r="F209" s="2">
        <v>0</v>
      </c>
      <c r="G209">
        <v>1094.5</v>
      </c>
      <c r="H209">
        <v>1115.04</v>
      </c>
      <c r="I209">
        <v>1089.78</v>
      </c>
      <c r="J209">
        <v>1355397370852</v>
      </c>
      <c r="K209">
        <v>0</v>
      </c>
      <c r="L209" s="2">
        <f>VLOOKUP(A209,[1]aaabonddata!$A:$B,2,0)</f>
        <v>5.23</v>
      </c>
    </row>
    <row r="210" spans="1:12" x14ac:dyDescent="0.2">
      <c r="A210" s="3">
        <v>39070</v>
      </c>
      <c r="B210" s="2">
        <v>1785.12</v>
      </c>
      <c r="C210" s="2">
        <v>1792.78</v>
      </c>
      <c r="D210" s="2">
        <v>1766.35</v>
      </c>
      <c r="E210" s="2">
        <v>2865331812660</v>
      </c>
      <c r="F210" s="2">
        <v>21788526</v>
      </c>
      <c r="G210">
        <v>1087.8399999999999</v>
      </c>
      <c r="H210">
        <v>1092.73</v>
      </c>
      <c r="I210">
        <v>1076.8800000000001</v>
      </c>
      <c r="J210">
        <v>1347146202381</v>
      </c>
      <c r="K210">
        <v>0</v>
      </c>
      <c r="L210" s="2">
        <f>VLOOKUP(A210,[1]aaabonddata!$A:$B,2,0)</f>
        <v>5.24</v>
      </c>
    </row>
    <row r="211" spans="1:12" x14ac:dyDescent="0.2">
      <c r="A211" s="3">
        <v>39071</v>
      </c>
      <c r="B211" s="2">
        <v>1777.92</v>
      </c>
      <c r="C211" s="2">
        <v>1795.41</v>
      </c>
      <c r="D211" s="2">
        <v>1777.92</v>
      </c>
      <c r="E211" s="2">
        <v>2853771330372</v>
      </c>
      <c r="F211" s="2">
        <v>0</v>
      </c>
      <c r="G211">
        <v>1086.19</v>
      </c>
      <c r="H211">
        <v>1097.48</v>
      </c>
      <c r="I211">
        <v>1085.1300000000001</v>
      </c>
      <c r="J211">
        <v>1345110146078</v>
      </c>
      <c r="K211">
        <v>0</v>
      </c>
      <c r="L211" s="2">
        <f>VLOOKUP(A211,[1]aaabonddata!$A:$B,2,0)</f>
        <v>5.23</v>
      </c>
    </row>
    <row r="212" spans="1:12" x14ac:dyDescent="0.2">
      <c r="A212" s="3">
        <v>39072</v>
      </c>
      <c r="B212" s="2">
        <v>1766.28</v>
      </c>
      <c r="C212" s="2">
        <v>1781.51</v>
      </c>
      <c r="D212" s="2">
        <v>1759.08</v>
      </c>
      <c r="E212" s="2">
        <v>2835083334721</v>
      </c>
      <c r="F212" s="2">
        <v>0</v>
      </c>
      <c r="G212">
        <v>1078.21</v>
      </c>
      <c r="H212">
        <v>1087.96</v>
      </c>
      <c r="I212">
        <v>1073.27</v>
      </c>
      <c r="J212">
        <v>1335225307932</v>
      </c>
      <c r="K212">
        <v>0</v>
      </c>
      <c r="L212" s="2">
        <f>VLOOKUP(A212,[1]aaabonddata!$A:$B,2,0)</f>
        <v>5.18</v>
      </c>
    </row>
    <row r="213" spans="1:12" x14ac:dyDescent="0.2">
      <c r="A213" s="3">
        <v>39073</v>
      </c>
      <c r="B213" s="2">
        <v>1748.61</v>
      </c>
      <c r="C213" s="2">
        <v>1765.98</v>
      </c>
      <c r="D213" s="2">
        <v>1748.61</v>
      </c>
      <c r="E213" s="2">
        <v>2806735274312</v>
      </c>
      <c r="F213" s="2">
        <v>0</v>
      </c>
      <c r="G213">
        <v>1066.8499999999999</v>
      </c>
      <c r="H213">
        <v>1080.43</v>
      </c>
      <c r="I213">
        <v>1066.8499999999999</v>
      </c>
      <c r="J213">
        <v>1321154311589</v>
      </c>
      <c r="K213">
        <v>0</v>
      </c>
      <c r="L213" s="2">
        <f>VLOOKUP(A213,[1]aaabonddata!$A:$B,2,0)</f>
        <v>5.25</v>
      </c>
    </row>
    <row r="214" spans="1:12" x14ac:dyDescent="0.2">
      <c r="A214" s="3">
        <v>39077</v>
      </c>
      <c r="B214" s="2">
        <v>1753.55</v>
      </c>
      <c r="C214" s="2">
        <v>1754.7</v>
      </c>
      <c r="D214" s="2">
        <v>1746.07</v>
      </c>
      <c r="E214" s="2">
        <v>2814657262039</v>
      </c>
      <c r="F214" s="2">
        <v>11014728</v>
      </c>
      <c r="G214">
        <v>1071.55</v>
      </c>
      <c r="H214">
        <v>1073.5899999999999</v>
      </c>
      <c r="I214">
        <v>1065.6199999999999</v>
      </c>
      <c r="J214">
        <v>1326980917279</v>
      </c>
      <c r="K214">
        <v>0</v>
      </c>
      <c r="L214" s="2">
        <f>VLOOKUP(A214,[1]aaabonddata!$A:$B,2,0)</f>
        <v>5.24</v>
      </c>
    </row>
    <row r="215" spans="1:12" x14ac:dyDescent="0.2">
      <c r="A215" s="3">
        <v>39078</v>
      </c>
      <c r="B215" s="2">
        <v>1763.41</v>
      </c>
      <c r="C215" s="2">
        <v>1766.15</v>
      </c>
      <c r="D215" s="2">
        <v>1754.87</v>
      </c>
      <c r="E215" s="2">
        <v>2830483162619</v>
      </c>
      <c r="F215" s="2">
        <v>0</v>
      </c>
      <c r="G215">
        <v>1078.94</v>
      </c>
      <c r="H215">
        <v>1081.08</v>
      </c>
      <c r="I215">
        <v>1075.3499999999999</v>
      </c>
      <c r="J215">
        <v>1336132295335</v>
      </c>
      <c r="K215">
        <v>0</v>
      </c>
      <c r="L215" s="2">
        <f>VLOOKUP(A215,[1]aaabonddata!$A:$B,2,0)</f>
        <v>5.29</v>
      </c>
    </row>
    <row r="216" spans="1:12" x14ac:dyDescent="0.2">
      <c r="A216" s="3">
        <v>39079</v>
      </c>
      <c r="B216" s="2">
        <v>1758.94</v>
      </c>
      <c r="C216" s="2">
        <v>1765.06</v>
      </c>
      <c r="D216" s="2">
        <v>1752.64</v>
      </c>
      <c r="E216" s="2">
        <v>2823307896377</v>
      </c>
      <c r="F216" s="2">
        <v>0</v>
      </c>
      <c r="G216">
        <v>1076.1199999999999</v>
      </c>
      <c r="H216">
        <v>1079.7</v>
      </c>
      <c r="I216">
        <v>1073.05</v>
      </c>
      <c r="J216">
        <v>1332632733123</v>
      </c>
      <c r="K216">
        <v>0</v>
      </c>
      <c r="L216" s="2">
        <f>VLOOKUP(A216,[1]aaabonddata!$A:$B,2,0)</f>
        <v>5.32</v>
      </c>
    </row>
    <row r="217" spans="1:12" x14ac:dyDescent="0.2">
      <c r="A217" s="3">
        <v>39080</v>
      </c>
      <c r="B217" s="2">
        <v>1756.9</v>
      </c>
      <c r="C217" s="2">
        <v>1774.64</v>
      </c>
      <c r="D217" s="2">
        <v>1755.04</v>
      </c>
      <c r="E217" s="2">
        <v>2820036130404</v>
      </c>
      <c r="F217" s="2">
        <v>0</v>
      </c>
      <c r="G217">
        <v>1072.33</v>
      </c>
      <c r="H217">
        <v>1084.8900000000001</v>
      </c>
      <c r="I217">
        <v>1071.29</v>
      </c>
      <c r="J217">
        <v>1327946116871</v>
      </c>
      <c r="K217">
        <v>0</v>
      </c>
      <c r="L217" s="2">
        <f>VLOOKUP(A217,[1]aaabonddata!$A:$B,2,0)</f>
        <v>5.33</v>
      </c>
    </row>
    <row r="218" spans="1:12" x14ac:dyDescent="0.2">
      <c r="A218" s="3">
        <v>39085</v>
      </c>
      <c r="B218" s="2">
        <v>1759.37</v>
      </c>
      <c r="C218" s="2">
        <v>1793.05</v>
      </c>
      <c r="D218" s="2">
        <v>1731.71</v>
      </c>
      <c r="E218" s="2">
        <v>2824003425561</v>
      </c>
      <c r="F218" s="2">
        <v>0</v>
      </c>
      <c r="G218">
        <v>1075.9100000000001</v>
      </c>
      <c r="H218">
        <v>1097.58</v>
      </c>
      <c r="I218">
        <v>1058.3699999999999</v>
      </c>
      <c r="J218">
        <v>1332376608368</v>
      </c>
      <c r="K218">
        <v>0</v>
      </c>
      <c r="L218" s="2">
        <f>VLOOKUP(A218,[1]aaabonddata!$A:$B,2,0)</f>
        <v>5.29</v>
      </c>
    </row>
    <row r="219" spans="1:12" x14ac:dyDescent="0.2">
      <c r="A219" s="3">
        <v>39086</v>
      </c>
      <c r="B219" s="2">
        <v>1792.91</v>
      </c>
      <c r="C219" s="2">
        <v>1799.07</v>
      </c>
      <c r="D219" s="2">
        <v>1757</v>
      </c>
      <c r="E219" s="2">
        <v>2877834175429</v>
      </c>
      <c r="F219" s="2">
        <v>0</v>
      </c>
      <c r="G219">
        <v>1097.08</v>
      </c>
      <c r="H219">
        <v>1100.81</v>
      </c>
      <c r="I219">
        <v>1072.1300000000001</v>
      </c>
      <c r="J219">
        <v>1358593432884</v>
      </c>
      <c r="K219">
        <v>0</v>
      </c>
      <c r="L219" s="2">
        <f>VLOOKUP(A219,[1]aaabonddata!$A:$B,2,0)</f>
        <v>5.24</v>
      </c>
    </row>
    <row r="220" spans="1:12" x14ac:dyDescent="0.2">
      <c r="A220" s="3">
        <v>39087</v>
      </c>
      <c r="B220" s="2">
        <v>1785.3</v>
      </c>
      <c r="C220" s="2">
        <v>1787.79</v>
      </c>
      <c r="D220" s="2">
        <v>1770.29</v>
      </c>
      <c r="E220" s="2">
        <v>2865624705391</v>
      </c>
      <c r="F220" s="2">
        <v>0</v>
      </c>
      <c r="G220">
        <v>1090.93</v>
      </c>
      <c r="H220">
        <v>1091.96</v>
      </c>
      <c r="I220">
        <v>1078.95</v>
      </c>
      <c r="J220">
        <v>1350978915242</v>
      </c>
      <c r="K220">
        <v>0</v>
      </c>
      <c r="L220" s="2">
        <f>VLOOKUP(A220,[1]aaabonddata!$A:$B,2,0)</f>
        <v>5.27</v>
      </c>
    </row>
    <row r="221" spans="1:12" x14ac:dyDescent="0.2">
      <c r="A221" s="3">
        <v>39090</v>
      </c>
      <c r="B221" s="2">
        <v>1787.14</v>
      </c>
      <c r="C221" s="2">
        <v>1795.45</v>
      </c>
      <c r="D221" s="2">
        <v>1776.99</v>
      </c>
      <c r="E221" s="2">
        <v>2868573365782</v>
      </c>
      <c r="F221" s="2">
        <v>0</v>
      </c>
      <c r="G221">
        <v>1093.44</v>
      </c>
      <c r="H221">
        <v>1101.2</v>
      </c>
      <c r="I221">
        <v>1087.05</v>
      </c>
      <c r="J221">
        <v>1354077933347</v>
      </c>
      <c r="K221">
        <v>0</v>
      </c>
      <c r="L221" s="2">
        <f>VLOOKUP(A221,[1]aaabonddata!$A:$B,2,0)</f>
        <v>5.28</v>
      </c>
    </row>
    <row r="222" spans="1:12" x14ac:dyDescent="0.2">
      <c r="A222" s="3">
        <v>39091</v>
      </c>
      <c r="B222" s="2">
        <v>1795.63</v>
      </c>
      <c r="C222" s="2">
        <v>1802.44</v>
      </c>
      <c r="D222" s="2">
        <v>1776.73</v>
      </c>
      <c r="E222" s="2">
        <v>2882200008976</v>
      </c>
      <c r="F222" s="2">
        <v>0</v>
      </c>
      <c r="G222">
        <v>1096.3599999999999</v>
      </c>
      <c r="H222">
        <v>1100.8</v>
      </c>
      <c r="I222">
        <v>1087.05</v>
      </c>
      <c r="J222">
        <v>1357704163078</v>
      </c>
      <c r="K222">
        <v>0</v>
      </c>
      <c r="L222" s="2">
        <f>VLOOKUP(A222,[1]aaabonddata!$A:$B,2,0)</f>
        <v>5.28</v>
      </c>
    </row>
    <row r="223" spans="1:12" x14ac:dyDescent="0.2">
      <c r="A223" s="3">
        <v>39092</v>
      </c>
      <c r="B223" s="2">
        <v>1816.15</v>
      </c>
      <c r="C223" s="2">
        <v>1817.22</v>
      </c>
      <c r="D223" s="2">
        <v>1784.28</v>
      </c>
      <c r="E223" s="2">
        <v>2915138921094</v>
      </c>
      <c r="F223" s="2">
        <v>46292477</v>
      </c>
      <c r="G223">
        <v>1110.6600000000001</v>
      </c>
      <c r="H223">
        <v>1112.75</v>
      </c>
      <c r="I223">
        <v>1087.52</v>
      </c>
      <c r="J223">
        <v>1375405986774</v>
      </c>
      <c r="K223">
        <v>0</v>
      </c>
      <c r="L223" s="2">
        <f>VLOOKUP(A223,[1]aaabonddata!$A:$B,2,0)</f>
        <v>5.3</v>
      </c>
    </row>
    <row r="224" spans="1:12" x14ac:dyDescent="0.2">
      <c r="A224" s="3">
        <v>39093</v>
      </c>
      <c r="B224" s="2">
        <v>1834.86</v>
      </c>
      <c r="C224" s="2">
        <v>1840.88</v>
      </c>
      <c r="D224" s="2">
        <v>1818.09</v>
      </c>
      <c r="E224" s="2">
        <v>2945171506614</v>
      </c>
      <c r="F224" s="2">
        <v>0</v>
      </c>
      <c r="G224">
        <v>1119.18</v>
      </c>
      <c r="H224">
        <v>1125.02</v>
      </c>
      <c r="I224">
        <v>1113.42</v>
      </c>
      <c r="J224">
        <v>1385962089487</v>
      </c>
      <c r="K224">
        <v>0</v>
      </c>
      <c r="L224" s="2">
        <f>VLOOKUP(A224,[1]aaabonddata!$A:$B,2,0)</f>
        <v>5.35</v>
      </c>
    </row>
    <row r="225" spans="1:12" x14ac:dyDescent="0.2">
      <c r="A225" s="3">
        <v>39094</v>
      </c>
      <c r="B225" s="2">
        <v>1844.81</v>
      </c>
      <c r="C225" s="2">
        <v>1845.68</v>
      </c>
      <c r="D225" s="2">
        <v>1830.34</v>
      </c>
      <c r="E225" s="2">
        <v>2961133081928</v>
      </c>
      <c r="F225" s="2">
        <v>0</v>
      </c>
      <c r="G225">
        <v>1122.55</v>
      </c>
      <c r="H225">
        <v>1124.58</v>
      </c>
      <c r="I225">
        <v>1113.46</v>
      </c>
      <c r="J225">
        <v>1390126106932</v>
      </c>
      <c r="K225">
        <v>0</v>
      </c>
      <c r="L225" s="2">
        <f>VLOOKUP(A225,[1]aaabonddata!$A:$B,2,0)</f>
        <v>5.38</v>
      </c>
    </row>
    <row r="226" spans="1:12" x14ac:dyDescent="0.2">
      <c r="A226" s="3">
        <v>39098</v>
      </c>
      <c r="B226" s="2">
        <v>1842.44</v>
      </c>
      <c r="C226" s="2">
        <v>1847.54</v>
      </c>
      <c r="D226" s="2">
        <v>1836.83</v>
      </c>
      <c r="E226" s="2">
        <v>2957331756119</v>
      </c>
      <c r="F226" s="2">
        <v>0</v>
      </c>
      <c r="G226">
        <v>1113.44</v>
      </c>
      <c r="H226">
        <v>1121.23</v>
      </c>
      <c r="I226">
        <v>1110.47</v>
      </c>
      <c r="J226">
        <v>1378847003675</v>
      </c>
      <c r="K226">
        <v>0</v>
      </c>
      <c r="L226" s="2">
        <f>VLOOKUP(A226,[1]aaabonddata!$A:$B,2,0)</f>
        <v>5.37</v>
      </c>
    </row>
    <row r="227" spans="1:12" x14ac:dyDescent="0.2">
      <c r="A227" s="3">
        <v>39099</v>
      </c>
      <c r="B227" s="2">
        <v>1827.68</v>
      </c>
      <c r="C227" s="2">
        <v>1843.07</v>
      </c>
      <c r="D227" s="2">
        <v>1824.74</v>
      </c>
      <c r="E227" s="2">
        <v>2933646549644</v>
      </c>
      <c r="F227" s="2">
        <v>0</v>
      </c>
      <c r="G227">
        <v>1104.07</v>
      </c>
      <c r="H227">
        <v>1112.1300000000001</v>
      </c>
      <c r="I227">
        <v>1101.23</v>
      </c>
      <c r="J227">
        <v>1367248063403</v>
      </c>
      <c r="K227">
        <v>0</v>
      </c>
      <c r="L227" s="2">
        <f>VLOOKUP(A227,[1]aaabonddata!$A:$B,2,0)</f>
        <v>5.4</v>
      </c>
    </row>
    <row r="228" spans="1:12" x14ac:dyDescent="0.2">
      <c r="A228" s="3">
        <v>39100</v>
      </c>
      <c r="B228" s="2">
        <v>1793.68</v>
      </c>
      <c r="C228" s="2">
        <v>1824.34</v>
      </c>
      <c r="D228" s="2">
        <v>1789.39</v>
      </c>
      <c r="E228" s="2">
        <v>2879075120632</v>
      </c>
      <c r="F228" s="2">
        <v>0</v>
      </c>
      <c r="G228">
        <v>1070.05</v>
      </c>
      <c r="H228">
        <v>1095.8900000000001</v>
      </c>
      <c r="I228">
        <v>1066.57</v>
      </c>
      <c r="J228">
        <v>1325115137957</v>
      </c>
      <c r="K228">
        <v>0</v>
      </c>
      <c r="L228" s="2">
        <f>VLOOKUP(A228,[1]aaabonddata!$A:$B,2,0)</f>
        <v>5.38</v>
      </c>
    </row>
    <row r="229" spans="1:12" x14ac:dyDescent="0.2">
      <c r="A229" s="3">
        <v>39101</v>
      </c>
      <c r="B229" s="2">
        <v>1796.81</v>
      </c>
      <c r="C229" s="2">
        <v>1802.22</v>
      </c>
      <c r="D229" s="2">
        <v>1787.52</v>
      </c>
      <c r="E229" s="2">
        <v>2884088997751</v>
      </c>
      <c r="F229" s="2">
        <v>0</v>
      </c>
      <c r="G229">
        <v>1072.99</v>
      </c>
      <c r="H229">
        <v>1077.53</v>
      </c>
      <c r="I229">
        <v>1065.01</v>
      </c>
      <c r="J229">
        <v>1328759520801</v>
      </c>
      <c r="K229">
        <v>0</v>
      </c>
      <c r="L229" s="2">
        <f>VLOOKUP(A229,[1]aaabonddata!$A:$B,2,0)</f>
        <v>5.4</v>
      </c>
    </row>
    <row r="230" spans="1:12" x14ac:dyDescent="0.2">
      <c r="A230" s="3">
        <v>39104</v>
      </c>
      <c r="B230" s="2">
        <v>1779.02</v>
      </c>
      <c r="C230" s="2">
        <v>1800.53</v>
      </c>
      <c r="D230" s="2">
        <v>1771.24</v>
      </c>
      <c r="E230" s="2">
        <v>2855536755998</v>
      </c>
      <c r="F230" s="2">
        <v>0</v>
      </c>
      <c r="G230">
        <v>1062.03</v>
      </c>
      <c r="H230">
        <v>1075.3</v>
      </c>
      <c r="I230">
        <v>1056.6400000000001</v>
      </c>
      <c r="J230">
        <v>1315190415991</v>
      </c>
      <c r="K230">
        <v>0</v>
      </c>
      <c r="L230" s="2">
        <f>VLOOKUP(A230,[1]aaabonddata!$A:$B,2,0)</f>
        <v>5.39</v>
      </c>
    </row>
    <row r="231" spans="1:12" x14ac:dyDescent="0.2">
      <c r="A231" s="3">
        <v>39105</v>
      </c>
      <c r="B231" s="2">
        <v>1773.4</v>
      </c>
      <c r="C231" s="2">
        <v>1790.07</v>
      </c>
      <c r="D231" s="2">
        <v>1771.44</v>
      </c>
      <c r="E231" s="2">
        <v>2846524716357</v>
      </c>
      <c r="F231" s="2">
        <v>0</v>
      </c>
      <c r="G231">
        <v>1062.3499999999999</v>
      </c>
      <c r="H231">
        <v>1073.22</v>
      </c>
      <c r="I231">
        <v>1060.8699999999999</v>
      </c>
      <c r="J231">
        <v>1315577366554</v>
      </c>
      <c r="K231">
        <v>0</v>
      </c>
      <c r="L231" s="2">
        <f>VLOOKUP(A231,[1]aaabonddata!$A:$B,2,0)</f>
        <v>5.42</v>
      </c>
    </row>
    <row r="232" spans="1:12" x14ac:dyDescent="0.2">
      <c r="A232" s="3">
        <v>39106</v>
      </c>
      <c r="B232" s="2">
        <v>1802.63</v>
      </c>
      <c r="C232" s="2">
        <v>1803.46</v>
      </c>
      <c r="D232" s="2">
        <v>1781.82</v>
      </c>
      <c r="E232" s="2">
        <v>2893443906298</v>
      </c>
      <c r="F232" s="2">
        <v>142902040</v>
      </c>
      <c r="G232">
        <v>1087.03</v>
      </c>
      <c r="H232">
        <v>1088.19</v>
      </c>
      <c r="I232">
        <v>1071.8499999999999</v>
      </c>
      <c r="J232">
        <v>1346143710401</v>
      </c>
      <c r="K232">
        <v>182922705</v>
      </c>
      <c r="L232" s="2">
        <f>VLOOKUP(A232,[1]aaabonddata!$A:$B,2,0)</f>
        <v>5.43</v>
      </c>
    </row>
    <row r="233" spans="1:12" x14ac:dyDescent="0.2">
      <c r="A233" s="3">
        <v>39107</v>
      </c>
      <c r="B233" s="2">
        <v>1777.75</v>
      </c>
      <c r="C233" s="2">
        <v>1810.24</v>
      </c>
      <c r="D233" s="2">
        <v>1774.58</v>
      </c>
      <c r="E233" s="2">
        <v>2853508718789</v>
      </c>
      <c r="F233" s="2">
        <v>0</v>
      </c>
      <c r="G233">
        <v>1073.72</v>
      </c>
      <c r="H233">
        <v>1094.8499999999999</v>
      </c>
      <c r="I233">
        <v>1071.5899999999999</v>
      </c>
      <c r="J233">
        <v>1329660412497</v>
      </c>
      <c r="K233">
        <v>0</v>
      </c>
      <c r="L233" s="2">
        <f>VLOOKUP(A233,[1]aaabonddata!$A:$B,2,0)</f>
        <v>5.47</v>
      </c>
    </row>
    <row r="234" spans="1:12" x14ac:dyDescent="0.2">
      <c r="A234" s="3">
        <v>39108</v>
      </c>
      <c r="B234" s="2">
        <v>1772.97</v>
      </c>
      <c r="C234" s="2">
        <v>1784.82</v>
      </c>
      <c r="D234" s="2">
        <v>1763.3</v>
      </c>
      <c r="E234" s="2">
        <v>2845828452107</v>
      </c>
      <c r="F234" s="2">
        <v>0</v>
      </c>
      <c r="G234">
        <v>1075.46</v>
      </c>
      <c r="H234">
        <v>1080.8599999999999</v>
      </c>
      <c r="I234">
        <v>1066.3900000000001</v>
      </c>
      <c r="J234">
        <v>1331813278481</v>
      </c>
      <c r="K234">
        <v>0</v>
      </c>
      <c r="L234" s="2">
        <f>VLOOKUP(A234,[1]aaabonddata!$A:$B,2,0)</f>
        <v>5.49</v>
      </c>
    </row>
    <row r="235" spans="1:12" x14ac:dyDescent="0.2">
      <c r="A235" s="3">
        <v>39111</v>
      </c>
      <c r="B235" s="2">
        <v>1775.08</v>
      </c>
      <c r="C235" s="2">
        <v>1786.97</v>
      </c>
      <c r="D235" s="2">
        <v>1767.09</v>
      </c>
      <c r="E235" s="2">
        <v>2849220515317</v>
      </c>
      <c r="F235" s="2">
        <v>0</v>
      </c>
      <c r="G235">
        <v>1073.51</v>
      </c>
      <c r="H235">
        <v>1081.8399999999999</v>
      </c>
      <c r="I235">
        <v>1068.69</v>
      </c>
      <c r="J235">
        <v>1329405496807</v>
      </c>
      <c r="K235">
        <v>0</v>
      </c>
      <c r="L235" s="2">
        <f>VLOOKUP(A235,[1]aaabonddata!$A:$B,2,0)</f>
        <v>5.49</v>
      </c>
    </row>
    <row r="236" spans="1:12" x14ac:dyDescent="0.2">
      <c r="A236" s="3">
        <v>39112</v>
      </c>
      <c r="B236" s="2">
        <v>1777.76</v>
      </c>
      <c r="C236" s="2">
        <v>1782.21</v>
      </c>
      <c r="D236" s="2">
        <v>1772.03</v>
      </c>
      <c r="E236" s="2">
        <v>2853510637089</v>
      </c>
      <c r="F236" s="2">
        <v>142365702</v>
      </c>
      <c r="G236">
        <v>1077.98</v>
      </c>
      <c r="H236">
        <v>1079.74</v>
      </c>
      <c r="I236">
        <v>1072.03</v>
      </c>
      <c r="J236">
        <v>1334940431848</v>
      </c>
      <c r="K236">
        <v>0</v>
      </c>
      <c r="L236" s="2">
        <f>VLOOKUP(A236,[1]aaabonddata!$A:$B,2,0)</f>
        <v>5.48</v>
      </c>
    </row>
    <row r="237" spans="1:12" x14ac:dyDescent="0.2">
      <c r="A237" s="3">
        <v>39113</v>
      </c>
      <c r="B237" s="2">
        <v>1792.28</v>
      </c>
      <c r="C237" s="2">
        <v>1798.49</v>
      </c>
      <c r="D237" s="2">
        <v>1764.63</v>
      </c>
      <c r="E237" s="2">
        <v>2875556008062</v>
      </c>
      <c r="F237" s="2">
        <v>0</v>
      </c>
      <c r="G237">
        <v>1078.53</v>
      </c>
      <c r="H237">
        <v>1082.07</v>
      </c>
      <c r="I237">
        <v>1062.3699999999999</v>
      </c>
      <c r="J237">
        <v>1335614833385</v>
      </c>
      <c r="K237">
        <v>0</v>
      </c>
      <c r="L237" s="2">
        <f>VLOOKUP(A237,[1]aaabonddata!$A:$B,2,0)</f>
        <v>5.44</v>
      </c>
    </row>
    <row r="238" spans="1:12" x14ac:dyDescent="0.2">
      <c r="A238" s="3">
        <v>39114</v>
      </c>
      <c r="B238" s="2">
        <v>1791.45</v>
      </c>
      <c r="C238" s="2">
        <v>1806.81</v>
      </c>
      <c r="D238" s="2">
        <v>1785.54</v>
      </c>
      <c r="E238" s="2">
        <v>2876376248318</v>
      </c>
      <c r="F238" s="2">
        <v>0</v>
      </c>
      <c r="G238">
        <v>1082.9100000000001</v>
      </c>
      <c r="H238">
        <v>1090.18</v>
      </c>
      <c r="I238">
        <v>1077.24</v>
      </c>
      <c r="J238">
        <v>1341044304617</v>
      </c>
      <c r="K238">
        <v>0</v>
      </c>
      <c r="L238" s="2">
        <f>VLOOKUP(A238,[1]aaabonddata!$A:$B,2,0)</f>
        <v>5.45</v>
      </c>
    </row>
    <row r="239" spans="1:12" x14ac:dyDescent="0.2">
      <c r="A239" s="3">
        <v>39115</v>
      </c>
      <c r="B239" s="2">
        <v>1798.13</v>
      </c>
      <c r="C239" s="2">
        <v>1800.39</v>
      </c>
      <c r="D239" s="2">
        <v>1788.97</v>
      </c>
      <c r="E239" s="2">
        <v>2887109846166</v>
      </c>
      <c r="F239" s="2">
        <v>141119330</v>
      </c>
      <c r="G239">
        <v>1089.23</v>
      </c>
      <c r="H239">
        <v>1090.22</v>
      </c>
      <c r="I239">
        <v>1080.68</v>
      </c>
      <c r="J239">
        <v>1348865003156</v>
      </c>
      <c r="K239">
        <v>0</v>
      </c>
      <c r="L239" s="2">
        <f>VLOOKUP(A239,[1]aaabonddata!$A:$B,2,0)</f>
        <v>5.44</v>
      </c>
    </row>
    <row r="240" spans="1:12" x14ac:dyDescent="0.2">
      <c r="A240" s="3">
        <v>39118</v>
      </c>
      <c r="B240" s="2">
        <v>1795.39</v>
      </c>
      <c r="C240" s="2">
        <v>1804.4</v>
      </c>
      <c r="D240" s="2">
        <v>1789.72</v>
      </c>
      <c r="E240" s="2">
        <v>2882701125708</v>
      </c>
      <c r="F240" s="2">
        <v>502081097</v>
      </c>
      <c r="G240">
        <v>1093.92</v>
      </c>
      <c r="H240">
        <v>1098.55</v>
      </c>
      <c r="I240">
        <v>1088.6600000000001</v>
      </c>
      <c r="J240">
        <v>1354676533028</v>
      </c>
      <c r="K240">
        <v>283480908</v>
      </c>
      <c r="L240" s="2">
        <f>VLOOKUP(A240,[1]aaabonddata!$A:$B,2,0)</f>
        <v>5.42</v>
      </c>
    </row>
    <row r="241" spans="1:12" x14ac:dyDescent="0.2">
      <c r="A241" s="3">
        <v>39119</v>
      </c>
      <c r="B241" s="2">
        <v>1793.06</v>
      </c>
      <c r="C241" s="2">
        <v>1800.05</v>
      </c>
      <c r="D241" s="2">
        <v>1776.51</v>
      </c>
      <c r="E241" s="2">
        <v>2878959322293</v>
      </c>
      <c r="F241" s="2">
        <v>0</v>
      </c>
      <c r="G241">
        <v>1090.53</v>
      </c>
      <c r="H241">
        <v>1096.53</v>
      </c>
      <c r="I241">
        <v>1080.1400000000001</v>
      </c>
      <c r="J241">
        <v>1350478442511</v>
      </c>
      <c r="K241">
        <v>0</v>
      </c>
      <c r="L241" s="2">
        <f>VLOOKUP(A241,[1]aaabonddata!$A:$B,2,0)</f>
        <v>5.38</v>
      </c>
    </row>
    <row r="242" spans="1:12" x14ac:dyDescent="0.2">
      <c r="A242" s="3">
        <v>39120</v>
      </c>
      <c r="B242" s="2">
        <v>1810.95</v>
      </c>
      <c r="C242" s="2">
        <v>1816.77</v>
      </c>
      <c r="D242" s="2">
        <v>1796.18</v>
      </c>
      <c r="E242" s="2">
        <v>2910844136594</v>
      </c>
      <c r="F242" s="2">
        <v>0</v>
      </c>
      <c r="G242">
        <v>1104.8699999999999</v>
      </c>
      <c r="H242">
        <v>1109.3699999999999</v>
      </c>
      <c r="I242">
        <v>1094.8399999999999</v>
      </c>
      <c r="J242">
        <v>1368243124749</v>
      </c>
      <c r="K242">
        <v>0</v>
      </c>
      <c r="L242" s="2">
        <f>VLOOKUP(A242,[1]aaabonddata!$A:$B,2,0)</f>
        <v>5.36</v>
      </c>
    </row>
    <row r="243" spans="1:12" x14ac:dyDescent="0.2">
      <c r="A243" s="3">
        <v>39121</v>
      </c>
      <c r="B243" s="2">
        <v>1810.54</v>
      </c>
      <c r="C243" s="2">
        <v>1814.48</v>
      </c>
      <c r="D243" s="2">
        <v>1800.63</v>
      </c>
      <c r="E243" s="2">
        <v>2910173353409</v>
      </c>
      <c r="F243" s="2">
        <v>0</v>
      </c>
      <c r="G243">
        <v>1104.78</v>
      </c>
      <c r="H243">
        <v>1106.76</v>
      </c>
      <c r="I243">
        <v>1097.68</v>
      </c>
      <c r="J243">
        <v>1368122536578</v>
      </c>
      <c r="K243">
        <v>0</v>
      </c>
      <c r="L243" s="2">
        <f>VLOOKUP(A243,[1]aaabonddata!$A:$B,2,0)</f>
        <v>5.35</v>
      </c>
    </row>
    <row r="244" spans="1:12" x14ac:dyDescent="0.2">
      <c r="A244" s="3">
        <v>39122</v>
      </c>
      <c r="B244" s="2">
        <v>1785.53</v>
      </c>
      <c r="C244" s="2">
        <v>1819.3</v>
      </c>
      <c r="D244" s="2">
        <v>1780.44</v>
      </c>
      <c r="E244" s="2">
        <v>2869981056232</v>
      </c>
      <c r="F244" s="2">
        <v>0</v>
      </c>
      <c r="G244">
        <v>1086.48</v>
      </c>
      <c r="H244">
        <v>1111.93</v>
      </c>
      <c r="I244">
        <v>1084.25</v>
      </c>
      <c r="J244">
        <v>1345466051759</v>
      </c>
      <c r="K244">
        <v>0</v>
      </c>
      <c r="L244" s="2">
        <f>VLOOKUP(A244,[1]aaabonddata!$A:$B,2,0)</f>
        <v>5.4</v>
      </c>
    </row>
    <row r="245" spans="1:12" x14ac:dyDescent="0.2">
      <c r="A245" s="3">
        <v>39125</v>
      </c>
      <c r="B245" s="2">
        <v>1778.42</v>
      </c>
      <c r="C245" s="2">
        <v>1787.11</v>
      </c>
      <c r="D245" s="2">
        <v>1774.25</v>
      </c>
      <c r="E245" s="2">
        <v>2858555447830</v>
      </c>
      <c r="F245" s="2">
        <v>148245196</v>
      </c>
      <c r="G245">
        <v>1080.76</v>
      </c>
      <c r="H245">
        <v>1086.1199999999999</v>
      </c>
      <c r="I245">
        <v>1079.82</v>
      </c>
      <c r="J245">
        <v>1338374468260</v>
      </c>
      <c r="K245">
        <v>250608887</v>
      </c>
      <c r="L245" s="2">
        <f>VLOOKUP(A245,[1]aaabonddata!$A:$B,2,0)</f>
        <v>5.42</v>
      </c>
    </row>
    <row r="246" spans="1:12" x14ac:dyDescent="0.2">
      <c r="A246" s="3">
        <v>39126</v>
      </c>
      <c r="B246" s="2">
        <v>1783.82</v>
      </c>
      <c r="C246" s="2">
        <v>1789.98</v>
      </c>
      <c r="D246" s="2">
        <v>1778.66</v>
      </c>
      <c r="E246" s="2">
        <v>2867237850065</v>
      </c>
      <c r="F246" s="2">
        <v>757126881</v>
      </c>
      <c r="G246">
        <v>1082.95</v>
      </c>
      <c r="H246">
        <v>1088.22</v>
      </c>
      <c r="I246">
        <v>1079.78</v>
      </c>
      <c r="J246">
        <v>1341094227793</v>
      </c>
      <c r="K246">
        <v>275289937</v>
      </c>
      <c r="L246" s="2">
        <f>VLOOKUP(A246,[1]aaabonddata!$A:$B,2,0)</f>
        <v>5.43</v>
      </c>
    </row>
    <row r="247" spans="1:12" x14ac:dyDescent="0.2">
      <c r="A247" s="3">
        <v>39127</v>
      </c>
      <c r="B247" s="2">
        <v>1814.98</v>
      </c>
      <c r="C247" s="2">
        <v>1818.55</v>
      </c>
      <c r="D247" s="2">
        <v>1792.29</v>
      </c>
      <c r="E247" s="2">
        <v>2916720692255</v>
      </c>
      <c r="F247" s="2">
        <v>236242944</v>
      </c>
      <c r="G247">
        <v>1103.76</v>
      </c>
      <c r="H247">
        <v>1106.82</v>
      </c>
      <c r="I247">
        <v>1088.1600000000001</v>
      </c>
      <c r="J247">
        <v>1333207050531</v>
      </c>
      <c r="K247">
        <v>157110970</v>
      </c>
      <c r="L247" s="2">
        <f>VLOOKUP(A247,[1]aaabonddata!$A:$B,2,0)</f>
        <v>5.35</v>
      </c>
    </row>
    <row r="248" spans="1:12" x14ac:dyDescent="0.2">
      <c r="A248" s="3">
        <v>39128</v>
      </c>
      <c r="B248" s="2">
        <v>1823.41</v>
      </c>
      <c r="C248" s="2">
        <v>1824.09</v>
      </c>
      <c r="D248" s="2">
        <v>1813.07</v>
      </c>
      <c r="E248" s="2">
        <v>2930271638883</v>
      </c>
      <c r="F248" s="2">
        <v>0</v>
      </c>
      <c r="G248">
        <v>1111.05</v>
      </c>
      <c r="H248">
        <v>1112.83</v>
      </c>
      <c r="I248">
        <v>1104.32</v>
      </c>
      <c r="J248">
        <v>1342013856311</v>
      </c>
      <c r="K248">
        <v>0</v>
      </c>
      <c r="L248" s="2">
        <f>VLOOKUP(A248,[1]aaabonddata!$A:$B,2,0)</f>
        <v>5.32</v>
      </c>
    </row>
    <row r="249" spans="1:12" x14ac:dyDescent="0.2">
      <c r="A249" s="3">
        <v>39129</v>
      </c>
      <c r="B249" s="2">
        <v>1821.49</v>
      </c>
      <c r="C249" s="2">
        <v>1823.37</v>
      </c>
      <c r="D249" s="2">
        <v>1813.9</v>
      </c>
      <c r="E249" s="2">
        <v>2927179268115</v>
      </c>
      <c r="F249" s="2">
        <v>90489040</v>
      </c>
      <c r="G249">
        <v>1108.53</v>
      </c>
      <c r="H249">
        <v>1110.1400000000001</v>
      </c>
      <c r="I249">
        <v>1105.3399999999999</v>
      </c>
      <c r="J249">
        <v>1338974085114</v>
      </c>
      <c r="K249">
        <v>0</v>
      </c>
      <c r="L249" s="2">
        <f>VLOOKUP(A249,[1]aaabonddata!$A:$B,2,0)</f>
        <v>5.31</v>
      </c>
    </row>
    <row r="250" spans="1:12" x14ac:dyDescent="0.2">
      <c r="A250" s="3">
        <v>39133</v>
      </c>
      <c r="B250" s="2">
        <v>1833.71</v>
      </c>
      <c r="C250" s="2">
        <v>1835.31</v>
      </c>
      <c r="D250" s="2">
        <v>1808.11</v>
      </c>
      <c r="E250" s="2">
        <v>2946827544854</v>
      </c>
      <c r="F250" s="2">
        <v>0</v>
      </c>
      <c r="G250">
        <v>1114.93</v>
      </c>
      <c r="H250">
        <v>1115.69</v>
      </c>
      <c r="I250">
        <v>1097.8</v>
      </c>
      <c r="J250">
        <v>1346696542826</v>
      </c>
      <c r="K250">
        <v>0</v>
      </c>
      <c r="L250" s="2">
        <f>VLOOKUP(A250,[1]aaabonddata!$A:$B,2,0)</f>
        <v>5.3</v>
      </c>
    </row>
    <row r="251" spans="1:12" x14ac:dyDescent="0.2">
      <c r="A251" s="3">
        <v>39134</v>
      </c>
      <c r="B251" s="2">
        <v>1839.13</v>
      </c>
      <c r="C251" s="2">
        <v>1839.13</v>
      </c>
      <c r="D251" s="2">
        <v>1824.53</v>
      </c>
      <c r="E251" s="2">
        <v>2955530579928</v>
      </c>
      <c r="F251" s="2">
        <v>19407891</v>
      </c>
      <c r="G251">
        <v>1113.6500000000001</v>
      </c>
      <c r="H251">
        <v>1113.6500000000001</v>
      </c>
      <c r="I251">
        <v>1106.47</v>
      </c>
      <c r="J251">
        <v>1345157651374</v>
      </c>
      <c r="K251">
        <v>0</v>
      </c>
      <c r="L251" s="2">
        <f>VLOOKUP(A251,[1]aaabonddata!$A:$B,2,0)</f>
        <v>5.31</v>
      </c>
    </row>
    <row r="252" spans="1:12" x14ac:dyDescent="0.2">
      <c r="A252" s="3">
        <v>39135</v>
      </c>
      <c r="B252" s="2">
        <v>1846.34</v>
      </c>
      <c r="C252" s="2">
        <v>1851.47</v>
      </c>
      <c r="D252" s="2">
        <v>1832.6</v>
      </c>
      <c r="E252" s="2">
        <v>2967120189607</v>
      </c>
      <c r="F252" s="2">
        <v>56925107</v>
      </c>
      <c r="G252">
        <v>1121.68</v>
      </c>
      <c r="H252">
        <v>1125.8599999999999</v>
      </c>
      <c r="I252">
        <v>1113.5</v>
      </c>
      <c r="J252">
        <v>1354857250168</v>
      </c>
      <c r="K252">
        <v>0</v>
      </c>
      <c r="L252" s="2">
        <f>VLOOKUP(A252,[1]aaabonddata!$A:$B,2,0)</f>
        <v>5.35</v>
      </c>
    </row>
    <row r="253" spans="1:12" x14ac:dyDescent="0.2">
      <c r="A253" s="3">
        <v>39136</v>
      </c>
      <c r="B253" s="2">
        <v>1839.77</v>
      </c>
      <c r="C253" s="2">
        <v>1846.77</v>
      </c>
      <c r="D253" s="2">
        <v>1832.4</v>
      </c>
      <c r="E253" s="2">
        <v>2956563496260</v>
      </c>
      <c r="F253" s="2">
        <v>0</v>
      </c>
      <c r="G253">
        <v>1120.29</v>
      </c>
      <c r="H253">
        <v>1122.55</v>
      </c>
      <c r="I253">
        <v>1113.8900000000001</v>
      </c>
      <c r="J253">
        <v>1353174038268</v>
      </c>
      <c r="K253">
        <v>0</v>
      </c>
      <c r="L253" s="2">
        <f>VLOOKUP(A253,[1]aaabonddata!$A:$B,2,0)</f>
        <v>5.3</v>
      </c>
    </row>
    <row r="254" spans="1:12" x14ac:dyDescent="0.2">
      <c r="A254" s="3">
        <v>39139</v>
      </c>
      <c r="B254" s="2">
        <v>1830.59</v>
      </c>
      <c r="C254" s="2">
        <v>1849.09</v>
      </c>
      <c r="D254" s="2">
        <v>1819.76</v>
      </c>
      <c r="E254" s="2">
        <v>2941809957983</v>
      </c>
      <c r="F254" s="2">
        <v>0</v>
      </c>
      <c r="G254">
        <v>1114.05</v>
      </c>
      <c r="H254">
        <v>1126.27</v>
      </c>
      <c r="I254">
        <v>1108.75</v>
      </c>
      <c r="J254">
        <v>1345633996923</v>
      </c>
      <c r="K254">
        <v>0</v>
      </c>
      <c r="L254" s="2">
        <f>VLOOKUP(A254,[1]aaabonddata!$A:$B,2,0)</f>
        <v>5.2</v>
      </c>
    </row>
    <row r="255" spans="1:12" x14ac:dyDescent="0.2">
      <c r="A255" s="3">
        <v>39140</v>
      </c>
      <c r="B255" s="2">
        <v>1756.27</v>
      </c>
      <c r="C255" s="2">
        <v>1808.08</v>
      </c>
      <c r="D255" s="2">
        <v>1750.7</v>
      </c>
      <c r="E255" s="2">
        <v>2822380311312</v>
      </c>
      <c r="F255" s="2">
        <v>27360205</v>
      </c>
      <c r="G255">
        <v>1069.99</v>
      </c>
      <c r="H255">
        <v>1103.3900000000001</v>
      </c>
      <c r="I255">
        <v>1066.45</v>
      </c>
      <c r="J255">
        <v>1292418525071</v>
      </c>
      <c r="K255">
        <v>0</v>
      </c>
      <c r="L255" s="2">
        <f>VLOOKUP(A255,[1]aaabonddata!$A:$B,2,0)</f>
        <v>5.09</v>
      </c>
    </row>
    <row r="256" spans="1:12" x14ac:dyDescent="0.2">
      <c r="A256" s="3">
        <v>39141</v>
      </c>
      <c r="B256" s="2">
        <v>1761.65</v>
      </c>
      <c r="C256" s="2">
        <v>1778.17</v>
      </c>
      <c r="D256" s="2">
        <v>1746.29</v>
      </c>
      <c r="E256" s="2">
        <v>2832164830172</v>
      </c>
      <c r="F256" s="2">
        <v>449260894</v>
      </c>
      <c r="G256">
        <v>1075.48</v>
      </c>
      <c r="H256">
        <v>1084.56</v>
      </c>
      <c r="I256">
        <v>1061.9000000000001</v>
      </c>
      <c r="J256">
        <v>1299053214550</v>
      </c>
      <c r="K256">
        <v>100857743</v>
      </c>
      <c r="L256" s="2">
        <f>VLOOKUP(A256,[1]aaabonddata!$A:$B,2,0)</f>
        <v>5.18</v>
      </c>
    </row>
    <row r="257" spans="1:12" x14ac:dyDescent="0.2">
      <c r="A257" s="3">
        <v>39142</v>
      </c>
      <c r="B257" s="2">
        <v>1753.45</v>
      </c>
      <c r="C257" s="2">
        <v>1768.96</v>
      </c>
      <c r="D257" s="2">
        <v>1717.95</v>
      </c>
      <c r="E257" s="2">
        <v>2818978236396</v>
      </c>
      <c r="F257" s="2">
        <v>32838673</v>
      </c>
      <c r="G257">
        <v>1068.8599999999999</v>
      </c>
      <c r="H257">
        <v>1078.6099999999999</v>
      </c>
      <c r="I257">
        <v>1048.5</v>
      </c>
      <c r="J257">
        <v>1291055080743</v>
      </c>
      <c r="K257">
        <v>0</v>
      </c>
      <c r="L257" s="2">
        <f>VLOOKUP(A257,[1]aaabonddata!$A:$B,2,0)</f>
        <v>5.18</v>
      </c>
    </row>
    <row r="258" spans="1:12" x14ac:dyDescent="0.2">
      <c r="A258" s="3">
        <v>39143</v>
      </c>
      <c r="B258" s="2">
        <v>1726.03</v>
      </c>
      <c r="C258" s="2">
        <v>1752.86</v>
      </c>
      <c r="D258" s="2">
        <v>1726.03</v>
      </c>
      <c r="E258" s="2">
        <v>2774895070391</v>
      </c>
      <c r="F258" s="2">
        <v>0</v>
      </c>
      <c r="G258">
        <v>1050.8499999999999</v>
      </c>
      <c r="H258">
        <v>1067.9100000000001</v>
      </c>
      <c r="I258">
        <v>1050.8499999999999</v>
      </c>
      <c r="J258">
        <v>1269301901658</v>
      </c>
      <c r="K258">
        <v>0</v>
      </c>
      <c r="L258" s="2">
        <f>VLOOKUP(A258,[1]aaabonddata!$A:$B,2,0)</f>
        <v>5.14</v>
      </c>
    </row>
    <row r="259" spans="1:12" x14ac:dyDescent="0.2">
      <c r="A259" s="3">
        <v>39146</v>
      </c>
      <c r="B259" s="2">
        <v>1712.94</v>
      </c>
      <c r="C259" s="2">
        <v>1739.05</v>
      </c>
      <c r="D259" s="2">
        <v>1710.97</v>
      </c>
      <c r="E259" s="2">
        <v>2753857783496</v>
      </c>
      <c r="F259" s="2">
        <v>0</v>
      </c>
      <c r="G259">
        <v>1039.43</v>
      </c>
      <c r="H259">
        <v>1059.2</v>
      </c>
      <c r="I259">
        <v>1038.9100000000001</v>
      </c>
      <c r="J259">
        <v>1255500451767</v>
      </c>
      <c r="K259">
        <v>0</v>
      </c>
      <c r="L259" s="2">
        <f>VLOOKUP(A259,[1]aaabonddata!$A:$B,2,0)</f>
        <v>5.15</v>
      </c>
    </row>
    <row r="260" spans="1:12" x14ac:dyDescent="0.2">
      <c r="A260" s="3">
        <v>39147</v>
      </c>
      <c r="B260" s="2">
        <v>1743.1</v>
      </c>
      <c r="C260" s="2">
        <v>1747.21</v>
      </c>
      <c r="D260" s="2">
        <v>1727.12</v>
      </c>
      <c r="E260" s="2">
        <v>2802337423745</v>
      </c>
      <c r="F260" s="2">
        <v>0</v>
      </c>
      <c r="G260">
        <v>1058.74</v>
      </c>
      <c r="H260">
        <v>1061.8399999999999</v>
      </c>
      <c r="I260">
        <v>1050.21</v>
      </c>
      <c r="J260">
        <v>1278828466042</v>
      </c>
      <c r="K260">
        <v>0</v>
      </c>
      <c r="L260" s="2">
        <f>VLOOKUP(A260,[1]aaabonddata!$A:$B,2,0)</f>
        <v>5.17</v>
      </c>
    </row>
    <row r="261" spans="1:12" x14ac:dyDescent="0.2">
      <c r="A261" s="3">
        <v>39148</v>
      </c>
      <c r="B261" s="2">
        <v>1736.1</v>
      </c>
      <c r="C261" s="2">
        <v>1746.86</v>
      </c>
      <c r="D261" s="2">
        <v>1733.82</v>
      </c>
      <c r="E261" s="2">
        <v>2791083465839</v>
      </c>
      <c r="F261" s="2">
        <v>56526392</v>
      </c>
      <c r="G261">
        <v>1051.3900000000001</v>
      </c>
      <c r="H261">
        <v>1059.5899999999999</v>
      </c>
      <c r="I261">
        <v>1050</v>
      </c>
      <c r="J261">
        <v>1269949932422</v>
      </c>
      <c r="K261">
        <v>0</v>
      </c>
      <c r="L261" s="2">
        <f>VLOOKUP(A261,[1]aaabonddata!$A:$B,2,0)</f>
        <v>5.14</v>
      </c>
    </row>
    <row r="262" spans="1:12" x14ac:dyDescent="0.2">
      <c r="A262" s="3">
        <v>39149</v>
      </c>
      <c r="B262" s="2">
        <v>1746.43</v>
      </c>
      <c r="C262" s="2">
        <v>1757.52</v>
      </c>
      <c r="D262" s="2">
        <v>1741.47</v>
      </c>
      <c r="E262" s="2">
        <v>2802614656190</v>
      </c>
      <c r="F262" s="2">
        <v>13367065</v>
      </c>
      <c r="G262">
        <v>1062.02</v>
      </c>
      <c r="H262">
        <v>1068.52</v>
      </c>
      <c r="I262">
        <v>1058.81</v>
      </c>
      <c r="J262">
        <v>1282790696759</v>
      </c>
      <c r="K262">
        <v>0</v>
      </c>
      <c r="L262" s="2">
        <f>VLOOKUP(A262,[1]aaabonddata!$A:$B,2,0)</f>
        <v>5.15</v>
      </c>
    </row>
    <row r="263" spans="1:12" x14ac:dyDescent="0.2">
      <c r="A263" s="3">
        <v>39150</v>
      </c>
      <c r="B263" s="2">
        <v>1744.74</v>
      </c>
      <c r="C263" s="2">
        <v>1760.96</v>
      </c>
      <c r="D263" s="2">
        <v>1734.35</v>
      </c>
      <c r="E263" s="2">
        <v>2799900932305</v>
      </c>
      <c r="F263" s="2">
        <v>0</v>
      </c>
      <c r="G263">
        <v>1063.71</v>
      </c>
      <c r="H263">
        <v>1073.01</v>
      </c>
      <c r="I263">
        <v>1055.92</v>
      </c>
      <c r="J263">
        <v>1284835086726</v>
      </c>
      <c r="K263">
        <v>0</v>
      </c>
      <c r="L263" s="2">
        <f>VLOOKUP(A263,[1]aaabonddata!$A:$B,2,0)</f>
        <v>5.23</v>
      </c>
    </row>
    <row r="264" spans="1:12" x14ac:dyDescent="0.2">
      <c r="A264" s="3">
        <v>39153</v>
      </c>
      <c r="B264" s="2">
        <v>1756.42</v>
      </c>
      <c r="C264" s="2">
        <v>1758.49</v>
      </c>
      <c r="D264" s="2">
        <v>1742.05</v>
      </c>
      <c r="E264" s="2">
        <v>2818649381311</v>
      </c>
      <c r="F264" s="2">
        <v>0</v>
      </c>
      <c r="G264">
        <v>1072.25</v>
      </c>
      <c r="H264">
        <v>1074.68</v>
      </c>
      <c r="I264">
        <v>1063.52</v>
      </c>
      <c r="J264">
        <v>1295145696819</v>
      </c>
      <c r="K264">
        <v>0</v>
      </c>
      <c r="L264" s="2">
        <f>VLOOKUP(A264,[1]aaabonddata!$A:$B,2,0)</f>
        <v>5.2</v>
      </c>
    </row>
    <row r="265" spans="1:12" x14ac:dyDescent="0.2">
      <c r="A265" s="3">
        <v>39154</v>
      </c>
      <c r="B265" s="2">
        <v>1722.48</v>
      </c>
      <c r="C265" s="2">
        <v>1756.22</v>
      </c>
      <c r="D265" s="2">
        <v>1722.48</v>
      </c>
      <c r="E265" s="2">
        <v>2764169900372</v>
      </c>
      <c r="F265" s="2">
        <v>24115996</v>
      </c>
      <c r="G265">
        <v>1048.79</v>
      </c>
      <c r="H265">
        <v>1071.52</v>
      </c>
      <c r="I265">
        <v>1048.79</v>
      </c>
      <c r="J265">
        <v>1266809082055</v>
      </c>
      <c r="K265">
        <v>0</v>
      </c>
      <c r="L265" s="2">
        <f>VLOOKUP(A265,[1]aaabonddata!$A:$B,2,0)</f>
        <v>5.14</v>
      </c>
    </row>
    <row r="266" spans="1:12" x14ac:dyDescent="0.2">
      <c r="A266" s="3">
        <v>39155</v>
      </c>
      <c r="B266" s="2">
        <v>1743.15</v>
      </c>
      <c r="C266" s="2">
        <v>1743.15</v>
      </c>
      <c r="D266" s="2">
        <v>1711.28</v>
      </c>
      <c r="E266" s="2">
        <v>2797348119619</v>
      </c>
      <c r="F266" s="2">
        <v>0</v>
      </c>
      <c r="G266">
        <v>1060.0899999999999</v>
      </c>
      <c r="H266">
        <v>1060.32</v>
      </c>
      <c r="I266">
        <v>1039.1099999999999</v>
      </c>
      <c r="J266">
        <v>1280464037220</v>
      </c>
      <c r="K266">
        <v>0</v>
      </c>
      <c r="L266" s="2">
        <f>VLOOKUP(A266,[1]aaabonddata!$A:$B,2,0)</f>
        <v>5.15</v>
      </c>
    </row>
    <row r="267" spans="1:12" x14ac:dyDescent="0.2">
      <c r="A267" s="3">
        <v>39156</v>
      </c>
      <c r="B267" s="2">
        <v>1744.87</v>
      </c>
      <c r="C267" s="2">
        <v>1749.58</v>
      </c>
      <c r="D267" s="2">
        <v>1737.04</v>
      </c>
      <c r="E267" s="2">
        <v>2800109551150</v>
      </c>
      <c r="F267" s="2">
        <v>0</v>
      </c>
      <c r="G267">
        <v>1060.1400000000001</v>
      </c>
      <c r="H267">
        <v>1062.72</v>
      </c>
      <c r="I267">
        <v>1055.52</v>
      </c>
      <c r="J267">
        <v>1280526727876</v>
      </c>
      <c r="K267">
        <v>0</v>
      </c>
      <c r="L267" s="2">
        <f>VLOOKUP(A267,[1]aaabonddata!$A:$B,2,0)</f>
        <v>5.18</v>
      </c>
    </row>
    <row r="268" spans="1:12" x14ac:dyDescent="0.2">
      <c r="A268" s="3">
        <v>39157</v>
      </c>
      <c r="B268" s="2">
        <v>1742.23</v>
      </c>
      <c r="C268" s="2">
        <v>1750.39</v>
      </c>
      <c r="D268" s="2">
        <v>1733.58</v>
      </c>
      <c r="E268" s="2">
        <v>2795876890707</v>
      </c>
      <c r="F268" s="2">
        <v>0</v>
      </c>
      <c r="G268">
        <v>1057.93</v>
      </c>
      <c r="H268">
        <v>1063.32</v>
      </c>
      <c r="I268">
        <v>1052.1500000000001</v>
      </c>
      <c r="J268">
        <v>1277852499469</v>
      </c>
      <c r="K268">
        <v>0</v>
      </c>
      <c r="L268" s="2">
        <f>VLOOKUP(A268,[1]aaabonddata!$A:$B,2,0)</f>
        <v>5.19</v>
      </c>
    </row>
    <row r="269" spans="1:12" x14ac:dyDescent="0.2">
      <c r="A269" s="3">
        <v>39160</v>
      </c>
      <c r="B269" s="2">
        <v>1758.23</v>
      </c>
      <c r="C269" s="2">
        <v>1764.37</v>
      </c>
      <c r="D269" s="2">
        <v>1747.05</v>
      </c>
      <c r="E269" s="2">
        <v>2828934314320</v>
      </c>
      <c r="F269" s="2">
        <v>0</v>
      </c>
      <c r="G269">
        <v>1063.49</v>
      </c>
      <c r="H269">
        <v>1070.56</v>
      </c>
      <c r="I269">
        <v>1060.27</v>
      </c>
      <c r="J269">
        <v>1306907434457</v>
      </c>
      <c r="K269">
        <v>0</v>
      </c>
      <c r="L269" s="2">
        <f>VLOOKUP(A269,[1]aaabonddata!$A:$B,2,0)</f>
        <v>5.22</v>
      </c>
    </row>
    <row r="270" spans="1:12" x14ac:dyDescent="0.2">
      <c r="A270" s="3">
        <v>39161</v>
      </c>
      <c r="B270" s="2">
        <v>1767.25</v>
      </c>
      <c r="C270" s="2">
        <v>1772.74</v>
      </c>
      <c r="D270" s="2">
        <v>1757.94</v>
      </c>
      <c r="E270" s="2">
        <v>2842957335154</v>
      </c>
      <c r="F270" s="2">
        <v>0</v>
      </c>
      <c r="G270">
        <v>1072.31</v>
      </c>
      <c r="H270">
        <v>1075.17</v>
      </c>
      <c r="I270">
        <v>1063.0999999999999</v>
      </c>
      <c r="J270">
        <v>1317751902308</v>
      </c>
      <c r="K270">
        <v>0</v>
      </c>
      <c r="L270" s="2">
        <f>VLOOKUP(A270,[1]aaabonddata!$A:$B,2,0)</f>
        <v>5.2</v>
      </c>
    </row>
    <row r="271" spans="1:12" x14ac:dyDescent="0.2">
      <c r="A271" s="3">
        <v>39162</v>
      </c>
      <c r="B271" s="2">
        <v>1806.35</v>
      </c>
      <c r="C271" s="2">
        <v>1806.35</v>
      </c>
      <c r="D271" s="2">
        <v>1763.54</v>
      </c>
      <c r="E271" s="2">
        <v>2905855770812</v>
      </c>
      <c r="F271" s="2">
        <v>0</v>
      </c>
      <c r="G271">
        <v>1099.3699999999999</v>
      </c>
      <c r="H271">
        <v>1099.8399999999999</v>
      </c>
      <c r="I271">
        <v>1073.48</v>
      </c>
      <c r="J271">
        <v>1351005314834</v>
      </c>
      <c r="K271">
        <v>0</v>
      </c>
      <c r="L271" s="2">
        <f>VLOOKUP(A271,[1]aaabonddata!$A:$B,2,0)</f>
        <v>5.16</v>
      </c>
    </row>
    <row r="272" spans="1:12" x14ac:dyDescent="0.2">
      <c r="A272" s="3">
        <v>39163</v>
      </c>
      <c r="B272" s="2">
        <v>1799.75</v>
      </c>
      <c r="C272" s="2">
        <v>1807.43</v>
      </c>
      <c r="D272" s="2">
        <v>1793.38</v>
      </c>
      <c r="E272" s="2">
        <v>2895240361985</v>
      </c>
      <c r="F272" s="2">
        <v>0</v>
      </c>
      <c r="G272">
        <v>1091.8</v>
      </c>
      <c r="H272">
        <v>1100.56</v>
      </c>
      <c r="I272">
        <v>1088.76</v>
      </c>
      <c r="J272">
        <v>1341701520677</v>
      </c>
      <c r="K272">
        <v>0</v>
      </c>
      <c r="L272" s="2">
        <f>VLOOKUP(A272,[1]aaabonddata!$A:$B,2,0)</f>
        <v>5.21</v>
      </c>
    </row>
    <row r="273" spans="1:12" x14ac:dyDescent="0.2">
      <c r="A273" s="3">
        <v>39164</v>
      </c>
      <c r="B273" s="2">
        <v>1794.04</v>
      </c>
      <c r="C273" s="2">
        <v>1804.63</v>
      </c>
      <c r="D273" s="2">
        <v>1792.74</v>
      </c>
      <c r="E273" s="2">
        <v>2886054978860</v>
      </c>
      <c r="F273" s="2">
        <v>10972906</v>
      </c>
      <c r="G273">
        <v>1090.96</v>
      </c>
      <c r="H273">
        <v>1098.1600000000001</v>
      </c>
      <c r="I273">
        <v>1090.96</v>
      </c>
      <c r="J273">
        <v>1340664484166</v>
      </c>
      <c r="K273">
        <v>0</v>
      </c>
      <c r="L273" s="2">
        <f>VLOOKUP(A273,[1]aaabonddata!$A:$B,2,0)</f>
        <v>5.24</v>
      </c>
    </row>
    <row r="274" spans="1:12" x14ac:dyDescent="0.2">
      <c r="A274" s="3">
        <v>39167</v>
      </c>
      <c r="B274" s="2">
        <v>1802.95</v>
      </c>
      <c r="C274" s="2">
        <v>1802.95</v>
      </c>
      <c r="D274" s="2">
        <v>1774.96</v>
      </c>
      <c r="E274" s="2">
        <v>2900377214971</v>
      </c>
      <c r="F274" s="2">
        <v>0</v>
      </c>
      <c r="G274">
        <v>1096.47</v>
      </c>
      <c r="H274">
        <v>1096.47</v>
      </c>
      <c r="I274">
        <v>1080.3599999999999</v>
      </c>
      <c r="J274">
        <v>1347440806510</v>
      </c>
      <c r="K274">
        <v>0</v>
      </c>
      <c r="L274" s="2">
        <f>VLOOKUP(A274,[1]aaabonddata!$A:$B,2,0)</f>
        <v>5.21</v>
      </c>
    </row>
    <row r="275" spans="1:12" x14ac:dyDescent="0.2">
      <c r="A275" s="3">
        <v>39168</v>
      </c>
      <c r="B275" s="2">
        <v>1789.93</v>
      </c>
      <c r="C275" s="2">
        <v>1798.89</v>
      </c>
      <c r="D275" s="2">
        <v>1787.98</v>
      </c>
      <c r="E275" s="2">
        <v>2879444012526</v>
      </c>
      <c r="F275" s="2">
        <v>0</v>
      </c>
      <c r="G275">
        <v>1087.21</v>
      </c>
      <c r="H275">
        <v>1094.3800000000001</v>
      </c>
      <c r="I275">
        <v>1086.92</v>
      </c>
      <c r="J275">
        <v>1336062893043</v>
      </c>
      <c r="K275">
        <v>0</v>
      </c>
      <c r="L275" s="2">
        <f>VLOOKUP(A275,[1]aaabonddata!$A:$B,2,0)</f>
        <v>5.23</v>
      </c>
    </row>
    <row r="276" spans="1:12" x14ac:dyDescent="0.2">
      <c r="A276" s="3">
        <v>39169</v>
      </c>
      <c r="B276" s="2">
        <v>1770.54</v>
      </c>
      <c r="C276" s="2">
        <v>1789.65</v>
      </c>
      <c r="D276" s="2">
        <v>1770.54</v>
      </c>
      <c r="E276" s="2">
        <v>2847697689833</v>
      </c>
      <c r="F276" s="2">
        <v>262357487</v>
      </c>
      <c r="G276">
        <v>1071.74</v>
      </c>
      <c r="H276">
        <v>1083.24</v>
      </c>
      <c r="I276">
        <v>1071.74</v>
      </c>
      <c r="J276">
        <v>1317052808273</v>
      </c>
      <c r="K276">
        <v>0</v>
      </c>
      <c r="L276" s="2">
        <f>VLOOKUP(A276,[1]aaabonddata!$A:$B,2,0)</f>
        <v>5.22</v>
      </c>
    </row>
    <row r="277" spans="1:12" x14ac:dyDescent="0.2">
      <c r="A277" s="3">
        <v>39170</v>
      </c>
      <c r="B277" s="2">
        <v>1771.72</v>
      </c>
      <c r="C277" s="2">
        <v>1783.48</v>
      </c>
      <c r="D277" s="2">
        <v>1753.43</v>
      </c>
      <c r="E277" s="2">
        <v>2849595792918</v>
      </c>
      <c r="F277" s="2">
        <v>0</v>
      </c>
      <c r="G277">
        <v>1067.52</v>
      </c>
      <c r="H277">
        <v>1080.46</v>
      </c>
      <c r="I277">
        <v>1056.45</v>
      </c>
      <c r="J277">
        <v>1311857350486</v>
      </c>
      <c r="K277">
        <v>0</v>
      </c>
      <c r="L277" s="2">
        <f>VLOOKUP(A277,[1]aaabonddata!$A:$B,2,0)</f>
        <v>5.24</v>
      </c>
    </row>
    <row r="278" spans="1:12" x14ac:dyDescent="0.2">
      <c r="A278" s="3">
        <v>39171</v>
      </c>
      <c r="B278" s="2">
        <v>1772.36</v>
      </c>
      <c r="C278" s="2">
        <v>1783.33</v>
      </c>
      <c r="D278" s="2">
        <v>1758.1</v>
      </c>
      <c r="E278" s="2">
        <v>2850626892513</v>
      </c>
      <c r="F278" s="2">
        <v>0</v>
      </c>
      <c r="G278">
        <v>1068.92</v>
      </c>
      <c r="H278">
        <v>1073.6600000000001</v>
      </c>
      <c r="I278">
        <v>1059.96</v>
      </c>
      <c r="J278">
        <v>1313586855522</v>
      </c>
      <c r="K278">
        <v>0</v>
      </c>
      <c r="L278" s="2">
        <f>VLOOKUP(A278,[1]aaabonddata!$A:$B,2,0)</f>
        <v>5.26</v>
      </c>
    </row>
    <row r="279" spans="1:12" x14ac:dyDescent="0.2">
      <c r="A279" s="3">
        <v>39174</v>
      </c>
      <c r="B279" s="2">
        <v>1773.33</v>
      </c>
      <c r="C279" s="2">
        <v>1779.3</v>
      </c>
      <c r="D279" s="2">
        <v>1761.65</v>
      </c>
      <c r="E279" s="2">
        <v>2852190820086</v>
      </c>
      <c r="F279" s="2">
        <v>0</v>
      </c>
      <c r="G279">
        <v>1067.47</v>
      </c>
      <c r="H279">
        <v>1070.58</v>
      </c>
      <c r="I279">
        <v>1059.32</v>
      </c>
      <c r="J279">
        <v>1311805048285</v>
      </c>
      <c r="K279">
        <v>0</v>
      </c>
      <c r="L279" s="2">
        <f>VLOOKUP(A279,[1]aaabonddata!$A:$B,2,0)</f>
        <v>5.25</v>
      </c>
    </row>
    <row r="280" spans="1:12" x14ac:dyDescent="0.2">
      <c r="A280" s="3">
        <v>39175</v>
      </c>
      <c r="B280" s="2">
        <v>1796.31</v>
      </c>
      <c r="C280" s="2">
        <v>1801.9</v>
      </c>
      <c r="D280" s="2">
        <v>1781.89</v>
      </c>
      <c r="E280" s="2">
        <v>2889149918755</v>
      </c>
      <c r="F280" s="2">
        <v>0</v>
      </c>
      <c r="G280">
        <v>1079.23</v>
      </c>
      <c r="H280">
        <v>1083.6400000000001</v>
      </c>
      <c r="I280">
        <v>1071</v>
      </c>
      <c r="J280">
        <v>1326256060425</v>
      </c>
      <c r="K280">
        <v>0</v>
      </c>
      <c r="L280" s="2">
        <f>VLOOKUP(A280,[1]aaabonddata!$A:$B,2,0)</f>
        <v>5.28</v>
      </c>
    </row>
    <row r="281" spans="1:12" x14ac:dyDescent="0.2">
      <c r="A281" s="3">
        <v>39176</v>
      </c>
      <c r="B281" s="2">
        <v>1801.74</v>
      </c>
      <c r="C281" s="2">
        <v>1804.54</v>
      </c>
      <c r="D281" s="2">
        <v>1795</v>
      </c>
      <c r="E281" s="2">
        <v>2897876775095</v>
      </c>
      <c r="F281" s="2">
        <v>0</v>
      </c>
      <c r="G281">
        <v>1085.18</v>
      </c>
      <c r="H281">
        <v>1086.5899999999999</v>
      </c>
      <c r="I281">
        <v>1079.1400000000001</v>
      </c>
      <c r="J281">
        <v>1333564928069</v>
      </c>
      <c r="K281">
        <v>0</v>
      </c>
      <c r="L281" s="2">
        <f>VLOOKUP(A281,[1]aaabonddata!$A:$B,2,0)</f>
        <v>5.26</v>
      </c>
    </row>
    <row r="282" spans="1:12" x14ac:dyDescent="0.2">
      <c r="A282" s="3">
        <v>39177</v>
      </c>
      <c r="B282" s="2">
        <v>1812.94</v>
      </c>
      <c r="C282" s="2">
        <v>1812.94</v>
      </c>
      <c r="D282" s="2">
        <v>1798.53</v>
      </c>
      <c r="E282" s="2">
        <v>2915890925325</v>
      </c>
      <c r="F282" s="2">
        <v>0</v>
      </c>
      <c r="G282">
        <v>1093.28</v>
      </c>
      <c r="H282">
        <v>1093.28</v>
      </c>
      <c r="I282">
        <v>1083.77</v>
      </c>
      <c r="J282">
        <v>1343514482572</v>
      </c>
      <c r="K282">
        <v>0</v>
      </c>
      <c r="L282" s="2">
        <f>VLOOKUP(A282,[1]aaabonddata!$A:$B,2,0)</f>
        <v>5.28</v>
      </c>
    </row>
    <row r="283" spans="1:12" x14ac:dyDescent="0.2">
      <c r="A283" s="3">
        <v>39181</v>
      </c>
      <c r="B283" s="2">
        <v>1808.19</v>
      </c>
      <c r="C283" s="2">
        <v>1819.04</v>
      </c>
      <c r="D283" s="2">
        <v>1805.09</v>
      </c>
      <c r="E283" s="2">
        <v>2908251160482</v>
      </c>
      <c r="F283" s="2">
        <v>0</v>
      </c>
      <c r="G283">
        <v>1090.6500000000001</v>
      </c>
      <c r="H283">
        <v>1097.8800000000001</v>
      </c>
      <c r="I283">
        <v>1088.68</v>
      </c>
      <c r="J283">
        <v>1340286361841</v>
      </c>
      <c r="K283">
        <v>0</v>
      </c>
      <c r="L283" s="2">
        <f>VLOOKUP(A283,[1]aaabonddata!$A:$B,2,0)</f>
        <v>5.36</v>
      </c>
    </row>
    <row r="284" spans="1:12" x14ac:dyDescent="0.2">
      <c r="A284" s="3">
        <v>39182</v>
      </c>
      <c r="B284" s="2">
        <v>1816.93</v>
      </c>
      <c r="C284" s="2">
        <v>1816.93</v>
      </c>
      <c r="D284" s="2">
        <v>1806.91</v>
      </c>
      <c r="E284" s="2">
        <v>2922305575915</v>
      </c>
      <c r="F284" s="2">
        <v>0</v>
      </c>
      <c r="G284">
        <v>1098.53</v>
      </c>
      <c r="H284">
        <v>1098.53</v>
      </c>
      <c r="I284">
        <v>1090.67</v>
      </c>
      <c r="J284">
        <v>1349971085622</v>
      </c>
      <c r="K284">
        <v>0</v>
      </c>
      <c r="L284" s="2">
        <f>VLOOKUP(A284,[1]aaabonddata!$A:$B,2,0)</f>
        <v>5.34</v>
      </c>
    </row>
    <row r="285" spans="1:12" x14ac:dyDescent="0.2">
      <c r="A285" s="3">
        <v>39183</v>
      </c>
      <c r="B285" s="2">
        <v>1798.09</v>
      </c>
      <c r="C285" s="2">
        <v>1815.73</v>
      </c>
      <c r="D285" s="2">
        <v>1793.25</v>
      </c>
      <c r="E285" s="2">
        <v>2892007442098</v>
      </c>
      <c r="F285" s="2">
        <v>46615114</v>
      </c>
      <c r="G285">
        <v>1088.17</v>
      </c>
      <c r="H285">
        <v>1099.71</v>
      </c>
      <c r="I285">
        <v>1085.19</v>
      </c>
      <c r="J285">
        <v>1337236118770</v>
      </c>
      <c r="K285">
        <v>0</v>
      </c>
      <c r="L285" s="2">
        <f>VLOOKUP(A285,[1]aaabonddata!$A:$B,2,0)</f>
        <v>5.35</v>
      </c>
    </row>
    <row r="286" spans="1:12" x14ac:dyDescent="0.2">
      <c r="A286" s="3">
        <v>39184</v>
      </c>
      <c r="B286" s="2">
        <v>1813.49</v>
      </c>
      <c r="C286" s="2">
        <v>1814.68</v>
      </c>
      <c r="D286" s="2">
        <v>1788.4</v>
      </c>
      <c r="E286" s="2">
        <v>2916786074150</v>
      </c>
      <c r="F286" s="2">
        <v>111214414</v>
      </c>
      <c r="G286">
        <v>1097.1099999999999</v>
      </c>
      <c r="H286">
        <v>1098.68</v>
      </c>
      <c r="I286">
        <v>1082.42</v>
      </c>
      <c r="J286">
        <v>1348231522547</v>
      </c>
      <c r="K286">
        <v>459190762</v>
      </c>
      <c r="L286" s="2">
        <f>VLOOKUP(A286,[1]aaabonddata!$A:$B,2,0)</f>
        <v>5.35</v>
      </c>
    </row>
    <row r="287" spans="1:12" x14ac:dyDescent="0.2">
      <c r="A287" s="3">
        <v>39185</v>
      </c>
      <c r="B287" s="2">
        <v>1816.85</v>
      </c>
      <c r="C287" s="2">
        <v>1818.42</v>
      </c>
      <c r="D287" s="2">
        <v>1801.89</v>
      </c>
      <c r="E287" s="2">
        <v>2922190929618</v>
      </c>
      <c r="F287" s="2">
        <v>0</v>
      </c>
      <c r="G287">
        <v>1099.6199999999999</v>
      </c>
      <c r="H287">
        <v>1101.1500000000001</v>
      </c>
      <c r="I287">
        <v>1089.02</v>
      </c>
      <c r="J287">
        <v>1351314225926</v>
      </c>
      <c r="K287">
        <v>0</v>
      </c>
      <c r="L287" s="2">
        <f>VLOOKUP(A287,[1]aaabonddata!$A:$B,2,0)</f>
        <v>5.38</v>
      </c>
    </row>
    <row r="288" spans="1:12" x14ac:dyDescent="0.2">
      <c r="A288" s="3">
        <v>39188</v>
      </c>
      <c r="B288" s="2">
        <v>1833.96</v>
      </c>
      <c r="C288" s="2">
        <v>1835.68</v>
      </c>
      <c r="D288" s="2">
        <v>1823.69</v>
      </c>
      <c r="E288" s="2">
        <v>2949700121200</v>
      </c>
      <c r="F288" s="2">
        <v>0</v>
      </c>
      <c r="G288">
        <v>1109.3800000000001</v>
      </c>
      <c r="H288">
        <v>1109.42</v>
      </c>
      <c r="I288">
        <v>1101.6099999999999</v>
      </c>
      <c r="J288">
        <v>1363301190223</v>
      </c>
      <c r="K288">
        <v>0</v>
      </c>
      <c r="L288" s="2">
        <f>VLOOKUP(A288,[1]aaabonddata!$A:$B,2,0)</f>
        <v>5.36</v>
      </c>
    </row>
    <row r="289" spans="1:12" x14ac:dyDescent="0.2">
      <c r="A289" s="3">
        <v>39189</v>
      </c>
      <c r="B289" s="2">
        <v>1834.91</v>
      </c>
      <c r="C289" s="2">
        <v>1838.1</v>
      </c>
      <c r="D289" s="2">
        <v>1829.11</v>
      </c>
      <c r="E289" s="2">
        <v>2951238188787</v>
      </c>
      <c r="F289" s="2">
        <v>0</v>
      </c>
      <c r="G289">
        <v>1108.72</v>
      </c>
      <c r="H289">
        <v>1110</v>
      </c>
      <c r="I289">
        <v>1103.5999999999999</v>
      </c>
      <c r="J289">
        <v>1362497025887</v>
      </c>
      <c r="K289">
        <v>0</v>
      </c>
      <c r="L289" s="2">
        <f>VLOOKUP(A289,[1]aaabonddata!$A:$B,2,0)</f>
        <v>5.31</v>
      </c>
    </row>
    <row r="290" spans="1:12" x14ac:dyDescent="0.2">
      <c r="A290" s="3">
        <v>39190</v>
      </c>
      <c r="B290" s="2">
        <v>1832.39</v>
      </c>
      <c r="C290" s="2">
        <v>1839.31</v>
      </c>
      <c r="D290" s="2">
        <v>1823.29</v>
      </c>
      <c r="E290" s="2">
        <v>2947182790611</v>
      </c>
      <c r="F290" s="2">
        <v>0</v>
      </c>
      <c r="G290">
        <v>1112.56</v>
      </c>
      <c r="H290">
        <v>1117.6099999999999</v>
      </c>
      <c r="I290">
        <v>1102.8399999999999</v>
      </c>
      <c r="J290">
        <v>1367209060401</v>
      </c>
      <c r="K290">
        <v>0</v>
      </c>
      <c r="L290" s="2">
        <f>VLOOKUP(A290,[1]aaabonddata!$A:$B,2,0)</f>
        <v>5.27</v>
      </c>
    </row>
    <row r="291" spans="1:12" x14ac:dyDescent="0.2">
      <c r="A291" s="3">
        <v>39191</v>
      </c>
      <c r="B291" s="2">
        <v>1832.47</v>
      </c>
      <c r="C291" s="2">
        <v>1840.28</v>
      </c>
      <c r="D291" s="2">
        <v>1819.31</v>
      </c>
      <c r="E291" s="2">
        <v>2947314400769</v>
      </c>
      <c r="F291" s="2">
        <v>0</v>
      </c>
      <c r="G291">
        <v>1110.8699999999999</v>
      </c>
      <c r="H291">
        <v>1115.97</v>
      </c>
      <c r="I291">
        <v>1099.02</v>
      </c>
      <c r="J291">
        <v>1365139385591</v>
      </c>
      <c r="K291">
        <v>0</v>
      </c>
      <c r="L291" s="2">
        <f>VLOOKUP(A291,[1]aaabonddata!$A:$B,2,0)</f>
        <v>5.28</v>
      </c>
    </row>
    <row r="292" spans="1:12" x14ac:dyDescent="0.2">
      <c r="A292" s="3">
        <v>39192</v>
      </c>
      <c r="B292" s="2">
        <v>1845.89</v>
      </c>
      <c r="C292" s="2">
        <v>1856.43</v>
      </c>
      <c r="D292" s="2">
        <v>1838.77</v>
      </c>
      <c r="E292" s="2">
        <v>2968893218077</v>
      </c>
      <c r="F292" s="2">
        <v>0</v>
      </c>
      <c r="G292">
        <v>1115.06</v>
      </c>
      <c r="H292">
        <v>1125.07</v>
      </c>
      <c r="I292">
        <v>1110.9100000000001</v>
      </c>
      <c r="J292">
        <v>1370277879045</v>
      </c>
      <c r="K292">
        <v>0</v>
      </c>
      <c r="L292" s="2">
        <f>VLOOKUP(A292,[1]aaabonddata!$A:$B,2,0)</f>
        <v>5.28</v>
      </c>
    </row>
    <row r="293" spans="1:12" x14ac:dyDescent="0.2">
      <c r="A293" s="3">
        <v>39195</v>
      </c>
      <c r="B293" s="2">
        <v>1850.18</v>
      </c>
      <c r="C293" s="2">
        <v>1854.75</v>
      </c>
      <c r="D293" s="2">
        <v>1844.8</v>
      </c>
      <c r="E293" s="2">
        <v>2975791008587</v>
      </c>
      <c r="F293" s="2">
        <v>0</v>
      </c>
      <c r="G293">
        <v>1114.03</v>
      </c>
      <c r="H293">
        <v>1116.96</v>
      </c>
      <c r="I293">
        <v>1111.04</v>
      </c>
      <c r="J293">
        <v>1369018969806</v>
      </c>
      <c r="K293">
        <v>0</v>
      </c>
      <c r="L293" s="2">
        <f>VLOOKUP(A293,[1]aaabonddata!$A:$B,2,0)</f>
        <v>5.26</v>
      </c>
    </row>
    <row r="294" spans="1:12" x14ac:dyDescent="0.2">
      <c r="A294" s="3">
        <v>39196</v>
      </c>
      <c r="B294" s="2">
        <v>1858.87</v>
      </c>
      <c r="C294" s="2">
        <v>1863.76</v>
      </c>
      <c r="D294" s="2">
        <v>1844.05</v>
      </c>
      <c r="E294" s="2">
        <v>2989759605866</v>
      </c>
      <c r="F294" s="2">
        <v>0</v>
      </c>
      <c r="G294">
        <v>1126.1099999999999</v>
      </c>
      <c r="H294">
        <v>1129.49</v>
      </c>
      <c r="I294">
        <v>1113.52</v>
      </c>
      <c r="J294">
        <v>1383858034545</v>
      </c>
      <c r="K294">
        <v>0</v>
      </c>
      <c r="L294" s="2">
        <f>VLOOKUP(A294,[1]aaabonddata!$A:$B,2,0)</f>
        <v>5.23</v>
      </c>
    </row>
    <row r="295" spans="1:12" x14ac:dyDescent="0.2">
      <c r="A295" s="3">
        <v>39197</v>
      </c>
      <c r="B295" s="2">
        <v>1881.33</v>
      </c>
      <c r="C295" s="2">
        <v>1883.58</v>
      </c>
      <c r="D295" s="2">
        <v>1859.06</v>
      </c>
      <c r="E295" s="2">
        <v>3025889505531</v>
      </c>
      <c r="F295" s="2">
        <v>207720364</v>
      </c>
      <c r="G295">
        <v>1133.0999999999999</v>
      </c>
      <c r="H295">
        <v>1137.68</v>
      </c>
      <c r="I295">
        <v>1121.45</v>
      </c>
      <c r="J295">
        <v>1392452897835</v>
      </c>
      <c r="K295">
        <v>176738239</v>
      </c>
      <c r="L295" s="2">
        <f>VLOOKUP(A295,[1]aaabonddata!$A:$B,2,0)</f>
        <v>5.25</v>
      </c>
    </row>
    <row r="296" spans="1:12" x14ac:dyDescent="0.2">
      <c r="A296" s="3">
        <v>39198</v>
      </c>
      <c r="B296" s="2">
        <v>1889.57</v>
      </c>
      <c r="C296" s="2">
        <v>1896.77</v>
      </c>
      <c r="D296" s="2">
        <v>1884.26</v>
      </c>
      <c r="E296" s="2">
        <v>3039139145491</v>
      </c>
      <c r="F296" s="2">
        <v>0</v>
      </c>
      <c r="G296">
        <v>1137.8399999999999</v>
      </c>
      <c r="H296">
        <v>1140.8399999999999</v>
      </c>
      <c r="I296">
        <v>1130.54</v>
      </c>
      <c r="J296">
        <v>1398272212349</v>
      </c>
      <c r="K296">
        <v>0</v>
      </c>
      <c r="L296" s="2">
        <f>VLOOKUP(A296,[1]aaabonddata!$A:$B,2,0)</f>
        <v>5.29</v>
      </c>
    </row>
    <row r="297" spans="1:12" x14ac:dyDescent="0.2">
      <c r="A297" s="3">
        <v>39199</v>
      </c>
      <c r="B297" s="2">
        <v>1891.06</v>
      </c>
      <c r="C297" s="2">
        <v>1894.97</v>
      </c>
      <c r="D297" s="2">
        <v>1883.36</v>
      </c>
      <c r="E297" s="2">
        <v>3041538114531</v>
      </c>
      <c r="F297" s="2">
        <v>142618659</v>
      </c>
      <c r="G297">
        <v>1134.3399999999999</v>
      </c>
      <c r="H297">
        <v>1139.1300000000001</v>
      </c>
      <c r="I297">
        <v>1130.42</v>
      </c>
      <c r="J297">
        <v>1393976198195</v>
      </c>
      <c r="K297">
        <v>0</v>
      </c>
      <c r="L297" s="2">
        <f>VLOOKUP(A297,[1]aaabonddata!$A:$B,2,0)</f>
        <v>5.3</v>
      </c>
    </row>
    <row r="298" spans="1:12" x14ac:dyDescent="0.2">
      <c r="A298" s="3">
        <v>39202</v>
      </c>
      <c r="B298" s="2">
        <v>1867.75</v>
      </c>
      <c r="C298" s="2">
        <v>1891.81</v>
      </c>
      <c r="D298" s="2">
        <v>1867.75</v>
      </c>
      <c r="E298" s="2">
        <v>3004050343757</v>
      </c>
      <c r="F298" s="2">
        <v>0</v>
      </c>
      <c r="G298">
        <v>1119.8399999999999</v>
      </c>
      <c r="H298">
        <v>1136.31</v>
      </c>
      <c r="I298">
        <v>1119.8399999999999</v>
      </c>
      <c r="J298">
        <v>1376161096308</v>
      </c>
      <c r="K298">
        <v>0</v>
      </c>
      <c r="L298" s="2">
        <f>VLOOKUP(A298,[1]aaabonddata!$A:$B,2,0)</f>
        <v>5.25</v>
      </c>
    </row>
    <row r="299" spans="1:12" x14ac:dyDescent="0.2">
      <c r="A299" s="3">
        <v>39203</v>
      </c>
      <c r="B299" s="2">
        <v>1873.43</v>
      </c>
      <c r="C299" s="2">
        <v>1876.19</v>
      </c>
      <c r="D299" s="2">
        <v>1857.33</v>
      </c>
      <c r="E299" s="2">
        <v>3013177655389</v>
      </c>
      <c r="F299" s="2">
        <v>0</v>
      </c>
      <c r="G299">
        <v>1122.49</v>
      </c>
      <c r="H299">
        <v>1125.43</v>
      </c>
      <c r="I299">
        <v>1113.02</v>
      </c>
      <c r="J299">
        <v>1379412165207</v>
      </c>
      <c r="K299">
        <v>0</v>
      </c>
      <c r="L299" s="2">
        <f>VLOOKUP(A299,[1]aaabonddata!$A:$B,2,0)</f>
        <v>5.25</v>
      </c>
    </row>
    <row r="300" spans="1:12" x14ac:dyDescent="0.2">
      <c r="A300" s="3">
        <v>39204</v>
      </c>
      <c r="B300" s="2">
        <v>1889.73</v>
      </c>
      <c r="C300" s="2">
        <v>1894.3</v>
      </c>
      <c r="D300" s="2">
        <v>1874.39</v>
      </c>
      <c r="E300" s="2">
        <v>3039405215128</v>
      </c>
      <c r="F300" s="2">
        <v>0</v>
      </c>
      <c r="G300">
        <v>1130.1099999999999</v>
      </c>
      <c r="H300">
        <v>1133.4100000000001</v>
      </c>
      <c r="I300">
        <v>1121.5</v>
      </c>
      <c r="J300">
        <v>1388777584957</v>
      </c>
      <c r="K300">
        <v>0</v>
      </c>
      <c r="L300" s="2">
        <f>VLOOKUP(A300,[1]aaabonddata!$A:$B,2,0)</f>
        <v>5.27</v>
      </c>
    </row>
    <row r="301" spans="1:12" x14ac:dyDescent="0.2">
      <c r="A301" s="3">
        <v>39205</v>
      </c>
      <c r="B301" s="2">
        <v>1895.64</v>
      </c>
      <c r="C301" s="2">
        <v>1899.49</v>
      </c>
      <c r="D301" s="2">
        <v>1888.74</v>
      </c>
      <c r="E301" s="2">
        <v>3048913848026</v>
      </c>
      <c r="F301" s="2">
        <v>426747134</v>
      </c>
      <c r="G301">
        <v>1135.54</v>
      </c>
      <c r="H301">
        <v>1139.3399999999999</v>
      </c>
      <c r="I301">
        <v>1130.01</v>
      </c>
      <c r="J301">
        <v>1395455138903</v>
      </c>
      <c r="K301">
        <v>184083353</v>
      </c>
      <c r="L301" s="2">
        <f>VLOOKUP(A301,[1]aaabonddata!$A:$B,2,0)</f>
        <v>5.3</v>
      </c>
    </row>
    <row r="302" spans="1:12" x14ac:dyDescent="0.2">
      <c r="A302" s="3">
        <v>39206</v>
      </c>
      <c r="B302" s="2">
        <v>1895.7</v>
      </c>
      <c r="C302" s="2">
        <v>1905.85</v>
      </c>
      <c r="D302" s="2">
        <v>1888.4</v>
      </c>
      <c r="E302" s="2">
        <v>3049006196122</v>
      </c>
      <c r="F302" s="2">
        <v>0</v>
      </c>
      <c r="G302">
        <v>1142.1600000000001</v>
      </c>
      <c r="H302">
        <v>1147.33</v>
      </c>
      <c r="I302">
        <v>1137.5</v>
      </c>
      <c r="J302">
        <v>1403586767181</v>
      </c>
      <c r="K302">
        <v>0</v>
      </c>
      <c r="L302" s="2">
        <f>VLOOKUP(A302,[1]aaabonddata!$A:$B,2,0)</f>
        <v>5.27</v>
      </c>
    </row>
    <row r="303" spans="1:12" x14ac:dyDescent="0.2">
      <c r="A303" s="3">
        <v>39209</v>
      </c>
      <c r="B303" s="2">
        <v>1895.96</v>
      </c>
      <c r="C303" s="2">
        <v>1901.42</v>
      </c>
      <c r="D303" s="2">
        <v>1893.97</v>
      </c>
      <c r="E303" s="2">
        <v>3049425824939</v>
      </c>
      <c r="F303" s="2">
        <v>99236952</v>
      </c>
      <c r="G303">
        <v>1139.02</v>
      </c>
      <c r="H303">
        <v>1145.9000000000001</v>
      </c>
      <c r="I303">
        <v>1138.25</v>
      </c>
      <c r="J303">
        <v>1399723002649</v>
      </c>
      <c r="K303">
        <v>151342796</v>
      </c>
      <c r="L303" s="2">
        <f>VLOOKUP(A303,[1]aaabonddata!$A:$B,2,0)</f>
        <v>5.27</v>
      </c>
    </row>
    <row r="304" spans="1:12" x14ac:dyDescent="0.2">
      <c r="A304" s="3">
        <v>39210</v>
      </c>
      <c r="B304" s="2">
        <v>1899.83</v>
      </c>
      <c r="C304" s="2">
        <v>1901.21</v>
      </c>
      <c r="D304" s="2">
        <v>1883.01</v>
      </c>
      <c r="E304" s="2">
        <v>3055650532895</v>
      </c>
      <c r="F304" s="2">
        <v>132164436</v>
      </c>
      <c r="G304">
        <v>1140.98</v>
      </c>
      <c r="H304">
        <v>1142.5</v>
      </c>
      <c r="I304">
        <v>1129.9100000000001</v>
      </c>
      <c r="J304">
        <v>1402139888664</v>
      </c>
      <c r="K304">
        <v>307883243</v>
      </c>
      <c r="L304" s="2">
        <f>VLOOKUP(A304,[1]aaabonddata!$A:$B,2,0)</f>
        <v>5.27</v>
      </c>
    </row>
    <row r="305" spans="1:12" x14ac:dyDescent="0.2">
      <c r="A305" s="3">
        <v>39211</v>
      </c>
      <c r="B305" s="2">
        <v>1905.65</v>
      </c>
      <c r="C305" s="2">
        <v>1909.3</v>
      </c>
      <c r="D305" s="2">
        <v>1890.16</v>
      </c>
      <c r="E305" s="2">
        <v>3060977715995</v>
      </c>
      <c r="F305" s="2">
        <v>131678768</v>
      </c>
      <c r="G305">
        <v>1149.0999999999999</v>
      </c>
      <c r="H305">
        <v>1151.0899999999999</v>
      </c>
      <c r="I305">
        <v>1133.3399999999999</v>
      </c>
      <c r="J305">
        <v>1412112092396</v>
      </c>
      <c r="K305">
        <v>153648391</v>
      </c>
      <c r="L305" s="2">
        <f>VLOOKUP(A305,[1]aaabonddata!$A:$B,2,0)</f>
        <v>5.31</v>
      </c>
    </row>
    <row r="306" spans="1:12" x14ac:dyDescent="0.2">
      <c r="A306" s="3">
        <v>39212</v>
      </c>
      <c r="B306" s="2">
        <v>1875.2</v>
      </c>
      <c r="C306" s="2">
        <v>1902.19</v>
      </c>
      <c r="D306" s="2">
        <v>1874.24</v>
      </c>
      <c r="E306" s="2">
        <v>3012073304324</v>
      </c>
      <c r="F306" s="2">
        <v>93995446</v>
      </c>
      <c r="G306">
        <v>1130.1099999999999</v>
      </c>
      <c r="H306">
        <v>1148.02</v>
      </c>
      <c r="I306">
        <v>1128.03</v>
      </c>
      <c r="J306">
        <v>1388783084177</v>
      </c>
      <c r="K306">
        <v>0</v>
      </c>
      <c r="L306" s="2">
        <f>VLOOKUP(A306,[1]aaabonddata!$A:$B,2,0)</f>
        <v>5.28</v>
      </c>
    </row>
    <row r="307" spans="1:12" x14ac:dyDescent="0.2">
      <c r="A307" s="3">
        <v>39213</v>
      </c>
      <c r="B307" s="2">
        <v>1898.79</v>
      </c>
      <c r="C307" s="2">
        <v>1899.44</v>
      </c>
      <c r="D307" s="2">
        <v>1878.38</v>
      </c>
      <c r="E307" s="2">
        <v>3049960372950</v>
      </c>
      <c r="F307" s="2">
        <v>54908146</v>
      </c>
      <c r="G307">
        <v>1147.4100000000001</v>
      </c>
      <c r="H307">
        <v>1147.95</v>
      </c>
      <c r="I307">
        <v>1134.6600000000001</v>
      </c>
      <c r="J307">
        <v>1410033991195</v>
      </c>
      <c r="K307">
        <v>74473083</v>
      </c>
      <c r="L307" s="2">
        <f>VLOOKUP(A307,[1]aaabonddata!$A:$B,2,0)</f>
        <v>5.3</v>
      </c>
    </row>
    <row r="308" spans="1:12" x14ac:dyDescent="0.2">
      <c r="A308" s="3">
        <v>39216</v>
      </c>
      <c r="B308" s="2">
        <v>1888.08</v>
      </c>
      <c r="C308" s="2">
        <v>1906.38</v>
      </c>
      <c r="D308" s="2">
        <v>1878.63</v>
      </c>
      <c r="E308" s="2">
        <v>3032761270092</v>
      </c>
      <c r="F308" s="2">
        <v>0</v>
      </c>
      <c r="G308">
        <v>1140.2</v>
      </c>
      <c r="H308">
        <v>1151.96</v>
      </c>
      <c r="I308">
        <v>1134.1400000000001</v>
      </c>
      <c r="J308">
        <v>1401173104829</v>
      </c>
      <c r="K308">
        <v>0</v>
      </c>
      <c r="L308" s="2">
        <f>VLOOKUP(A308,[1]aaabonddata!$A:$B,2,0)</f>
        <v>5.32</v>
      </c>
    </row>
    <row r="309" spans="1:12" x14ac:dyDescent="0.2">
      <c r="A309" s="3">
        <v>39217</v>
      </c>
      <c r="B309" s="2">
        <v>1871.79</v>
      </c>
      <c r="C309" s="2">
        <v>1898.02</v>
      </c>
      <c r="D309" s="2">
        <v>1870.24</v>
      </c>
      <c r="E309" s="2">
        <v>3006596848345</v>
      </c>
      <c r="F309" s="2">
        <v>714466840</v>
      </c>
      <c r="G309">
        <v>1126.1400000000001</v>
      </c>
      <c r="H309">
        <v>1144.1400000000001</v>
      </c>
      <c r="I309">
        <v>1124.93</v>
      </c>
      <c r="J309">
        <v>1383903032918</v>
      </c>
      <c r="K309">
        <v>218830681</v>
      </c>
      <c r="L309" s="2">
        <f>VLOOKUP(A309,[1]aaabonddata!$A:$B,2,0)</f>
        <v>5.34</v>
      </c>
    </row>
    <row r="310" spans="1:12" x14ac:dyDescent="0.2">
      <c r="A310" s="3">
        <v>39218</v>
      </c>
      <c r="B310" s="2">
        <v>1891.57</v>
      </c>
      <c r="C310" s="2">
        <v>1891.57</v>
      </c>
      <c r="D310" s="2">
        <v>1866.98</v>
      </c>
      <c r="E310" s="2">
        <v>3038360758472</v>
      </c>
      <c r="F310" s="2">
        <v>130678740</v>
      </c>
      <c r="G310">
        <v>1136.1500000000001</v>
      </c>
      <c r="H310">
        <v>1136.1500000000001</v>
      </c>
      <c r="I310">
        <v>1118.53</v>
      </c>
      <c r="J310">
        <v>1396200244461</v>
      </c>
      <c r="K310">
        <v>0</v>
      </c>
      <c r="L310" s="2">
        <f>VLOOKUP(A310,[1]aaabonddata!$A:$B,2,0)</f>
        <v>5.34</v>
      </c>
    </row>
    <row r="311" spans="1:12" x14ac:dyDescent="0.2">
      <c r="A311" s="3">
        <v>39219</v>
      </c>
      <c r="B311" s="2">
        <v>1884.68</v>
      </c>
      <c r="C311" s="2">
        <v>1892.71</v>
      </c>
      <c r="D311" s="2">
        <v>1882.04</v>
      </c>
      <c r="E311" s="2">
        <v>3027293411728</v>
      </c>
      <c r="F311" s="2">
        <v>0</v>
      </c>
      <c r="G311">
        <v>1130.7</v>
      </c>
      <c r="H311">
        <v>1138</v>
      </c>
      <c r="I311">
        <v>1128.46</v>
      </c>
      <c r="J311">
        <v>1389509227726</v>
      </c>
      <c r="K311">
        <v>0</v>
      </c>
      <c r="L311" s="2">
        <f>VLOOKUP(A311,[1]aaabonddata!$A:$B,2,0)</f>
        <v>5.38</v>
      </c>
    </row>
    <row r="312" spans="1:12" x14ac:dyDescent="0.2">
      <c r="A312" s="3">
        <v>39220</v>
      </c>
      <c r="B312" s="2">
        <v>1896.93</v>
      </c>
      <c r="C312" s="2">
        <v>1898.34</v>
      </c>
      <c r="D312" s="2">
        <v>1885.93</v>
      </c>
      <c r="E312" s="2">
        <v>3046973436665</v>
      </c>
      <c r="F312" s="2">
        <v>0</v>
      </c>
      <c r="G312">
        <v>1139.69</v>
      </c>
      <c r="H312">
        <v>1140.01</v>
      </c>
      <c r="I312">
        <v>1131.21</v>
      </c>
      <c r="J312">
        <v>1400545866003</v>
      </c>
      <c r="K312">
        <v>0</v>
      </c>
      <c r="L312" s="2">
        <f>VLOOKUP(A312,[1]aaabonddata!$A:$B,2,0)</f>
        <v>5.42</v>
      </c>
    </row>
    <row r="313" spans="1:12" x14ac:dyDescent="0.2">
      <c r="A313" s="3">
        <v>39223</v>
      </c>
      <c r="B313" s="2">
        <v>1911.16</v>
      </c>
      <c r="C313" s="2">
        <v>1919.6</v>
      </c>
      <c r="D313" s="2">
        <v>1897.86</v>
      </c>
      <c r="E313" s="2">
        <v>3069836588860</v>
      </c>
      <c r="F313" s="2">
        <v>0</v>
      </c>
      <c r="G313">
        <v>1144.0899999999999</v>
      </c>
      <c r="H313">
        <v>1151.4000000000001</v>
      </c>
      <c r="I313">
        <v>1138.42</v>
      </c>
      <c r="J313">
        <v>1405953948073</v>
      </c>
      <c r="K313">
        <v>0</v>
      </c>
      <c r="L313" s="2">
        <f>VLOOKUP(A313,[1]aaabonddata!$A:$B,2,0)</f>
        <v>5.41</v>
      </c>
    </row>
    <row r="314" spans="1:12" x14ac:dyDescent="0.2">
      <c r="A314" s="3">
        <v>39224</v>
      </c>
      <c r="B314" s="2">
        <v>1916.45</v>
      </c>
      <c r="C314" s="2">
        <v>1921.81</v>
      </c>
      <c r="D314" s="2">
        <v>1905.77</v>
      </c>
      <c r="E314" s="2">
        <v>3078322403280</v>
      </c>
      <c r="F314" s="2">
        <v>0</v>
      </c>
      <c r="G314">
        <v>1148.52</v>
      </c>
      <c r="H314">
        <v>1152.17</v>
      </c>
      <c r="I314">
        <v>1141.3599999999999</v>
      </c>
      <c r="J314">
        <v>1411403267653</v>
      </c>
      <c r="K314">
        <v>0</v>
      </c>
      <c r="L314" s="2">
        <f>VLOOKUP(A314,[1]aaabonddata!$A:$B,2,0)</f>
        <v>5.45</v>
      </c>
    </row>
    <row r="315" spans="1:12" x14ac:dyDescent="0.2">
      <c r="A315" s="3">
        <v>39225</v>
      </c>
      <c r="B315" s="2">
        <v>1904.41</v>
      </c>
      <c r="C315" s="2">
        <v>1925.43</v>
      </c>
      <c r="D315" s="2">
        <v>1903.87</v>
      </c>
      <c r="E315" s="2">
        <v>3058986697536</v>
      </c>
      <c r="F315" s="2">
        <v>0</v>
      </c>
      <c r="G315">
        <v>1137.0999999999999</v>
      </c>
      <c r="H315">
        <v>1149.55</v>
      </c>
      <c r="I315">
        <v>1136.6600000000001</v>
      </c>
      <c r="J315">
        <v>1397370839867</v>
      </c>
      <c r="K315">
        <v>0</v>
      </c>
      <c r="L315" s="2">
        <f>VLOOKUP(A315,[1]aaabonddata!$A:$B,2,0)</f>
        <v>5.47</v>
      </c>
    </row>
    <row r="316" spans="1:12" x14ac:dyDescent="0.2">
      <c r="A316" s="3">
        <v>39226</v>
      </c>
      <c r="B316" s="2">
        <v>1874.6</v>
      </c>
      <c r="C316" s="2">
        <v>1911.48</v>
      </c>
      <c r="D316" s="2">
        <v>1869.51</v>
      </c>
      <c r="E316" s="2">
        <v>3011103458953</v>
      </c>
      <c r="F316" s="2">
        <v>0</v>
      </c>
      <c r="G316">
        <v>1115</v>
      </c>
      <c r="H316">
        <v>1138.45</v>
      </c>
      <c r="I316">
        <v>1111.68</v>
      </c>
      <c r="J316">
        <v>1370204079897</v>
      </c>
      <c r="K316">
        <v>0</v>
      </c>
      <c r="L316" s="2">
        <f>VLOOKUP(A316,[1]aaabonddata!$A:$B,2,0)</f>
        <v>5.47</v>
      </c>
    </row>
    <row r="317" spans="1:12" x14ac:dyDescent="0.2">
      <c r="A317" s="3">
        <v>39227</v>
      </c>
      <c r="B317" s="2">
        <v>1889.25</v>
      </c>
      <c r="C317" s="2">
        <v>1892.71</v>
      </c>
      <c r="D317" s="2">
        <v>1877.73</v>
      </c>
      <c r="E317" s="2">
        <v>3034641454110</v>
      </c>
      <c r="F317" s="2">
        <v>0</v>
      </c>
      <c r="G317">
        <v>1125.3699999999999</v>
      </c>
      <c r="H317">
        <v>1126.73</v>
      </c>
      <c r="I317">
        <v>1118.72</v>
      </c>
      <c r="J317">
        <v>1382950655880</v>
      </c>
      <c r="K317">
        <v>0</v>
      </c>
      <c r="L317" s="2">
        <f>VLOOKUP(A317,[1]aaabonddata!$A:$B,2,0)</f>
        <v>5.48</v>
      </c>
    </row>
    <row r="318" spans="1:12" x14ac:dyDescent="0.2">
      <c r="A318" s="3">
        <v>39231</v>
      </c>
      <c r="B318" s="2">
        <v>1899.79</v>
      </c>
      <c r="C318" s="2">
        <v>1904.31</v>
      </c>
      <c r="D318" s="2">
        <v>1887.26</v>
      </c>
      <c r="E318" s="2">
        <v>3051562025998</v>
      </c>
      <c r="F318" s="2">
        <v>0</v>
      </c>
      <c r="G318">
        <v>1134.1400000000001</v>
      </c>
      <c r="H318">
        <v>1137.56</v>
      </c>
      <c r="I318">
        <v>1127.3399999999999</v>
      </c>
      <c r="J318">
        <v>1393736348183</v>
      </c>
      <c r="K318">
        <v>0</v>
      </c>
      <c r="L318" s="2">
        <f>VLOOKUP(A318,[1]aaabonddata!$A:$B,2,0)</f>
        <v>5.51</v>
      </c>
    </row>
    <row r="319" spans="1:12" x14ac:dyDescent="0.2">
      <c r="A319" s="3">
        <v>39232</v>
      </c>
      <c r="B319" s="2">
        <v>1918.08</v>
      </c>
      <c r="C319" s="2">
        <v>1918.08</v>
      </c>
      <c r="D319" s="2">
        <v>1884.45</v>
      </c>
      <c r="E319" s="2">
        <v>3080946433524</v>
      </c>
      <c r="F319" s="2">
        <v>608065147</v>
      </c>
      <c r="G319">
        <v>1141.99</v>
      </c>
      <c r="H319">
        <v>1141.99</v>
      </c>
      <c r="I319">
        <v>1123.42</v>
      </c>
      <c r="J319">
        <v>1403374511080</v>
      </c>
      <c r="K319">
        <v>112368678</v>
      </c>
      <c r="L319" s="2">
        <f>VLOOKUP(A319,[1]aaabonddata!$A:$B,2,0)</f>
        <v>5.52</v>
      </c>
    </row>
    <row r="320" spans="1:12" x14ac:dyDescent="0.2">
      <c r="A320" s="3">
        <v>39233</v>
      </c>
      <c r="B320" s="2">
        <v>1928.19</v>
      </c>
      <c r="C320" s="2">
        <v>1931.1</v>
      </c>
      <c r="D320" s="2">
        <v>1919.27</v>
      </c>
      <c r="E320" s="2">
        <v>3097181475678</v>
      </c>
      <c r="F320" s="2">
        <v>0</v>
      </c>
      <c r="G320">
        <v>1151.98</v>
      </c>
      <c r="H320">
        <v>1152.8800000000001</v>
      </c>
      <c r="I320">
        <v>1145</v>
      </c>
      <c r="J320">
        <v>1415657918181</v>
      </c>
      <c r="K320">
        <v>0</v>
      </c>
      <c r="L320" s="2">
        <f>VLOOKUP(A320,[1]aaabonddata!$A:$B,2,0)</f>
        <v>5.54</v>
      </c>
    </row>
    <row r="321" spans="1:12" x14ac:dyDescent="0.2">
      <c r="A321" s="3">
        <v>39234</v>
      </c>
      <c r="B321" s="2">
        <v>1928.26</v>
      </c>
      <c r="C321" s="2">
        <v>1940.81</v>
      </c>
      <c r="D321" s="2">
        <v>1925.65</v>
      </c>
      <c r="E321" s="2">
        <v>3079612753268</v>
      </c>
      <c r="F321" s="2">
        <v>30278029</v>
      </c>
      <c r="G321">
        <v>1155.1099999999999</v>
      </c>
      <c r="H321">
        <v>1163.29</v>
      </c>
      <c r="I321">
        <v>1153.46</v>
      </c>
      <c r="J321">
        <v>1419503189497</v>
      </c>
      <c r="K321">
        <v>0</v>
      </c>
      <c r="L321" s="2">
        <f>VLOOKUP(A321,[1]aaabonddata!$A:$B,2,0)</f>
        <v>5.6</v>
      </c>
    </row>
    <row r="322" spans="1:12" x14ac:dyDescent="0.2">
      <c r="A322" s="3">
        <v>39237</v>
      </c>
      <c r="B322" s="2">
        <v>1933.73</v>
      </c>
      <c r="C322" s="2">
        <v>1935.85</v>
      </c>
      <c r="D322" s="2">
        <v>1920.21</v>
      </c>
      <c r="E322" s="2">
        <v>3088352501391</v>
      </c>
      <c r="F322" s="2">
        <v>0</v>
      </c>
      <c r="G322">
        <v>1159.73</v>
      </c>
      <c r="H322">
        <v>1161.23</v>
      </c>
      <c r="I322">
        <v>1151.1199999999999</v>
      </c>
      <c r="J322">
        <v>1425183959462</v>
      </c>
      <c r="K322">
        <v>0</v>
      </c>
      <c r="L322" s="2">
        <f>VLOOKUP(A322,[1]aaabonddata!$A:$B,2,0)</f>
        <v>5.58</v>
      </c>
    </row>
    <row r="323" spans="1:12" x14ac:dyDescent="0.2">
      <c r="A323" s="3">
        <v>39238</v>
      </c>
      <c r="B323" s="2">
        <v>1932.35</v>
      </c>
      <c r="C323" s="2">
        <v>1932.94</v>
      </c>
      <c r="D323" s="2">
        <v>1916.38</v>
      </c>
      <c r="E323" s="2">
        <v>3086148251793</v>
      </c>
      <c r="F323" s="2">
        <v>29144690</v>
      </c>
      <c r="G323">
        <v>1158.1300000000001</v>
      </c>
      <c r="H323">
        <v>1159.71</v>
      </c>
      <c r="I323">
        <v>1147.46</v>
      </c>
      <c r="J323">
        <v>1423210067663</v>
      </c>
      <c r="K323">
        <v>83101421</v>
      </c>
      <c r="L323" s="2">
        <f>VLOOKUP(A323,[1]aaabonddata!$A:$B,2,0)</f>
        <v>5.62</v>
      </c>
    </row>
    <row r="324" spans="1:12" x14ac:dyDescent="0.2">
      <c r="A324" s="3">
        <v>39239</v>
      </c>
      <c r="B324" s="2">
        <v>1914.85</v>
      </c>
      <c r="C324" s="2">
        <v>1924.51</v>
      </c>
      <c r="D324" s="2">
        <v>1908.8</v>
      </c>
      <c r="E324" s="2">
        <v>3056903365275</v>
      </c>
      <c r="F324" s="2">
        <v>57845174</v>
      </c>
      <c r="G324">
        <v>1148.18</v>
      </c>
      <c r="H324">
        <v>1155.08</v>
      </c>
      <c r="I324">
        <v>1144.67</v>
      </c>
      <c r="J324">
        <v>1410986224699</v>
      </c>
      <c r="K324">
        <v>0</v>
      </c>
      <c r="L324" s="2">
        <f>VLOOKUP(A324,[1]aaabonddata!$A:$B,2,0)</f>
        <v>5.61</v>
      </c>
    </row>
    <row r="325" spans="1:12" x14ac:dyDescent="0.2">
      <c r="A325" s="3">
        <v>39240</v>
      </c>
      <c r="B325" s="2">
        <v>1882.17</v>
      </c>
      <c r="C325" s="2">
        <v>1918.82</v>
      </c>
      <c r="D325" s="2">
        <v>1882.17</v>
      </c>
      <c r="E325" s="2">
        <v>3004725830121</v>
      </c>
      <c r="F325" s="2">
        <v>0</v>
      </c>
      <c r="G325">
        <v>1126.92</v>
      </c>
      <c r="H325">
        <v>1149.55</v>
      </c>
      <c r="I325">
        <v>1126.92</v>
      </c>
      <c r="J325">
        <v>1384863888971</v>
      </c>
      <c r="K325">
        <v>0</v>
      </c>
      <c r="L325" s="2">
        <f>VLOOKUP(A325,[1]aaabonddata!$A:$B,2,0)</f>
        <v>5.71</v>
      </c>
    </row>
    <row r="326" spans="1:12" x14ac:dyDescent="0.2">
      <c r="A326" s="3">
        <v>39241</v>
      </c>
      <c r="B326" s="2">
        <v>1906.26</v>
      </c>
      <c r="C326" s="2">
        <v>1906.79</v>
      </c>
      <c r="D326" s="2">
        <v>1876.52</v>
      </c>
      <c r="E326" s="2">
        <v>3043181600516</v>
      </c>
      <c r="F326" s="2">
        <v>19910612</v>
      </c>
      <c r="G326">
        <v>1146.53</v>
      </c>
      <c r="H326">
        <v>1146.69</v>
      </c>
      <c r="I326">
        <v>1125.04</v>
      </c>
      <c r="J326">
        <v>1408955782637</v>
      </c>
      <c r="K326">
        <v>0</v>
      </c>
      <c r="L326" s="2">
        <f>VLOOKUP(A326,[1]aaabonddata!$A:$B,2,0)</f>
        <v>5.72</v>
      </c>
    </row>
    <row r="327" spans="1:12" x14ac:dyDescent="0.2">
      <c r="A327" s="3">
        <v>39244</v>
      </c>
      <c r="B327" s="2">
        <v>1901.96</v>
      </c>
      <c r="C327" s="2">
        <v>1917.43</v>
      </c>
      <c r="D327" s="2">
        <v>1900.73</v>
      </c>
      <c r="E327" s="2">
        <v>3036325179128</v>
      </c>
      <c r="F327" s="2">
        <v>0</v>
      </c>
      <c r="G327">
        <v>1148</v>
      </c>
      <c r="H327">
        <v>1153.83</v>
      </c>
      <c r="I327">
        <v>1144.08</v>
      </c>
      <c r="J327">
        <v>1410763940838</v>
      </c>
      <c r="K327">
        <v>0</v>
      </c>
      <c r="L327" s="2">
        <f>VLOOKUP(A327,[1]aaabonddata!$A:$B,2,0)</f>
        <v>5.73</v>
      </c>
    </row>
    <row r="328" spans="1:12" x14ac:dyDescent="0.2">
      <c r="A328" s="3">
        <v>39245</v>
      </c>
      <c r="B328" s="2">
        <v>1890.67</v>
      </c>
      <c r="C328" s="2">
        <v>1911.14</v>
      </c>
      <c r="D328" s="2">
        <v>1887.77</v>
      </c>
      <c r="E328" s="2">
        <v>3018294134308</v>
      </c>
      <c r="F328" s="2">
        <v>35639649</v>
      </c>
      <c r="G328">
        <v>1140.72</v>
      </c>
      <c r="H328">
        <v>1153.1099999999999</v>
      </c>
      <c r="I328">
        <v>1137.99</v>
      </c>
      <c r="J328">
        <v>1401814322479</v>
      </c>
      <c r="K328">
        <v>0</v>
      </c>
      <c r="L328" s="2">
        <f>VLOOKUP(A328,[1]aaabonddata!$A:$B,2,0)</f>
        <v>5.82</v>
      </c>
    </row>
    <row r="329" spans="1:12" x14ac:dyDescent="0.2">
      <c r="A329" s="3">
        <v>39246</v>
      </c>
      <c r="B329" s="2">
        <v>1913.87</v>
      </c>
      <c r="C329" s="2">
        <v>1913.87</v>
      </c>
      <c r="D329" s="2">
        <v>1892.55</v>
      </c>
      <c r="E329" s="2">
        <v>3055333796722</v>
      </c>
      <c r="F329" s="2">
        <v>0</v>
      </c>
      <c r="G329">
        <v>1156.75</v>
      </c>
      <c r="H329">
        <v>1156.92</v>
      </c>
      <c r="I329">
        <v>1143.4100000000001</v>
      </c>
      <c r="J329">
        <v>1421514977776</v>
      </c>
      <c r="K329">
        <v>0</v>
      </c>
      <c r="L329" s="2">
        <f>VLOOKUP(A329,[1]aaabonddata!$A:$B,2,0)</f>
        <v>5.79</v>
      </c>
    </row>
    <row r="330" spans="1:12" x14ac:dyDescent="0.2">
      <c r="A330" s="3">
        <v>39247</v>
      </c>
      <c r="B330" s="2">
        <v>1924.54</v>
      </c>
      <c r="C330" s="2">
        <v>1929.59</v>
      </c>
      <c r="D330" s="2">
        <v>1913.53</v>
      </c>
      <c r="E330" s="2">
        <v>3072357782108</v>
      </c>
      <c r="F330" s="2">
        <v>19386891</v>
      </c>
      <c r="G330">
        <v>1163.78</v>
      </c>
      <c r="H330">
        <v>1166.8900000000001</v>
      </c>
      <c r="I330">
        <v>1157.3399999999999</v>
      </c>
      <c r="J330">
        <v>1430158440971</v>
      </c>
      <c r="K330">
        <v>0</v>
      </c>
      <c r="L330" s="2">
        <f>VLOOKUP(A330,[1]aaabonddata!$A:$B,2,0)</f>
        <v>5.81</v>
      </c>
    </row>
    <row r="331" spans="1:12" x14ac:dyDescent="0.2">
      <c r="A331" s="3">
        <v>39248</v>
      </c>
      <c r="B331" s="2">
        <v>1942.41</v>
      </c>
      <c r="C331" s="2">
        <v>1946.7</v>
      </c>
      <c r="D331" s="2">
        <v>1937.99</v>
      </c>
      <c r="E331" s="2">
        <v>3100895564347</v>
      </c>
      <c r="F331" s="2">
        <v>0</v>
      </c>
      <c r="G331">
        <v>1174.24</v>
      </c>
      <c r="H331">
        <v>1177.1300000000001</v>
      </c>
      <c r="I331">
        <v>1168.8699999999999</v>
      </c>
      <c r="J331">
        <v>1443008489624</v>
      </c>
      <c r="K331">
        <v>0</v>
      </c>
      <c r="L331" s="2">
        <f>VLOOKUP(A331,[1]aaabonddata!$A:$B,2,0)</f>
        <v>5.76</v>
      </c>
    </row>
    <row r="332" spans="1:12" x14ac:dyDescent="0.2">
      <c r="A332" s="3">
        <v>39251</v>
      </c>
      <c r="B332" s="2">
        <v>1944.37</v>
      </c>
      <c r="C332" s="2">
        <v>1947.79</v>
      </c>
      <c r="D332" s="2">
        <v>1939.27</v>
      </c>
      <c r="E332" s="2">
        <v>3096551122813</v>
      </c>
      <c r="F332" s="2">
        <v>0</v>
      </c>
      <c r="G332">
        <v>1174.7</v>
      </c>
      <c r="H332">
        <v>1177.74</v>
      </c>
      <c r="I332">
        <v>1171.1199999999999</v>
      </c>
      <c r="J332">
        <v>1455343384617</v>
      </c>
      <c r="K332">
        <v>0</v>
      </c>
      <c r="L332" s="2">
        <f>VLOOKUP(A332,[1]aaabonddata!$A:$B,2,0)</f>
        <v>5.74</v>
      </c>
    </row>
    <row r="333" spans="1:12" x14ac:dyDescent="0.2">
      <c r="A333" s="3">
        <v>39252</v>
      </c>
      <c r="B333" s="2">
        <v>1941.75</v>
      </c>
      <c r="C333" s="2">
        <v>1946.88</v>
      </c>
      <c r="D333" s="2">
        <v>1932.75</v>
      </c>
      <c r="E333" s="2">
        <v>3092390729545</v>
      </c>
      <c r="F333" s="2">
        <v>0</v>
      </c>
      <c r="G333">
        <v>1172.25</v>
      </c>
      <c r="H333">
        <v>1175.7</v>
      </c>
      <c r="I333">
        <v>1164.93</v>
      </c>
      <c r="J333">
        <v>1452305744237</v>
      </c>
      <c r="K333">
        <v>0</v>
      </c>
      <c r="L333" s="2">
        <f>VLOOKUP(A333,[1]aaabonddata!$A:$B,2,0)</f>
        <v>5.69</v>
      </c>
    </row>
    <row r="334" spans="1:12" x14ac:dyDescent="0.2">
      <c r="A334" s="3">
        <v>39253</v>
      </c>
      <c r="B334" s="2">
        <v>1922.12</v>
      </c>
      <c r="C334" s="2">
        <v>1948.58</v>
      </c>
      <c r="D334" s="2">
        <v>1922.07</v>
      </c>
      <c r="E334" s="2">
        <v>3061115975359</v>
      </c>
      <c r="F334" s="2">
        <v>0</v>
      </c>
      <c r="G334">
        <v>1161.3800000000001</v>
      </c>
      <c r="H334">
        <v>1176.98</v>
      </c>
      <c r="I334">
        <v>1161.3699999999999</v>
      </c>
      <c r="J334">
        <v>1438843163139</v>
      </c>
      <c r="K334">
        <v>0</v>
      </c>
      <c r="L334" s="2">
        <f>VLOOKUP(A334,[1]aaabonddata!$A:$B,2,0)</f>
        <v>5.72</v>
      </c>
    </row>
    <row r="335" spans="1:12" x14ac:dyDescent="0.2">
      <c r="A335" s="3">
        <v>39254</v>
      </c>
      <c r="B335" s="2">
        <v>1941.32</v>
      </c>
      <c r="C335" s="2">
        <v>1943.42</v>
      </c>
      <c r="D335" s="2">
        <v>1915.77</v>
      </c>
      <c r="E335" s="2">
        <v>3091699472579</v>
      </c>
      <c r="F335" s="2">
        <v>0</v>
      </c>
      <c r="G335">
        <v>1180.5899999999999</v>
      </c>
      <c r="H335">
        <v>1181.92</v>
      </c>
      <c r="I335">
        <v>1160.83</v>
      </c>
      <c r="J335">
        <v>1462638410983</v>
      </c>
      <c r="K335">
        <v>0</v>
      </c>
      <c r="L335" s="2">
        <f>VLOOKUP(A335,[1]aaabonddata!$A:$B,2,0)</f>
        <v>5.74</v>
      </c>
    </row>
    <row r="336" spans="1:12" x14ac:dyDescent="0.2">
      <c r="A336" s="3">
        <v>39255</v>
      </c>
      <c r="B336" s="2">
        <v>1921.94</v>
      </c>
      <c r="C336" s="2">
        <v>1940.28</v>
      </c>
      <c r="D336" s="2">
        <v>1917.52</v>
      </c>
      <c r="E336" s="2">
        <v>3060844393437</v>
      </c>
      <c r="F336" s="2">
        <v>0</v>
      </c>
      <c r="G336">
        <v>1169.07</v>
      </c>
      <c r="H336">
        <v>1179.75</v>
      </c>
      <c r="I336">
        <v>1164.75</v>
      </c>
      <c r="J336">
        <v>1448371935201</v>
      </c>
      <c r="K336">
        <v>0</v>
      </c>
      <c r="L336" s="2">
        <f>VLOOKUP(A336,[1]aaabonddata!$A:$B,2,0)</f>
        <v>5.71</v>
      </c>
    </row>
    <row r="337" spans="1:12" x14ac:dyDescent="0.2">
      <c r="A337" s="3">
        <v>39258</v>
      </c>
      <c r="B337" s="2">
        <v>1912.9</v>
      </c>
      <c r="C337" s="2">
        <v>1934.84</v>
      </c>
      <c r="D337" s="2">
        <v>1905.02</v>
      </c>
      <c r="E337" s="2">
        <v>3046432084699</v>
      </c>
      <c r="F337" s="2">
        <v>0</v>
      </c>
      <c r="G337">
        <v>1157.56</v>
      </c>
      <c r="H337">
        <v>1171.95</v>
      </c>
      <c r="I337">
        <v>1153.1400000000001</v>
      </c>
      <c r="J337">
        <v>1434109580554</v>
      </c>
      <c r="K337">
        <v>0</v>
      </c>
      <c r="L337" s="2">
        <f>VLOOKUP(A337,[1]aaabonddata!$A:$B,2,0)</f>
        <v>5.65</v>
      </c>
    </row>
    <row r="338" spans="1:12" x14ac:dyDescent="0.2">
      <c r="A338" s="3">
        <v>39259</v>
      </c>
      <c r="B338" s="2">
        <v>1908.64</v>
      </c>
      <c r="C338" s="2">
        <v>1924.42</v>
      </c>
      <c r="D338" s="2">
        <v>1901.18</v>
      </c>
      <c r="E338" s="2">
        <v>3039657673483</v>
      </c>
      <c r="F338" s="2">
        <v>10956763</v>
      </c>
      <c r="G338">
        <v>1154.78</v>
      </c>
      <c r="H338">
        <v>1164.8599999999999</v>
      </c>
      <c r="I338">
        <v>1150.79</v>
      </c>
      <c r="J338">
        <v>1430667364781</v>
      </c>
      <c r="K338">
        <v>0</v>
      </c>
      <c r="L338" s="2">
        <f>VLOOKUP(A338,[1]aaabonddata!$A:$B,2,0)</f>
        <v>5.69</v>
      </c>
    </row>
    <row r="339" spans="1:12" x14ac:dyDescent="0.2">
      <c r="A339" s="3">
        <v>39260</v>
      </c>
      <c r="B339" s="2">
        <v>1933.06</v>
      </c>
      <c r="C339" s="2">
        <v>1934.03</v>
      </c>
      <c r="D339" s="2">
        <v>1899.92</v>
      </c>
      <c r="E339" s="2">
        <v>3078540304853</v>
      </c>
      <c r="F339" s="2">
        <v>0</v>
      </c>
      <c r="G339">
        <v>1171.96</v>
      </c>
      <c r="H339">
        <v>1172.78</v>
      </c>
      <c r="I339">
        <v>1149.5999999999999</v>
      </c>
      <c r="J339">
        <v>1451947572093</v>
      </c>
      <c r="K339">
        <v>0</v>
      </c>
      <c r="L339" s="2">
        <f>VLOOKUP(A339,[1]aaabonddata!$A:$B,2,0)</f>
        <v>5.65</v>
      </c>
    </row>
    <row r="340" spans="1:12" x14ac:dyDescent="0.2">
      <c r="A340" s="3">
        <v>39261</v>
      </c>
      <c r="B340" s="2">
        <v>1931.67</v>
      </c>
      <c r="C340" s="2">
        <v>1945.12</v>
      </c>
      <c r="D340" s="2">
        <v>1930.53</v>
      </c>
      <c r="E340" s="2">
        <v>3076332979070</v>
      </c>
      <c r="F340" s="2">
        <v>0</v>
      </c>
      <c r="G340">
        <v>1172.76</v>
      </c>
      <c r="H340">
        <v>1181.21</v>
      </c>
      <c r="I340">
        <v>1168.98</v>
      </c>
      <c r="J340">
        <v>1452938713692</v>
      </c>
      <c r="K340">
        <v>0</v>
      </c>
      <c r="L340" s="2">
        <f>VLOOKUP(A340,[1]aaabonddata!$A:$B,2,0)</f>
        <v>5.71</v>
      </c>
    </row>
    <row r="341" spans="1:12" x14ac:dyDescent="0.2">
      <c r="A341" s="3">
        <v>39262</v>
      </c>
      <c r="B341" s="2">
        <v>1934.1</v>
      </c>
      <c r="C341" s="2">
        <v>1947</v>
      </c>
      <c r="D341" s="2">
        <v>1920.83</v>
      </c>
      <c r="E341" s="2">
        <v>3080198576937</v>
      </c>
      <c r="F341" s="2">
        <v>0</v>
      </c>
      <c r="G341">
        <v>1173.3499999999999</v>
      </c>
      <c r="H341">
        <v>1181.96</v>
      </c>
      <c r="I341">
        <v>1165.71</v>
      </c>
      <c r="J341">
        <v>1453677502802</v>
      </c>
      <c r="K341">
        <v>0</v>
      </c>
      <c r="L341" s="2">
        <f>VLOOKUP(A341,[1]aaabonddata!$A:$B,2,0)</f>
        <v>5.63</v>
      </c>
    </row>
    <row r="342" spans="1:12" x14ac:dyDescent="0.2">
      <c r="A342" s="3">
        <v>39265</v>
      </c>
      <c r="B342" s="2">
        <v>1954.12</v>
      </c>
      <c r="C342" s="2">
        <v>1954.24</v>
      </c>
      <c r="D342" s="2">
        <v>1939.74</v>
      </c>
      <c r="E342" s="2">
        <v>3112091075467</v>
      </c>
      <c r="F342" s="2">
        <v>0</v>
      </c>
      <c r="G342">
        <v>1183.3699999999999</v>
      </c>
      <c r="H342">
        <v>1183.95</v>
      </c>
      <c r="I342">
        <v>1176.33</v>
      </c>
      <c r="J342">
        <v>1466090379394</v>
      </c>
      <c r="K342">
        <v>0</v>
      </c>
      <c r="L342" s="2">
        <f>VLOOKUP(A342,[1]aaabonddata!$A:$B,2,0)</f>
        <v>5.62</v>
      </c>
    </row>
    <row r="343" spans="1:12" x14ac:dyDescent="0.2">
      <c r="A343" s="3">
        <v>39266</v>
      </c>
      <c r="B343" s="2">
        <v>1965.2</v>
      </c>
      <c r="C343" s="2">
        <v>1965.2</v>
      </c>
      <c r="D343" s="2">
        <v>1953.93</v>
      </c>
      <c r="E343" s="2">
        <v>3129734158242</v>
      </c>
      <c r="F343" s="2">
        <v>0</v>
      </c>
      <c r="G343">
        <v>1186.1300000000001</v>
      </c>
      <c r="H343">
        <v>1188.03</v>
      </c>
      <c r="I343">
        <v>1183.3599999999999</v>
      </c>
      <c r="J343">
        <v>1469502365275</v>
      </c>
      <c r="K343">
        <v>0</v>
      </c>
      <c r="L343" s="2">
        <f>VLOOKUP(A343,[1]aaabonddata!$A:$B,2,0)</f>
        <v>5.67</v>
      </c>
    </row>
    <row r="344" spans="1:12" x14ac:dyDescent="0.2">
      <c r="A344" s="3">
        <v>39268</v>
      </c>
      <c r="B344" s="2">
        <v>1981.06</v>
      </c>
      <c r="C344" s="2">
        <v>1983.1</v>
      </c>
      <c r="D344" s="2">
        <v>1964.49</v>
      </c>
      <c r="E344" s="2">
        <v>3154994678874</v>
      </c>
      <c r="F344" s="2">
        <v>0</v>
      </c>
      <c r="G344">
        <v>1195.19</v>
      </c>
      <c r="H344">
        <v>1196.21</v>
      </c>
      <c r="I344">
        <v>1185.1300000000001</v>
      </c>
      <c r="J344">
        <v>1480726250265</v>
      </c>
      <c r="K344">
        <v>0</v>
      </c>
      <c r="L344" s="2">
        <f>VLOOKUP(A344,[1]aaabonddata!$A:$B,2,0)</f>
        <v>5.76</v>
      </c>
    </row>
    <row r="345" spans="1:12" x14ac:dyDescent="0.2">
      <c r="A345" s="3">
        <v>39269</v>
      </c>
      <c r="B345" s="2">
        <v>1988.31</v>
      </c>
      <c r="C345" s="2">
        <v>1989.43</v>
      </c>
      <c r="D345" s="2">
        <v>1973.4</v>
      </c>
      <c r="E345" s="2">
        <v>3166534349973</v>
      </c>
      <c r="F345" s="2">
        <v>0</v>
      </c>
      <c r="G345">
        <v>1200.43</v>
      </c>
      <c r="H345">
        <v>1200.97</v>
      </c>
      <c r="I345">
        <v>1193.18</v>
      </c>
      <c r="J345">
        <v>1487225454423</v>
      </c>
      <c r="K345">
        <v>0</v>
      </c>
      <c r="L345" s="2">
        <f>VLOOKUP(A345,[1]aaabonddata!$A:$B,2,0)</f>
        <v>5.8</v>
      </c>
    </row>
    <row r="346" spans="1:12" x14ac:dyDescent="0.2">
      <c r="A346" s="3">
        <v>39272</v>
      </c>
      <c r="B346" s="2">
        <v>1989.2</v>
      </c>
      <c r="C346" s="2">
        <v>1992.55</v>
      </c>
      <c r="D346" s="2">
        <v>1982.37</v>
      </c>
      <c r="E346" s="2">
        <v>3167953932521</v>
      </c>
      <c r="F346" s="2">
        <v>0</v>
      </c>
      <c r="G346">
        <v>1206.3</v>
      </c>
      <c r="H346">
        <v>1208.33</v>
      </c>
      <c r="I346">
        <v>1200.4000000000001</v>
      </c>
      <c r="J346">
        <v>1494489531481</v>
      </c>
      <c r="K346">
        <v>0</v>
      </c>
      <c r="L346" s="2">
        <f>VLOOKUP(A346,[1]aaabonddata!$A:$B,2,0)</f>
        <v>5.77</v>
      </c>
    </row>
    <row r="347" spans="1:12" x14ac:dyDescent="0.2">
      <c r="A347" s="3">
        <v>39273</v>
      </c>
      <c r="B347" s="2">
        <v>1971.89</v>
      </c>
      <c r="C347" s="2">
        <v>1989.35</v>
      </c>
      <c r="D347" s="2">
        <v>1970.36</v>
      </c>
      <c r="E347" s="2">
        <v>3140379362055</v>
      </c>
      <c r="F347" s="2">
        <v>0</v>
      </c>
      <c r="G347">
        <v>1196.8399999999999</v>
      </c>
      <c r="H347">
        <v>1208.71</v>
      </c>
      <c r="I347">
        <v>1196.02</v>
      </c>
      <c r="J347">
        <v>1482772174566</v>
      </c>
      <c r="K347">
        <v>0</v>
      </c>
      <c r="L347" s="2">
        <f>VLOOKUP(A347,[1]aaabonddata!$A:$B,2,0)</f>
        <v>5.67</v>
      </c>
    </row>
    <row r="348" spans="1:12" x14ac:dyDescent="0.2">
      <c r="A348" s="3">
        <v>39274</v>
      </c>
      <c r="B348" s="2">
        <v>1984.08</v>
      </c>
      <c r="C348" s="2">
        <v>1984.67</v>
      </c>
      <c r="D348" s="2">
        <v>1965.61</v>
      </c>
      <c r="E348" s="2">
        <v>3153473993082</v>
      </c>
      <c r="F348" s="2">
        <v>46875716</v>
      </c>
      <c r="G348">
        <v>1203.49</v>
      </c>
      <c r="H348">
        <v>1203.8</v>
      </c>
      <c r="I348">
        <v>1190.8599999999999</v>
      </c>
      <c r="J348">
        <v>1491011785699</v>
      </c>
      <c r="K348">
        <v>0</v>
      </c>
      <c r="L348" s="2">
        <f>VLOOKUP(A348,[1]aaabonddata!$A:$B,2,0)</f>
        <v>5.7</v>
      </c>
    </row>
    <row r="349" spans="1:12" x14ac:dyDescent="0.2">
      <c r="A349" s="3">
        <v>39275</v>
      </c>
      <c r="B349" s="2">
        <v>2021.03</v>
      </c>
      <c r="C349" s="2">
        <v>2021.03</v>
      </c>
      <c r="D349" s="2">
        <v>1990.89</v>
      </c>
      <c r="E349" s="2">
        <v>3199625502139</v>
      </c>
      <c r="F349" s="2">
        <v>0</v>
      </c>
      <c r="G349">
        <v>1232.1500000000001</v>
      </c>
      <c r="H349">
        <v>1232.1500000000001</v>
      </c>
      <c r="I349">
        <v>1207.52</v>
      </c>
      <c r="J349">
        <v>1526514811045</v>
      </c>
      <c r="K349">
        <v>0</v>
      </c>
      <c r="L349" s="2">
        <f>VLOOKUP(A349,[1]aaabonddata!$A:$B,2,0)</f>
        <v>5.74</v>
      </c>
    </row>
    <row r="350" spans="1:12" x14ac:dyDescent="0.2">
      <c r="A350" s="3">
        <v>39276</v>
      </c>
      <c r="B350" s="2">
        <v>2032.16</v>
      </c>
      <c r="C350" s="2">
        <v>2032.28</v>
      </c>
      <c r="D350" s="2">
        <v>2017.28</v>
      </c>
      <c r="E350" s="2">
        <v>3217247186102</v>
      </c>
      <c r="F350" s="2">
        <v>0</v>
      </c>
      <c r="G350">
        <v>1231.8900000000001</v>
      </c>
      <c r="H350">
        <v>1232.6400000000001</v>
      </c>
      <c r="I350">
        <v>1225.6300000000001</v>
      </c>
      <c r="J350">
        <v>1526197616758</v>
      </c>
      <c r="K350">
        <v>0</v>
      </c>
      <c r="L350" s="2">
        <f>VLOOKUP(A350,[1]aaabonddata!$A:$B,2,0)</f>
        <v>5.73</v>
      </c>
    </row>
    <row r="351" spans="1:12" x14ac:dyDescent="0.2">
      <c r="A351" s="3">
        <v>39279</v>
      </c>
      <c r="B351" s="2">
        <v>2028.02</v>
      </c>
      <c r="C351" s="2">
        <v>2037.5</v>
      </c>
      <c r="D351" s="2">
        <v>2024.3</v>
      </c>
      <c r="E351" s="2">
        <v>3210695749221</v>
      </c>
      <c r="F351" s="2">
        <v>0</v>
      </c>
      <c r="G351">
        <v>1228.48</v>
      </c>
      <c r="H351">
        <v>1233.27</v>
      </c>
      <c r="I351">
        <v>1225.48</v>
      </c>
      <c r="J351">
        <v>1521970446570</v>
      </c>
      <c r="K351">
        <v>0</v>
      </c>
      <c r="L351" s="2">
        <f>VLOOKUP(A351,[1]aaabonddata!$A:$B,2,0)</f>
        <v>5.67</v>
      </c>
    </row>
    <row r="352" spans="1:12" x14ac:dyDescent="0.2">
      <c r="A352" s="3">
        <v>39280</v>
      </c>
      <c r="B352" s="2">
        <v>2041.78</v>
      </c>
      <c r="C352" s="2">
        <v>2045.97</v>
      </c>
      <c r="D352" s="2">
        <v>2030.57</v>
      </c>
      <c r="E352" s="2">
        <v>3232478853717</v>
      </c>
      <c r="F352" s="2">
        <v>0</v>
      </c>
      <c r="G352">
        <v>1246.0899999999999</v>
      </c>
      <c r="H352">
        <v>1250.01</v>
      </c>
      <c r="I352">
        <v>1232.04</v>
      </c>
      <c r="J352">
        <v>1543791013326</v>
      </c>
      <c r="K352">
        <v>0</v>
      </c>
      <c r="L352" s="2">
        <f>VLOOKUP(A352,[1]aaabonddata!$A:$B,2,0)</f>
        <v>5.71</v>
      </c>
    </row>
    <row r="353" spans="1:12" x14ac:dyDescent="0.2">
      <c r="A353" s="3">
        <v>39281</v>
      </c>
      <c r="B353" s="2">
        <v>2037.98</v>
      </c>
      <c r="C353" s="2">
        <v>2038.64</v>
      </c>
      <c r="D353" s="2">
        <v>2019.17</v>
      </c>
      <c r="E353" s="2">
        <v>3226463450055</v>
      </c>
      <c r="F353" s="2">
        <v>0</v>
      </c>
      <c r="G353">
        <v>1237.44</v>
      </c>
      <c r="H353">
        <v>1237.98</v>
      </c>
      <c r="I353">
        <v>1227.24</v>
      </c>
      <c r="J353">
        <v>1533080709807</v>
      </c>
      <c r="K353">
        <v>0</v>
      </c>
      <c r="L353" s="2">
        <f>VLOOKUP(A353,[1]aaabonddata!$A:$B,2,0)</f>
        <v>5.65</v>
      </c>
    </row>
    <row r="354" spans="1:12" x14ac:dyDescent="0.2">
      <c r="A354" s="3">
        <v>39282</v>
      </c>
      <c r="B354" s="2">
        <v>2052.9899999999998</v>
      </c>
      <c r="C354" s="2">
        <v>2060.29</v>
      </c>
      <c r="D354" s="2">
        <v>2046.96</v>
      </c>
      <c r="E354" s="2">
        <v>3250232116277</v>
      </c>
      <c r="F354" s="2">
        <v>0</v>
      </c>
      <c r="G354">
        <v>1258.28</v>
      </c>
      <c r="H354">
        <v>1261.6300000000001</v>
      </c>
      <c r="I354">
        <v>1248.46</v>
      </c>
      <c r="J354">
        <v>1558890788234</v>
      </c>
      <c r="K354">
        <v>0</v>
      </c>
      <c r="L354" s="2">
        <f>VLOOKUP(A354,[1]aaabonddata!$A:$B,2,0)</f>
        <v>5.67</v>
      </c>
    </row>
    <row r="355" spans="1:12" x14ac:dyDescent="0.2">
      <c r="A355" s="3">
        <v>39283</v>
      </c>
      <c r="B355" s="2">
        <v>2035.88</v>
      </c>
      <c r="C355" s="2">
        <v>2048.2399999999998</v>
      </c>
      <c r="D355" s="2">
        <v>2024.25</v>
      </c>
      <c r="E355" s="2">
        <v>3223136131809</v>
      </c>
      <c r="F355" s="2">
        <v>0</v>
      </c>
      <c r="G355">
        <v>1242.43</v>
      </c>
      <c r="H355">
        <v>1254.42</v>
      </c>
      <c r="I355">
        <v>1239.25</v>
      </c>
      <c r="J355">
        <v>1539251931821</v>
      </c>
      <c r="K355">
        <v>0</v>
      </c>
      <c r="L355" s="2">
        <f>VLOOKUP(A355,[1]aaabonddata!$A:$B,2,0)</f>
        <v>5.62</v>
      </c>
    </row>
    <row r="356" spans="1:12" x14ac:dyDescent="0.2">
      <c r="A356" s="3">
        <v>39286</v>
      </c>
      <c r="B356" s="2">
        <v>2036.33</v>
      </c>
      <c r="C356" s="2">
        <v>2045.81</v>
      </c>
      <c r="D356" s="2">
        <v>2031.37</v>
      </c>
      <c r="E356" s="2">
        <v>3223847611960</v>
      </c>
      <c r="F356" s="2">
        <v>0</v>
      </c>
      <c r="G356">
        <v>1241.3499999999999</v>
      </c>
      <c r="H356">
        <v>1252.6300000000001</v>
      </c>
      <c r="I356">
        <v>1240.69</v>
      </c>
      <c r="J356">
        <v>1537914475919</v>
      </c>
      <c r="K356">
        <v>0</v>
      </c>
      <c r="L356" s="2">
        <f>VLOOKUP(A356,[1]aaabonddata!$A:$B,2,0)</f>
        <v>5.64</v>
      </c>
    </row>
    <row r="357" spans="1:12" x14ac:dyDescent="0.2">
      <c r="A357" s="3">
        <v>39287</v>
      </c>
      <c r="B357" s="2">
        <v>2000.55</v>
      </c>
      <c r="C357" s="2">
        <v>2037.72</v>
      </c>
      <c r="D357" s="2">
        <v>1995.62</v>
      </c>
      <c r="E357" s="2">
        <v>3167213569640</v>
      </c>
      <c r="F357" s="2">
        <v>0</v>
      </c>
      <c r="G357">
        <v>1224.68</v>
      </c>
      <c r="H357">
        <v>1245.3900000000001</v>
      </c>
      <c r="I357">
        <v>1221.3900000000001</v>
      </c>
      <c r="J357">
        <v>1517270679807</v>
      </c>
      <c r="K357">
        <v>0</v>
      </c>
      <c r="L357" s="2">
        <f>VLOOKUP(A357,[1]aaabonddata!$A:$B,2,0)</f>
        <v>5.61</v>
      </c>
    </row>
    <row r="358" spans="1:12" x14ac:dyDescent="0.2">
      <c r="A358" s="3">
        <v>39288</v>
      </c>
      <c r="B358" s="2">
        <v>2011.14</v>
      </c>
      <c r="C358" s="2">
        <v>2020.68</v>
      </c>
      <c r="D358" s="2">
        <v>1996.05</v>
      </c>
      <c r="E358" s="2">
        <v>3183966670199</v>
      </c>
      <c r="F358" s="2">
        <v>71669021</v>
      </c>
      <c r="G358">
        <v>1229.25</v>
      </c>
      <c r="H358">
        <v>1234.57</v>
      </c>
      <c r="I358">
        <v>1218.42</v>
      </c>
      <c r="J358">
        <v>1522924330387</v>
      </c>
      <c r="K358">
        <v>0</v>
      </c>
      <c r="L358" s="2">
        <f>VLOOKUP(A358,[1]aaabonddata!$A:$B,2,0)</f>
        <v>5.58</v>
      </c>
    </row>
    <row r="359" spans="1:12" x14ac:dyDescent="0.2">
      <c r="A359" s="3">
        <v>39289</v>
      </c>
      <c r="B359" s="2">
        <v>1986.6</v>
      </c>
      <c r="C359" s="2">
        <v>2012.49</v>
      </c>
      <c r="D359" s="2">
        <v>1955.62</v>
      </c>
      <c r="E359" s="2">
        <v>3145127635710</v>
      </c>
      <c r="F359" s="2">
        <v>0</v>
      </c>
      <c r="G359">
        <v>1205.44</v>
      </c>
      <c r="H359">
        <v>1222.6099999999999</v>
      </c>
      <c r="I359">
        <v>1186.82</v>
      </c>
      <c r="J359">
        <v>1493434484118</v>
      </c>
      <c r="K359">
        <v>0</v>
      </c>
      <c r="L359" s="2">
        <f>VLOOKUP(A359,[1]aaabonddata!$A:$B,2,0)</f>
        <v>5.46</v>
      </c>
    </row>
    <row r="360" spans="1:12" x14ac:dyDescent="0.2">
      <c r="A360" s="3">
        <v>39290</v>
      </c>
      <c r="B360" s="2">
        <v>1956.19</v>
      </c>
      <c r="C360" s="2">
        <v>1997.79</v>
      </c>
      <c r="D360" s="2">
        <v>1956.16</v>
      </c>
      <c r="E360" s="2">
        <v>3096982546879</v>
      </c>
      <c r="F360" s="2">
        <v>0</v>
      </c>
      <c r="G360">
        <v>1184.1199999999999</v>
      </c>
      <c r="H360">
        <v>1211.1099999999999</v>
      </c>
      <c r="I360">
        <v>1184.08</v>
      </c>
      <c r="J360">
        <v>1467011547935</v>
      </c>
      <c r="K360">
        <v>0</v>
      </c>
      <c r="L360" s="2">
        <f>VLOOKUP(A360,[1]aaabonddata!$A:$B,2,0)</f>
        <v>5.5</v>
      </c>
    </row>
    <row r="361" spans="1:12" x14ac:dyDescent="0.2">
      <c r="A361" s="3">
        <v>39293</v>
      </c>
      <c r="B361" s="2">
        <v>1973.93</v>
      </c>
      <c r="C361" s="2">
        <v>1981.86</v>
      </c>
      <c r="D361" s="2">
        <v>1951.36</v>
      </c>
      <c r="E361" s="2">
        <v>3125056096084</v>
      </c>
      <c r="F361" s="2">
        <v>204183096</v>
      </c>
      <c r="G361">
        <v>1198.54</v>
      </c>
      <c r="H361">
        <v>1203.31</v>
      </c>
      <c r="I361">
        <v>1184.3399999999999</v>
      </c>
      <c r="J361">
        <v>1484883189893</v>
      </c>
      <c r="K361">
        <v>0</v>
      </c>
      <c r="L361" s="2">
        <f>VLOOKUP(A361,[1]aaabonddata!$A:$B,2,0)</f>
        <v>5.52</v>
      </c>
    </row>
    <row r="362" spans="1:12" x14ac:dyDescent="0.2">
      <c r="A362" s="3">
        <v>39294</v>
      </c>
      <c r="B362" s="2">
        <v>1932.06</v>
      </c>
      <c r="C362" s="2">
        <v>1992.53</v>
      </c>
      <c r="D362" s="2">
        <v>1931.99</v>
      </c>
      <c r="E362" s="2">
        <v>3058773519264</v>
      </c>
      <c r="F362" s="2">
        <v>0</v>
      </c>
      <c r="G362">
        <v>1173.81</v>
      </c>
      <c r="H362">
        <v>1211.55</v>
      </c>
      <c r="I362">
        <v>1173.76</v>
      </c>
      <c r="J362">
        <v>1454238044890</v>
      </c>
      <c r="K362">
        <v>0</v>
      </c>
      <c r="L362" s="2">
        <f>VLOOKUP(A362,[1]aaabonddata!$A:$B,2,0)</f>
        <v>5.5</v>
      </c>
    </row>
    <row r="363" spans="1:12" x14ac:dyDescent="0.2">
      <c r="A363" s="3">
        <v>39295</v>
      </c>
      <c r="B363" s="2">
        <v>1945.08</v>
      </c>
      <c r="C363" s="2">
        <v>1946.76</v>
      </c>
      <c r="D363" s="2">
        <v>1912.1</v>
      </c>
      <c r="E363" s="2">
        <v>3076858021553</v>
      </c>
      <c r="F363" s="2">
        <v>0</v>
      </c>
      <c r="G363">
        <v>1181.46</v>
      </c>
      <c r="H363">
        <v>1182.42</v>
      </c>
      <c r="I363">
        <v>1159.72</v>
      </c>
      <c r="J363">
        <v>1463723438057</v>
      </c>
      <c r="K363">
        <v>0</v>
      </c>
      <c r="L363" s="2">
        <f>VLOOKUP(A363,[1]aaabonddata!$A:$B,2,0)</f>
        <v>5.49</v>
      </c>
    </row>
    <row r="364" spans="1:12" x14ac:dyDescent="0.2">
      <c r="A364" s="3">
        <v>39296</v>
      </c>
      <c r="B364" s="2">
        <v>1966.6</v>
      </c>
      <c r="C364" s="2">
        <v>1969.66</v>
      </c>
      <c r="D364" s="2">
        <v>1944.37</v>
      </c>
      <c r="E364" s="2">
        <v>3110896621450</v>
      </c>
      <c r="F364" s="2">
        <v>0</v>
      </c>
      <c r="G364">
        <v>1189.1300000000001</v>
      </c>
      <c r="H364">
        <v>1191.57</v>
      </c>
      <c r="I364">
        <v>1176.78</v>
      </c>
      <c r="J364">
        <v>1473228831159</v>
      </c>
      <c r="K364">
        <v>0</v>
      </c>
      <c r="L364" s="2">
        <f>VLOOKUP(A364,[1]aaabonddata!$A:$B,2,0)</f>
        <v>5.5</v>
      </c>
    </row>
    <row r="365" spans="1:12" x14ac:dyDescent="0.2">
      <c r="A365" s="3">
        <v>39297</v>
      </c>
      <c r="B365" s="2">
        <v>1918.56</v>
      </c>
      <c r="C365" s="2">
        <v>1964.5</v>
      </c>
      <c r="D365" s="2">
        <v>1918.56</v>
      </c>
      <c r="E365" s="2">
        <v>3034895543890</v>
      </c>
      <c r="F365" s="2">
        <v>429929053</v>
      </c>
      <c r="G365">
        <v>1151.93</v>
      </c>
      <c r="H365">
        <v>1186.3699999999999</v>
      </c>
      <c r="I365">
        <v>1151.93</v>
      </c>
      <c r="J365">
        <v>1427138791741</v>
      </c>
      <c r="K365">
        <v>179114659</v>
      </c>
      <c r="L365" s="2">
        <f>VLOOKUP(A365,[1]aaabonddata!$A:$B,2,0)</f>
        <v>5.46</v>
      </c>
    </row>
    <row r="366" spans="1:12" x14ac:dyDescent="0.2">
      <c r="A366" s="3">
        <v>39300</v>
      </c>
      <c r="B366" s="2">
        <v>1954.37</v>
      </c>
      <c r="C366" s="2">
        <v>1954.37</v>
      </c>
      <c r="D366" s="2">
        <v>1912.69</v>
      </c>
      <c r="E366" s="2">
        <v>3091541487789</v>
      </c>
      <c r="F366" s="2">
        <v>0</v>
      </c>
      <c r="G366">
        <v>1169.7</v>
      </c>
      <c r="H366">
        <v>1169.7</v>
      </c>
      <c r="I366">
        <v>1148.18</v>
      </c>
      <c r="J366">
        <v>1449156381247</v>
      </c>
      <c r="K366">
        <v>0</v>
      </c>
      <c r="L366" s="2">
        <f>VLOOKUP(A366,[1]aaabonddata!$A:$B,2,0)</f>
        <v>5.49</v>
      </c>
    </row>
    <row r="367" spans="1:12" x14ac:dyDescent="0.2">
      <c r="A367" s="3">
        <v>39301</v>
      </c>
      <c r="B367" s="2">
        <v>1961.64</v>
      </c>
      <c r="C367" s="2">
        <v>1976.7</v>
      </c>
      <c r="D367" s="2">
        <v>1932.05</v>
      </c>
      <c r="E367" s="2">
        <v>3103051580716</v>
      </c>
      <c r="F367" s="2">
        <v>100589534</v>
      </c>
      <c r="G367">
        <v>1170.83</v>
      </c>
      <c r="H367">
        <v>1178.58</v>
      </c>
      <c r="I367">
        <v>1151.8399999999999</v>
      </c>
      <c r="J367">
        <v>1450549149457</v>
      </c>
      <c r="K367">
        <v>255680182</v>
      </c>
      <c r="L367" s="2">
        <f>VLOOKUP(A367,[1]aaabonddata!$A:$B,2,0)</f>
        <v>5.52</v>
      </c>
    </row>
    <row r="368" spans="1:12" x14ac:dyDescent="0.2">
      <c r="A368" s="3">
        <v>39302</v>
      </c>
      <c r="B368" s="2">
        <v>1987.34</v>
      </c>
      <c r="C368" s="2">
        <v>1995</v>
      </c>
      <c r="D368" s="2">
        <v>1968.34</v>
      </c>
      <c r="E368" s="2">
        <v>3140479627207</v>
      </c>
      <c r="F368" s="2">
        <v>152229254</v>
      </c>
      <c r="G368">
        <v>1195.49</v>
      </c>
      <c r="H368">
        <v>1203.43</v>
      </c>
      <c r="I368">
        <v>1182.18</v>
      </c>
      <c r="J368">
        <v>1481096971711</v>
      </c>
      <c r="K368">
        <v>235661507</v>
      </c>
      <c r="L368" s="2">
        <f>VLOOKUP(A368,[1]aaabonddata!$A:$B,2,0)</f>
        <v>5.62</v>
      </c>
    </row>
    <row r="369" spans="1:12" x14ac:dyDescent="0.2">
      <c r="A369" s="3">
        <v>39303</v>
      </c>
      <c r="B369" s="2">
        <v>1936.76</v>
      </c>
      <c r="C369" s="2">
        <v>1990.96</v>
      </c>
      <c r="D369" s="2">
        <v>1936.76</v>
      </c>
      <c r="E369" s="2">
        <v>3060557699978</v>
      </c>
      <c r="F369" s="2">
        <v>0</v>
      </c>
      <c r="G369">
        <v>1168.6400000000001</v>
      </c>
      <c r="H369">
        <v>1200.6600000000001</v>
      </c>
      <c r="I369">
        <v>1168.6400000000001</v>
      </c>
      <c r="J369">
        <v>1447840714298</v>
      </c>
      <c r="K369">
        <v>0</v>
      </c>
      <c r="L369" s="2">
        <f>VLOOKUP(A369,[1]aaabonddata!$A:$B,2,0)</f>
        <v>5.54</v>
      </c>
    </row>
    <row r="370" spans="1:12" x14ac:dyDescent="0.2">
      <c r="A370" s="3">
        <v>39304</v>
      </c>
      <c r="B370" s="2">
        <v>1925.14</v>
      </c>
      <c r="C370" s="2">
        <v>1944.54</v>
      </c>
      <c r="D370" s="2">
        <v>1896.69</v>
      </c>
      <c r="E370" s="2">
        <v>3042198333736</v>
      </c>
      <c r="F370" s="2">
        <v>88328458</v>
      </c>
      <c r="G370">
        <v>1164.24</v>
      </c>
      <c r="H370">
        <v>1176.4000000000001</v>
      </c>
      <c r="I370">
        <v>1147</v>
      </c>
      <c r="J370">
        <v>1442388647467</v>
      </c>
      <c r="K370">
        <v>0</v>
      </c>
      <c r="L370" s="2">
        <f>VLOOKUP(A370,[1]aaabonddata!$A:$B,2,0)</f>
        <v>5.52</v>
      </c>
    </row>
    <row r="371" spans="1:12" x14ac:dyDescent="0.2">
      <c r="A371" s="3">
        <v>39307</v>
      </c>
      <c r="B371" s="2">
        <v>1934.41</v>
      </c>
      <c r="C371" s="2">
        <v>1946.75</v>
      </c>
      <c r="D371" s="2">
        <v>1931.33</v>
      </c>
      <c r="E371" s="2">
        <v>3056845173753</v>
      </c>
      <c r="F371" s="2">
        <v>371712726</v>
      </c>
      <c r="G371">
        <v>1165.95</v>
      </c>
      <c r="H371">
        <v>1176.1099999999999</v>
      </c>
      <c r="I371">
        <v>1164.92</v>
      </c>
      <c r="J371">
        <v>1444499019454</v>
      </c>
      <c r="K371">
        <v>150217751</v>
      </c>
      <c r="L371" s="2">
        <f>VLOOKUP(A371,[1]aaabonddata!$A:$B,2,0)</f>
        <v>5.52</v>
      </c>
    </row>
    <row r="372" spans="1:12" x14ac:dyDescent="0.2">
      <c r="A372" s="3">
        <v>39308</v>
      </c>
      <c r="B372" s="2">
        <v>1901.32</v>
      </c>
      <c r="C372" s="2">
        <v>1940.89</v>
      </c>
      <c r="D372" s="2">
        <v>1901.32</v>
      </c>
      <c r="E372" s="2">
        <v>3004547080367</v>
      </c>
      <c r="F372" s="2">
        <v>699019585</v>
      </c>
      <c r="G372">
        <v>1145.08</v>
      </c>
      <c r="H372">
        <v>1172.1199999999999</v>
      </c>
      <c r="I372">
        <v>1145.08</v>
      </c>
      <c r="J372">
        <v>1418648026343</v>
      </c>
      <c r="K372">
        <v>224395972</v>
      </c>
      <c r="L372" s="2">
        <f>VLOOKUP(A372,[1]aaabonddata!$A:$B,2,0)</f>
        <v>5.48</v>
      </c>
    </row>
    <row r="373" spans="1:12" x14ac:dyDescent="0.2">
      <c r="A373" s="3">
        <v>39309</v>
      </c>
      <c r="B373" s="2">
        <v>1864.92</v>
      </c>
      <c r="C373" s="2">
        <v>1913.79</v>
      </c>
      <c r="D373" s="2">
        <v>1864.2</v>
      </c>
      <c r="E373" s="2">
        <v>2948261859709</v>
      </c>
      <c r="F373" s="2">
        <v>130755720</v>
      </c>
      <c r="G373">
        <v>1123.1400000000001</v>
      </c>
      <c r="H373">
        <v>1153.42</v>
      </c>
      <c r="I373">
        <v>1122.6500000000001</v>
      </c>
      <c r="J373">
        <v>1391471182880</v>
      </c>
      <c r="K373">
        <v>0</v>
      </c>
      <c r="L373" s="2">
        <f>VLOOKUP(A373,[1]aaabonddata!$A:$B,2,0)</f>
        <v>5.43</v>
      </c>
    </row>
    <row r="374" spans="1:12" x14ac:dyDescent="0.2">
      <c r="A374" s="3">
        <v>39310</v>
      </c>
      <c r="B374" s="2">
        <v>1846.09</v>
      </c>
      <c r="C374" s="2">
        <v>1865.47</v>
      </c>
      <c r="D374" s="2">
        <v>1805.66</v>
      </c>
      <c r="E374" s="2">
        <v>2918492884629</v>
      </c>
      <c r="F374" s="2">
        <v>127838274</v>
      </c>
      <c r="G374">
        <v>1115.02</v>
      </c>
      <c r="H374">
        <v>1126.3699999999999</v>
      </c>
      <c r="I374">
        <v>1090.51</v>
      </c>
      <c r="J374">
        <v>1381410095474</v>
      </c>
      <c r="K374">
        <v>95807037</v>
      </c>
      <c r="L374" s="2">
        <f>VLOOKUP(A374,[1]aaabonddata!$A:$B,2,0)</f>
        <v>5.31</v>
      </c>
    </row>
    <row r="375" spans="1:12" x14ac:dyDescent="0.2">
      <c r="A375" s="3">
        <v>39311</v>
      </c>
      <c r="B375" s="2">
        <v>1888.78</v>
      </c>
      <c r="C375" s="2">
        <v>1893.77</v>
      </c>
      <c r="D375" s="2">
        <v>1853.87</v>
      </c>
      <c r="E375" s="2">
        <v>2985988266748</v>
      </c>
      <c r="F375" s="2">
        <v>0</v>
      </c>
      <c r="G375">
        <v>1142.18</v>
      </c>
      <c r="H375">
        <v>1142.46</v>
      </c>
      <c r="I375">
        <v>1118.1500000000001</v>
      </c>
      <c r="J375">
        <v>1415055615840</v>
      </c>
      <c r="K375">
        <v>0</v>
      </c>
      <c r="L375" s="2">
        <f>VLOOKUP(A375,[1]aaabonddata!$A:$B,2,0)</f>
        <v>5.38</v>
      </c>
    </row>
    <row r="376" spans="1:12" x14ac:dyDescent="0.2">
      <c r="A376" s="3">
        <v>39314</v>
      </c>
      <c r="B376" s="2">
        <v>1893.05</v>
      </c>
      <c r="C376" s="2">
        <v>1899.05</v>
      </c>
      <c r="D376" s="2">
        <v>1874.27</v>
      </c>
      <c r="E376" s="2">
        <v>2992739588932</v>
      </c>
      <c r="F376" s="2">
        <v>0</v>
      </c>
      <c r="G376">
        <v>1149.3900000000001</v>
      </c>
      <c r="H376">
        <v>1152.8399999999999</v>
      </c>
      <c r="I376">
        <v>1137.27</v>
      </c>
      <c r="J376">
        <v>1423989057374</v>
      </c>
      <c r="K376">
        <v>0</v>
      </c>
      <c r="L376" s="2">
        <f>VLOOKUP(A376,[1]aaabonddata!$A:$B,2,0)</f>
        <v>5.34</v>
      </c>
    </row>
    <row r="377" spans="1:12" x14ac:dyDescent="0.2">
      <c r="A377" s="3">
        <v>39315</v>
      </c>
      <c r="B377" s="2">
        <v>1910.99</v>
      </c>
      <c r="C377" s="2">
        <v>1915.1</v>
      </c>
      <c r="D377" s="2">
        <v>1886.45</v>
      </c>
      <c r="E377" s="2">
        <v>3021104843974</v>
      </c>
      <c r="F377" s="2">
        <v>158267751</v>
      </c>
      <c r="G377">
        <v>1153.8</v>
      </c>
      <c r="H377">
        <v>1158.21</v>
      </c>
      <c r="I377">
        <v>1143.5999999999999</v>
      </c>
      <c r="J377">
        <v>1429448747322</v>
      </c>
      <c r="K377">
        <v>211198342</v>
      </c>
      <c r="L377" s="2">
        <f>VLOOKUP(A377,[1]aaabonddata!$A:$B,2,0)</f>
        <v>5.28</v>
      </c>
    </row>
    <row r="378" spans="1:12" x14ac:dyDescent="0.2">
      <c r="A378" s="3">
        <v>39316</v>
      </c>
      <c r="B378" s="2">
        <v>1936.77</v>
      </c>
      <c r="C378" s="2">
        <v>1938.79</v>
      </c>
      <c r="D378" s="2">
        <v>1922.19</v>
      </c>
      <c r="E378" s="2">
        <v>3061684359688</v>
      </c>
      <c r="F378" s="2">
        <v>0</v>
      </c>
      <c r="G378">
        <v>1170.6199999999999</v>
      </c>
      <c r="H378">
        <v>1171.4100000000001</v>
      </c>
      <c r="I378">
        <v>1161.07</v>
      </c>
      <c r="J378">
        <v>1450294803783</v>
      </c>
      <c r="K378">
        <v>0</v>
      </c>
      <c r="L378" s="2">
        <f>VLOOKUP(A378,[1]aaabonddata!$A:$B,2,0)</f>
        <v>5.35</v>
      </c>
    </row>
    <row r="379" spans="1:12" x14ac:dyDescent="0.2">
      <c r="A379" s="3">
        <v>39317</v>
      </c>
      <c r="B379" s="2">
        <v>1931.88</v>
      </c>
      <c r="C379" s="2">
        <v>1945.11</v>
      </c>
      <c r="D379" s="2">
        <v>1920.62</v>
      </c>
      <c r="E379" s="2">
        <v>3053960275218</v>
      </c>
      <c r="F379" s="2">
        <v>0</v>
      </c>
      <c r="G379">
        <v>1165.76</v>
      </c>
      <c r="H379">
        <v>1173.1300000000001</v>
      </c>
      <c r="I379">
        <v>1158.49</v>
      </c>
      <c r="J379">
        <v>1444272456105</v>
      </c>
      <c r="K379">
        <v>0</v>
      </c>
      <c r="L379" s="2">
        <f>VLOOKUP(A379,[1]aaabonddata!$A:$B,2,0)</f>
        <v>5.37</v>
      </c>
    </row>
    <row r="380" spans="1:12" x14ac:dyDescent="0.2">
      <c r="A380" s="3">
        <v>39318</v>
      </c>
      <c r="B380" s="2">
        <v>1961.38</v>
      </c>
      <c r="C380" s="2">
        <v>1961.38</v>
      </c>
      <c r="D380" s="2">
        <v>1924.11</v>
      </c>
      <c r="E380" s="2">
        <v>3100586946626</v>
      </c>
      <c r="F380" s="2">
        <v>0</v>
      </c>
      <c r="G380">
        <v>1177.8900000000001</v>
      </c>
      <c r="H380">
        <v>1177.8900000000001</v>
      </c>
      <c r="I380">
        <v>1158.6400000000001</v>
      </c>
      <c r="J380">
        <v>1459293221734</v>
      </c>
      <c r="K380">
        <v>0</v>
      </c>
      <c r="L380" s="2">
        <f>VLOOKUP(A380,[1]aaabonddata!$A:$B,2,0)</f>
        <v>5.42</v>
      </c>
    </row>
    <row r="381" spans="1:12" x14ac:dyDescent="0.2">
      <c r="A381" s="3">
        <v>39321</v>
      </c>
      <c r="B381" s="2">
        <v>1947.49</v>
      </c>
      <c r="C381" s="2">
        <v>1958.96</v>
      </c>
      <c r="D381" s="2">
        <v>1945.51</v>
      </c>
      <c r="E381" s="2">
        <v>3078643315011</v>
      </c>
      <c r="F381" s="2">
        <v>0</v>
      </c>
      <c r="G381">
        <v>1169.3599999999999</v>
      </c>
      <c r="H381">
        <v>1174.94</v>
      </c>
      <c r="I381">
        <v>1165.82</v>
      </c>
      <c r="J381">
        <v>1448725416585</v>
      </c>
      <c r="K381">
        <v>0</v>
      </c>
      <c r="L381" s="2">
        <f>VLOOKUP(A381,[1]aaabonddata!$A:$B,2,0)</f>
        <v>5.38</v>
      </c>
    </row>
    <row r="382" spans="1:12" x14ac:dyDescent="0.2">
      <c r="A382" s="3">
        <v>39322</v>
      </c>
      <c r="B382" s="2">
        <v>1899.24</v>
      </c>
      <c r="C382" s="2">
        <v>1939.1</v>
      </c>
      <c r="D382" s="2">
        <v>1899.24</v>
      </c>
      <c r="E382" s="2">
        <v>3002356412164</v>
      </c>
      <c r="F382" s="2">
        <v>0</v>
      </c>
      <c r="G382">
        <v>1141.5</v>
      </c>
      <c r="H382">
        <v>1165.25</v>
      </c>
      <c r="I382">
        <v>1141.26</v>
      </c>
      <c r="J382">
        <v>1414215546386</v>
      </c>
      <c r="K382">
        <v>0</v>
      </c>
      <c r="L382" s="2">
        <f>VLOOKUP(A382,[1]aaabonddata!$A:$B,2,0)</f>
        <v>5.29</v>
      </c>
    </row>
    <row r="383" spans="1:12" x14ac:dyDescent="0.2">
      <c r="A383" s="3">
        <v>39323</v>
      </c>
      <c r="B383" s="2">
        <v>1954.85</v>
      </c>
      <c r="C383" s="2">
        <v>1955.46</v>
      </c>
      <c r="D383" s="2">
        <v>1913.49</v>
      </c>
      <c r="E383" s="2">
        <v>3089482687509</v>
      </c>
      <c r="F383" s="2">
        <v>555888766</v>
      </c>
      <c r="G383">
        <v>1172.6600000000001</v>
      </c>
      <c r="H383">
        <v>1173.0999999999999</v>
      </c>
      <c r="I383">
        <v>1149.92</v>
      </c>
      <c r="J383">
        <v>1452820249491</v>
      </c>
      <c r="K383">
        <v>115199939</v>
      </c>
      <c r="L383" s="2">
        <f>VLOOKUP(A383,[1]aaabonddata!$A:$B,2,0)</f>
        <v>5.32</v>
      </c>
    </row>
    <row r="384" spans="1:12" x14ac:dyDescent="0.2">
      <c r="A384" s="3">
        <v>39324</v>
      </c>
      <c r="B384" s="2">
        <v>1963.75</v>
      </c>
      <c r="C384" s="2">
        <v>1980.95</v>
      </c>
      <c r="D384" s="2">
        <v>1940.92</v>
      </c>
      <c r="E384" s="2">
        <v>3103540780493</v>
      </c>
      <c r="F384" s="2">
        <v>0</v>
      </c>
      <c r="G384">
        <v>1176.94</v>
      </c>
      <c r="H384">
        <v>1187.83</v>
      </c>
      <c r="I384">
        <v>1165.3800000000001</v>
      </c>
      <c r="J384">
        <v>1458121132435</v>
      </c>
      <c r="K384">
        <v>0</v>
      </c>
      <c r="L384" s="2">
        <f>VLOOKUP(A384,[1]aaabonddata!$A:$B,2,0)</f>
        <v>5.28</v>
      </c>
    </row>
    <row r="385" spans="1:12" x14ac:dyDescent="0.2">
      <c r="A385" s="3">
        <v>39325</v>
      </c>
      <c r="B385" s="2">
        <v>1988.73</v>
      </c>
      <c r="C385" s="2">
        <v>1993.73</v>
      </c>
      <c r="D385" s="2">
        <v>1975.83</v>
      </c>
      <c r="E385" s="2">
        <v>3143018636018</v>
      </c>
      <c r="F385" s="2">
        <v>30055345</v>
      </c>
      <c r="G385">
        <v>1192.9100000000001</v>
      </c>
      <c r="H385">
        <v>1195.3800000000001</v>
      </c>
      <c r="I385">
        <v>1185.54</v>
      </c>
      <c r="J385">
        <v>1477910547598</v>
      </c>
      <c r="K385">
        <v>0</v>
      </c>
      <c r="L385" s="2">
        <f>VLOOKUP(A385,[1]aaabonddata!$A:$B,2,0)</f>
        <v>5.33</v>
      </c>
    </row>
    <row r="386" spans="1:12" x14ac:dyDescent="0.2">
      <c r="A386" s="3">
        <v>39329</v>
      </c>
      <c r="B386" s="2">
        <v>2020.51</v>
      </c>
      <c r="C386" s="2">
        <v>2032.1</v>
      </c>
      <c r="D386" s="2">
        <v>1989.28</v>
      </c>
      <c r="E386" s="2">
        <v>3193239275593</v>
      </c>
      <c r="F386" s="2">
        <v>0</v>
      </c>
      <c r="G386">
        <v>1214.55</v>
      </c>
      <c r="H386">
        <v>1222.1400000000001</v>
      </c>
      <c r="I386">
        <v>1193.01</v>
      </c>
      <c r="J386">
        <v>1504712131989</v>
      </c>
      <c r="K386">
        <v>0</v>
      </c>
      <c r="L386" s="2">
        <f>VLOOKUP(A386,[1]aaabonddata!$A:$B,2,0)</f>
        <v>5.34</v>
      </c>
    </row>
    <row r="387" spans="1:12" x14ac:dyDescent="0.2">
      <c r="A387" s="3">
        <v>39330</v>
      </c>
      <c r="B387" s="2">
        <v>1994.38</v>
      </c>
      <c r="C387" s="2">
        <v>2017.32</v>
      </c>
      <c r="D387" s="2">
        <v>1987.3</v>
      </c>
      <c r="E387" s="2">
        <v>3149235020056</v>
      </c>
      <c r="F387" s="2">
        <v>75828836</v>
      </c>
      <c r="G387">
        <v>1201.9100000000001</v>
      </c>
      <c r="H387">
        <v>1211.81</v>
      </c>
      <c r="I387">
        <v>1194.8499999999999</v>
      </c>
      <c r="J387">
        <v>1489060580740</v>
      </c>
      <c r="K387">
        <v>0</v>
      </c>
      <c r="L387" s="2">
        <f>VLOOKUP(A387,[1]aaabonddata!$A:$B,2,0)</f>
        <v>5.24</v>
      </c>
    </row>
    <row r="388" spans="1:12" x14ac:dyDescent="0.2">
      <c r="A388" s="3">
        <v>39331</v>
      </c>
      <c r="B388" s="2">
        <v>1998.67</v>
      </c>
      <c r="C388" s="2">
        <v>2006.05</v>
      </c>
      <c r="D388" s="2">
        <v>1984.44</v>
      </c>
      <c r="E388" s="2">
        <v>3156004925430</v>
      </c>
      <c r="F388" s="2">
        <v>0</v>
      </c>
      <c r="G388">
        <v>1205.8599999999999</v>
      </c>
      <c r="H388">
        <v>1210.1300000000001</v>
      </c>
      <c r="I388">
        <v>1196.1500000000001</v>
      </c>
      <c r="J388">
        <v>1493949579223</v>
      </c>
      <c r="K388">
        <v>0</v>
      </c>
      <c r="L388" s="2">
        <f>VLOOKUP(A388,[1]aaabonddata!$A:$B,2,0)</f>
        <v>5.34</v>
      </c>
    </row>
    <row r="389" spans="1:12" x14ac:dyDescent="0.2">
      <c r="A389" s="3">
        <v>39332</v>
      </c>
      <c r="B389" s="2">
        <v>1958.35</v>
      </c>
      <c r="C389" s="2">
        <v>1975.31</v>
      </c>
      <c r="D389" s="2">
        <v>1949.87</v>
      </c>
      <c r="E389" s="2">
        <v>3092330506533</v>
      </c>
      <c r="F389" s="2">
        <v>0</v>
      </c>
      <c r="G389">
        <v>1179.02</v>
      </c>
      <c r="H389">
        <v>1191.68</v>
      </c>
      <c r="I389">
        <v>1174.29</v>
      </c>
      <c r="J389">
        <v>1460703432510</v>
      </c>
      <c r="K389">
        <v>0</v>
      </c>
      <c r="L389" s="2">
        <f>VLOOKUP(A389,[1]aaabonddata!$A:$B,2,0)</f>
        <v>5.22</v>
      </c>
    </row>
    <row r="390" spans="1:12" x14ac:dyDescent="0.2">
      <c r="A390" s="3">
        <v>39335</v>
      </c>
      <c r="B390" s="2">
        <v>1960.2</v>
      </c>
      <c r="C390" s="2">
        <v>1980.97</v>
      </c>
      <c r="D390" s="2">
        <v>1943.27</v>
      </c>
      <c r="E390" s="2">
        <v>3095263057489</v>
      </c>
      <c r="F390" s="2">
        <v>62518913</v>
      </c>
      <c r="G390">
        <v>1179.27</v>
      </c>
      <c r="H390">
        <v>1193</v>
      </c>
      <c r="I390">
        <v>1168.8499999999999</v>
      </c>
      <c r="J390">
        <v>1461009068179</v>
      </c>
      <c r="K390">
        <v>0</v>
      </c>
      <c r="L390" s="2">
        <f>VLOOKUP(A390,[1]aaabonddata!$A:$B,2,0)</f>
        <v>5.19</v>
      </c>
    </row>
    <row r="391" spans="1:12" x14ac:dyDescent="0.2">
      <c r="A391" s="3">
        <v>39336</v>
      </c>
      <c r="B391" s="2">
        <v>1988.98</v>
      </c>
      <c r="C391" s="2">
        <v>1991.02</v>
      </c>
      <c r="D391" s="2">
        <v>1969.52</v>
      </c>
      <c r="E391" s="2">
        <v>3140697814628</v>
      </c>
      <c r="F391" s="2">
        <v>0</v>
      </c>
      <c r="G391">
        <v>1197.98</v>
      </c>
      <c r="H391">
        <v>1200.97</v>
      </c>
      <c r="I391">
        <v>1184.8800000000001</v>
      </c>
      <c r="J391">
        <v>1484181539559</v>
      </c>
      <c r="K391">
        <v>0</v>
      </c>
      <c r="L391" s="2">
        <f>VLOOKUP(A391,[1]aaabonddata!$A:$B,2,0)</f>
        <v>5.25</v>
      </c>
    </row>
    <row r="392" spans="1:12" x14ac:dyDescent="0.2">
      <c r="A392" s="3">
        <v>39337</v>
      </c>
      <c r="B392" s="2">
        <v>1988.96</v>
      </c>
      <c r="C392" s="2">
        <v>2006.37</v>
      </c>
      <c r="D392" s="2">
        <v>1983.44</v>
      </c>
      <c r="E392" s="2">
        <v>3138177840492</v>
      </c>
      <c r="F392" s="2">
        <v>0</v>
      </c>
      <c r="G392">
        <v>1191.4000000000001</v>
      </c>
      <c r="H392">
        <v>1207</v>
      </c>
      <c r="I392">
        <v>1190.17</v>
      </c>
      <c r="J392">
        <v>1476040808746</v>
      </c>
      <c r="K392">
        <v>0</v>
      </c>
      <c r="L392" s="2">
        <f>VLOOKUP(A392,[1]aaabonddata!$A:$B,2,0)</f>
        <v>5.29</v>
      </c>
    </row>
    <row r="393" spans="1:12" x14ac:dyDescent="0.2">
      <c r="A393" s="3">
        <v>39338</v>
      </c>
      <c r="B393" s="2">
        <v>1998.63</v>
      </c>
      <c r="C393" s="2">
        <v>2005.96</v>
      </c>
      <c r="D393" s="2">
        <v>1989.91</v>
      </c>
      <c r="E393" s="2">
        <v>3153433284809</v>
      </c>
      <c r="F393" s="2">
        <v>0</v>
      </c>
      <c r="G393">
        <v>1193.83</v>
      </c>
      <c r="H393">
        <v>1199.7</v>
      </c>
      <c r="I393">
        <v>1190.1600000000001</v>
      </c>
      <c r="J393">
        <v>1479046556278</v>
      </c>
      <c r="K393">
        <v>0</v>
      </c>
      <c r="L393" s="2">
        <f>VLOOKUP(A393,[1]aaabonddata!$A:$B,2,0)</f>
        <v>5.37</v>
      </c>
    </row>
    <row r="394" spans="1:12" x14ac:dyDescent="0.2">
      <c r="A394" s="3">
        <v>39339</v>
      </c>
      <c r="B394" s="2">
        <v>2000.82</v>
      </c>
      <c r="C394" s="2">
        <v>2004.03</v>
      </c>
      <c r="D394" s="2">
        <v>1981.91</v>
      </c>
      <c r="E394" s="2">
        <v>3156901413691</v>
      </c>
      <c r="F394" s="2">
        <v>0</v>
      </c>
      <c r="G394">
        <v>1193.3800000000001</v>
      </c>
      <c r="H394">
        <v>1195.1500000000001</v>
      </c>
      <c r="I394">
        <v>1184.1199999999999</v>
      </c>
      <c r="J394">
        <v>1478485986424</v>
      </c>
      <c r="K394">
        <v>0</v>
      </c>
      <c r="L394" s="2">
        <f>VLOOKUP(A394,[1]aaabonddata!$A:$B,2,0)</f>
        <v>5.35</v>
      </c>
    </row>
    <row r="395" spans="1:12" x14ac:dyDescent="0.2">
      <c r="A395" s="3">
        <v>39342</v>
      </c>
      <c r="B395" s="2">
        <v>1983.08</v>
      </c>
      <c r="C395" s="2">
        <v>1995.47</v>
      </c>
      <c r="D395" s="2">
        <v>1975.29</v>
      </c>
      <c r="E395" s="2">
        <v>3128903078961</v>
      </c>
      <c r="F395" s="2">
        <v>0</v>
      </c>
      <c r="G395">
        <v>1186.03</v>
      </c>
      <c r="H395">
        <v>1190.98</v>
      </c>
      <c r="I395">
        <v>1181</v>
      </c>
      <c r="J395">
        <v>1469385726386</v>
      </c>
      <c r="K395">
        <v>0</v>
      </c>
      <c r="L395" s="2">
        <f>VLOOKUP(A395,[1]aaabonddata!$A:$B,2,0)</f>
        <v>5.37</v>
      </c>
    </row>
    <row r="396" spans="1:12" x14ac:dyDescent="0.2">
      <c r="A396" s="3">
        <v>39343</v>
      </c>
      <c r="B396" s="2">
        <v>2035.37</v>
      </c>
      <c r="C396" s="2">
        <v>2035.37</v>
      </c>
      <c r="D396" s="2">
        <v>1985.7</v>
      </c>
      <c r="E396" s="2">
        <v>3211415853708</v>
      </c>
      <c r="F396" s="2">
        <v>0</v>
      </c>
      <c r="G396">
        <v>1219.7</v>
      </c>
      <c r="H396">
        <v>1219.8599999999999</v>
      </c>
      <c r="I396">
        <v>1189.26</v>
      </c>
      <c r="J396">
        <v>1511090682420</v>
      </c>
      <c r="K396">
        <v>0</v>
      </c>
      <c r="L396" s="2">
        <f>VLOOKUP(A396,[1]aaabonddata!$A:$B,2,0)</f>
        <v>5.34</v>
      </c>
    </row>
    <row r="397" spans="1:12" x14ac:dyDescent="0.2">
      <c r="A397" s="3">
        <v>39344</v>
      </c>
      <c r="B397" s="2">
        <v>2041.36</v>
      </c>
      <c r="C397" s="2">
        <v>2056.27</v>
      </c>
      <c r="D397" s="2">
        <v>2032.08</v>
      </c>
      <c r="E397" s="2">
        <v>3220859137339</v>
      </c>
      <c r="F397" s="2">
        <v>0</v>
      </c>
      <c r="G397">
        <v>1223.51</v>
      </c>
      <c r="H397">
        <v>1231.1099999999999</v>
      </c>
      <c r="I397">
        <v>1216.3800000000001</v>
      </c>
      <c r="J397">
        <v>1515816332191</v>
      </c>
      <c r="K397">
        <v>0</v>
      </c>
      <c r="L397" s="2">
        <f>VLOOKUP(A397,[1]aaabonddata!$A:$B,2,0)</f>
        <v>5.36</v>
      </c>
    </row>
    <row r="398" spans="1:12" x14ac:dyDescent="0.2">
      <c r="A398" s="3">
        <v>39345</v>
      </c>
      <c r="B398" s="2">
        <v>2032.61</v>
      </c>
      <c r="C398" s="2">
        <v>2043.21</v>
      </c>
      <c r="D398" s="2">
        <v>2029.53</v>
      </c>
      <c r="E398" s="2">
        <v>3207051522174</v>
      </c>
      <c r="F398" s="2">
        <v>0</v>
      </c>
      <c r="G398">
        <v>1217.3399999999999</v>
      </c>
      <c r="H398">
        <v>1225.1099999999999</v>
      </c>
      <c r="I398">
        <v>1214.06</v>
      </c>
      <c r="J398">
        <v>1508171313027</v>
      </c>
      <c r="K398">
        <v>0</v>
      </c>
      <c r="L398" s="2">
        <f>VLOOKUP(A398,[1]aaabonddata!$A:$B,2,0)</f>
        <v>5.47</v>
      </c>
    </row>
    <row r="399" spans="1:12" x14ac:dyDescent="0.2">
      <c r="A399" s="3">
        <v>39346</v>
      </c>
      <c r="B399" s="2">
        <v>2049.48</v>
      </c>
      <c r="C399" s="2">
        <v>2054.09</v>
      </c>
      <c r="D399" s="2">
        <v>2041.48</v>
      </c>
      <c r="E399" s="2">
        <v>3233674916651</v>
      </c>
      <c r="F399" s="2">
        <v>0</v>
      </c>
      <c r="G399">
        <v>1223.73</v>
      </c>
      <c r="H399">
        <v>1229.24</v>
      </c>
      <c r="I399">
        <v>1223.19</v>
      </c>
      <c r="J399">
        <v>1516094670396</v>
      </c>
      <c r="K399">
        <v>0</v>
      </c>
      <c r="L399" s="2">
        <f>VLOOKUP(A399,[1]aaabonddata!$A:$B,2,0)</f>
        <v>5.41</v>
      </c>
    </row>
    <row r="400" spans="1:12" x14ac:dyDescent="0.2">
      <c r="A400" s="3">
        <v>39349</v>
      </c>
      <c r="B400" s="2">
        <v>2057.25</v>
      </c>
      <c r="C400" s="2">
        <v>2072.6999999999998</v>
      </c>
      <c r="D400" s="2">
        <v>2047.51</v>
      </c>
      <c r="E400" s="2">
        <v>3244467851835</v>
      </c>
      <c r="F400" s="2">
        <v>0</v>
      </c>
      <c r="G400">
        <v>1217.03</v>
      </c>
      <c r="H400">
        <v>1229.78</v>
      </c>
      <c r="I400">
        <v>1212.96</v>
      </c>
      <c r="J400">
        <v>1517338891863</v>
      </c>
      <c r="K400">
        <v>0</v>
      </c>
      <c r="L400" s="2">
        <f>VLOOKUP(A400,[1]aaabonddata!$A:$B,2,0)</f>
        <v>5.41</v>
      </c>
    </row>
    <row r="401" spans="1:12" x14ac:dyDescent="0.2">
      <c r="A401" s="3">
        <v>39350</v>
      </c>
      <c r="B401" s="2">
        <v>2076.83</v>
      </c>
      <c r="C401" s="2">
        <v>2076.83</v>
      </c>
      <c r="D401" s="2">
        <v>2048.34</v>
      </c>
      <c r="E401" s="2">
        <v>3275347438176</v>
      </c>
      <c r="F401" s="2">
        <v>10966140</v>
      </c>
      <c r="G401">
        <v>1229.6400000000001</v>
      </c>
      <c r="H401">
        <v>1229.6400000000001</v>
      </c>
      <c r="I401">
        <v>1212.98</v>
      </c>
      <c r="J401">
        <v>1533055940960</v>
      </c>
      <c r="K401">
        <v>0</v>
      </c>
      <c r="L401" s="2">
        <f>VLOOKUP(A401,[1]aaabonddata!$A:$B,2,0)</f>
        <v>5.38</v>
      </c>
    </row>
    <row r="402" spans="1:12" x14ac:dyDescent="0.2">
      <c r="A402" s="3">
        <v>39351</v>
      </c>
      <c r="B402" s="2">
        <v>2088.38</v>
      </c>
      <c r="C402" s="2">
        <v>2094.9699999999998</v>
      </c>
      <c r="D402" s="2">
        <v>2079.92</v>
      </c>
      <c r="E402" s="2">
        <v>3293556289760</v>
      </c>
      <c r="F402" s="2">
        <v>0</v>
      </c>
      <c r="G402">
        <v>1232.33</v>
      </c>
      <c r="H402">
        <v>1240.3</v>
      </c>
      <c r="I402">
        <v>1228.05</v>
      </c>
      <c r="J402">
        <v>1536407112631</v>
      </c>
      <c r="K402">
        <v>0</v>
      </c>
      <c r="L402" s="2">
        <f>VLOOKUP(A402,[1]aaabonddata!$A:$B,2,0)</f>
        <v>5.37</v>
      </c>
    </row>
    <row r="403" spans="1:12" x14ac:dyDescent="0.2">
      <c r="A403" s="3">
        <v>39352</v>
      </c>
      <c r="B403" s="2">
        <v>2096.39</v>
      </c>
      <c r="C403" s="2">
        <v>2099.61</v>
      </c>
      <c r="D403" s="2">
        <v>2089.58</v>
      </c>
      <c r="E403" s="2">
        <v>3306180069910</v>
      </c>
      <c r="F403" s="2">
        <v>0</v>
      </c>
      <c r="G403">
        <v>1237.44</v>
      </c>
      <c r="H403">
        <v>1242.1500000000001</v>
      </c>
      <c r="I403">
        <v>1235.72</v>
      </c>
      <c r="J403">
        <v>1542776568666</v>
      </c>
      <c r="K403">
        <v>0</v>
      </c>
      <c r="L403" s="2">
        <f>VLOOKUP(A403,[1]aaabonddata!$A:$B,2,0)</f>
        <v>5.33</v>
      </c>
    </row>
    <row r="404" spans="1:12" x14ac:dyDescent="0.2">
      <c r="A404" s="3">
        <v>39353</v>
      </c>
      <c r="B404" s="2">
        <v>2091.11</v>
      </c>
      <c r="C404" s="2">
        <v>2101.96</v>
      </c>
      <c r="D404" s="2">
        <v>2082.04</v>
      </c>
      <c r="E404" s="2">
        <v>3297860244647</v>
      </c>
      <c r="F404" s="2">
        <v>0</v>
      </c>
      <c r="G404">
        <v>1238.8499999999999</v>
      </c>
      <c r="H404">
        <v>1244.28</v>
      </c>
      <c r="I404">
        <v>1234.7</v>
      </c>
      <c r="J404">
        <v>1544540368599</v>
      </c>
      <c r="K404">
        <v>0</v>
      </c>
      <c r="L404" s="2">
        <f>VLOOKUP(A404,[1]aaabonddata!$A:$B,2,0)</f>
        <v>5.33</v>
      </c>
    </row>
    <row r="405" spans="1:12" x14ac:dyDescent="0.2">
      <c r="A405" s="3">
        <v>39356</v>
      </c>
      <c r="B405" s="2">
        <v>2116.9699999999998</v>
      </c>
      <c r="C405" s="2">
        <v>2120.79</v>
      </c>
      <c r="D405" s="2">
        <v>2092.6</v>
      </c>
      <c r="E405" s="2">
        <v>3338649433846</v>
      </c>
      <c r="F405" s="2">
        <v>0</v>
      </c>
      <c r="G405">
        <v>1254.3399999999999</v>
      </c>
      <c r="H405">
        <v>1256.83</v>
      </c>
      <c r="I405">
        <v>1239.83</v>
      </c>
      <c r="J405">
        <v>1563857661044</v>
      </c>
      <c r="K405">
        <v>0</v>
      </c>
      <c r="L405" s="2">
        <f>VLOOKUP(A405,[1]aaabonddata!$A:$B,2,0)</f>
        <v>5.32</v>
      </c>
    </row>
    <row r="406" spans="1:12" x14ac:dyDescent="0.2">
      <c r="A406" s="3">
        <v>39357</v>
      </c>
      <c r="B406" s="2">
        <v>2115.89</v>
      </c>
      <c r="C406" s="2">
        <v>2117.34</v>
      </c>
      <c r="D406" s="2">
        <v>2104.15</v>
      </c>
      <c r="E406" s="2">
        <v>3323496865186</v>
      </c>
      <c r="F406" s="2">
        <v>0</v>
      </c>
      <c r="G406">
        <v>1255.8599999999999</v>
      </c>
      <c r="H406">
        <v>1256.1099999999999</v>
      </c>
      <c r="I406">
        <v>1246.99</v>
      </c>
      <c r="J406">
        <v>1531281253204</v>
      </c>
      <c r="K406">
        <v>0</v>
      </c>
      <c r="L406" s="2">
        <f>VLOOKUP(A406,[1]aaabonddata!$A:$B,2,0)</f>
        <v>5.3</v>
      </c>
    </row>
    <row r="407" spans="1:12" x14ac:dyDescent="0.2">
      <c r="A407" s="3">
        <v>39358</v>
      </c>
      <c r="B407" s="2">
        <v>2103.0100000000002</v>
      </c>
      <c r="C407" s="2">
        <v>2117.38</v>
      </c>
      <c r="D407" s="2">
        <v>2095.3000000000002</v>
      </c>
      <c r="E407" s="2">
        <v>3303269034076</v>
      </c>
      <c r="F407" s="2">
        <v>0</v>
      </c>
      <c r="G407">
        <v>1246.75</v>
      </c>
      <c r="H407">
        <v>1254.17</v>
      </c>
      <c r="I407">
        <v>1240.56</v>
      </c>
      <c r="J407">
        <v>1520170354817</v>
      </c>
      <c r="K407">
        <v>0</v>
      </c>
      <c r="L407" s="2">
        <f>VLOOKUP(A407,[1]aaabonddata!$A:$B,2,0)</f>
        <v>5.3</v>
      </c>
    </row>
    <row r="408" spans="1:12" x14ac:dyDescent="0.2">
      <c r="A408" s="3">
        <v>39359</v>
      </c>
      <c r="B408" s="2">
        <v>2105.56</v>
      </c>
      <c r="C408" s="2">
        <v>2107.7199999999998</v>
      </c>
      <c r="D408" s="2">
        <v>2088.79</v>
      </c>
      <c r="E408" s="2">
        <v>3307268317302</v>
      </c>
      <c r="F408" s="2">
        <v>0</v>
      </c>
      <c r="G408">
        <v>1246.8599999999999</v>
      </c>
      <c r="H408">
        <v>1249</v>
      </c>
      <c r="I408">
        <v>1239.18</v>
      </c>
      <c r="J408">
        <v>1520306768324</v>
      </c>
      <c r="K408">
        <v>0</v>
      </c>
      <c r="L408" s="2">
        <f>VLOOKUP(A408,[1]aaabonddata!$A:$B,2,0)</f>
        <v>5.29</v>
      </c>
    </row>
    <row r="409" spans="1:12" x14ac:dyDescent="0.2">
      <c r="A409" s="3">
        <v>39360</v>
      </c>
      <c r="B409" s="2">
        <v>2149.67</v>
      </c>
      <c r="C409" s="2">
        <v>2151.7199999999998</v>
      </c>
      <c r="D409" s="2">
        <v>2118.13</v>
      </c>
      <c r="E409" s="2">
        <v>3376545910737</v>
      </c>
      <c r="F409" s="2">
        <v>0</v>
      </c>
      <c r="G409">
        <v>1268.51</v>
      </c>
      <c r="H409">
        <v>1270.9000000000001</v>
      </c>
      <c r="I409">
        <v>1251.1500000000001</v>
      </c>
      <c r="J409">
        <v>1546708738762</v>
      </c>
      <c r="K409">
        <v>0</v>
      </c>
      <c r="L409" s="2">
        <f>VLOOKUP(A409,[1]aaabonddata!$A:$B,2,0)</f>
        <v>5.39</v>
      </c>
    </row>
    <row r="410" spans="1:12" x14ac:dyDescent="0.2">
      <c r="A410" s="3">
        <v>39363</v>
      </c>
      <c r="B410" s="2">
        <v>2163.2600000000002</v>
      </c>
      <c r="C410" s="2">
        <v>2163.2600000000002</v>
      </c>
      <c r="D410" s="2">
        <v>2144.2199999999998</v>
      </c>
      <c r="E410" s="2">
        <v>3394049722255</v>
      </c>
      <c r="F410" s="2">
        <v>0</v>
      </c>
      <c r="G410">
        <v>1277.82</v>
      </c>
      <c r="H410">
        <v>1277.82</v>
      </c>
      <c r="I410">
        <v>1263.5</v>
      </c>
      <c r="J410">
        <v>1520912296305</v>
      </c>
      <c r="K410">
        <v>0</v>
      </c>
      <c r="L410" s="2">
        <f>VLOOKUP(A410,[1]aaabonddata!$A:$B,2,0)</f>
        <v>5.39</v>
      </c>
    </row>
    <row r="411" spans="1:12" x14ac:dyDescent="0.2">
      <c r="A411" s="3">
        <v>39364</v>
      </c>
      <c r="B411" s="2">
        <v>2171.21</v>
      </c>
      <c r="C411" s="2">
        <v>2173.9499999999998</v>
      </c>
      <c r="D411" s="2">
        <v>2157.9499999999998</v>
      </c>
      <c r="E411" s="2">
        <v>3406534216253</v>
      </c>
      <c r="F411" s="2">
        <v>0</v>
      </c>
      <c r="G411">
        <v>1275.25</v>
      </c>
      <c r="H411">
        <v>1276.3900000000001</v>
      </c>
      <c r="I411">
        <v>1266.0999999999999</v>
      </c>
      <c r="J411">
        <v>1517854671556</v>
      </c>
      <c r="K411">
        <v>0</v>
      </c>
      <c r="L411" s="2">
        <f>VLOOKUP(A411,[1]aaabonddata!$A:$B,2,0)</f>
        <v>5.41</v>
      </c>
    </row>
    <row r="412" spans="1:12" x14ac:dyDescent="0.2">
      <c r="A412" s="3">
        <v>39365</v>
      </c>
      <c r="B412" s="2">
        <v>2176.98</v>
      </c>
      <c r="C412" s="2">
        <v>2178.9499999999998</v>
      </c>
      <c r="D412" s="2">
        <v>2164.91</v>
      </c>
      <c r="E412" s="2">
        <v>3415577912196</v>
      </c>
      <c r="F412" s="2">
        <v>46086831</v>
      </c>
      <c r="G412">
        <v>1279.51</v>
      </c>
      <c r="H412">
        <v>1279.96</v>
      </c>
      <c r="I412">
        <v>1269.21</v>
      </c>
      <c r="J412">
        <v>1522927961679</v>
      </c>
      <c r="K412">
        <v>0</v>
      </c>
      <c r="L412" s="2">
        <f>VLOOKUP(A412,[1]aaabonddata!$A:$B,2,0)</f>
        <v>5.41</v>
      </c>
    </row>
    <row r="413" spans="1:12" x14ac:dyDescent="0.2">
      <c r="A413" s="3">
        <v>39366</v>
      </c>
      <c r="B413" s="2">
        <v>2140.92</v>
      </c>
      <c r="C413" s="2">
        <v>2194.14</v>
      </c>
      <c r="D413" s="2">
        <v>2127.0700000000002</v>
      </c>
      <c r="E413" s="2">
        <v>3359001734857</v>
      </c>
      <c r="F413" s="2">
        <v>0</v>
      </c>
      <c r="G413">
        <v>1255.82</v>
      </c>
      <c r="H413">
        <v>1286.4100000000001</v>
      </c>
      <c r="I413">
        <v>1249.01</v>
      </c>
      <c r="J413">
        <v>1494734987707</v>
      </c>
      <c r="K413">
        <v>0</v>
      </c>
      <c r="L413" s="2">
        <f>VLOOKUP(A413,[1]aaabonddata!$A:$B,2,0)</f>
        <v>5.41</v>
      </c>
    </row>
    <row r="414" spans="1:12" x14ac:dyDescent="0.2">
      <c r="A414" s="3">
        <v>39367</v>
      </c>
      <c r="B414" s="2">
        <v>2177.9899999999998</v>
      </c>
      <c r="C414" s="2">
        <v>2177.9899999999998</v>
      </c>
      <c r="D414" s="2">
        <v>2148.38</v>
      </c>
      <c r="E414" s="2">
        <v>3417160741964</v>
      </c>
      <c r="F414" s="2">
        <v>0</v>
      </c>
      <c r="G414">
        <v>1287.23</v>
      </c>
      <c r="H414">
        <v>1287.6199999999999</v>
      </c>
      <c r="I414">
        <v>1269.1400000000001</v>
      </c>
      <c r="J414">
        <v>1532117527779</v>
      </c>
      <c r="K414">
        <v>0</v>
      </c>
      <c r="L414" s="2">
        <f>VLOOKUP(A414,[1]aaabonddata!$A:$B,2,0)</f>
        <v>5.44</v>
      </c>
    </row>
    <row r="415" spans="1:12" x14ac:dyDescent="0.2">
      <c r="A415" s="3">
        <v>39370</v>
      </c>
      <c r="B415" s="2">
        <v>2158.92</v>
      </c>
      <c r="C415" s="2">
        <v>2184.86</v>
      </c>
      <c r="D415" s="2">
        <v>2143.9</v>
      </c>
      <c r="E415" s="2">
        <v>3387240841255</v>
      </c>
      <c r="F415" s="2">
        <v>0</v>
      </c>
      <c r="G415">
        <v>1276.32</v>
      </c>
      <c r="H415">
        <v>1286.1300000000001</v>
      </c>
      <c r="I415">
        <v>1268.78</v>
      </c>
      <c r="J415">
        <v>1519127334331</v>
      </c>
      <c r="K415">
        <v>0</v>
      </c>
      <c r="L415" s="2">
        <f>VLOOKUP(A415,[1]aaabonddata!$A:$B,2,0)</f>
        <v>5.43</v>
      </c>
    </row>
    <row r="416" spans="1:12" x14ac:dyDescent="0.2">
      <c r="A416" s="3">
        <v>39371</v>
      </c>
      <c r="B416" s="2">
        <v>2151.14</v>
      </c>
      <c r="C416" s="2">
        <v>2166.65</v>
      </c>
      <c r="D416" s="2">
        <v>2143.56</v>
      </c>
      <c r="E416" s="2">
        <v>3375035922261</v>
      </c>
      <c r="F416" s="2">
        <v>28913667</v>
      </c>
      <c r="G416">
        <v>1261.06</v>
      </c>
      <c r="H416">
        <v>1270.6099999999999</v>
      </c>
      <c r="I416">
        <v>1258.58</v>
      </c>
      <c r="J416">
        <v>1500972665782</v>
      </c>
      <c r="K416">
        <v>107352668</v>
      </c>
      <c r="L416" s="2">
        <f>VLOOKUP(A416,[1]aaabonddata!$A:$B,2,0)</f>
        <v>5.4</v>
      </c>
    </row>
    <row r="417" spans="1:12" x14ac:dyDescent="0.2">
      <c r="A417" s="3">
        <v>39372</v>
      </c>
      <c r="B417" s="2">
        <v>2179.14</v>
      </c>
      <c r="C417" s="2">
        <v>2182.85</v>
      </c>
      <c r="D417" s="2">
        <v>2143.54</v>
      </c>
      <c r="E417" s="2">
        <v>3418975408495</v>
      </c>
      <c r="F417" s="2">
        <v>0</v>
      </c>
      <c r="G417">
        <v>1279.67</v>
      </c>
      <c r="H417">
        <v>1283.8599999999999</v>
      </c>
      <c r="I417">
        <v>1262.05</v>
      </c>
      <c r="J417">
        <v>1523115720694</v>
      </c>
      <c r="K417">
        <v>0</v>
      </c>
      <c r="L417" s="2">
        <f>VLOOKUP(A417,[1]aaabonddata!$A:$B,2,0)</f>
        <v>5.29</v>
      </c>
    </row>
    <row r="418" spans="1:12" x14ac:dyDescent="0.2">
      <c r="A418" s="3">
        <v>39373</v>
      </c>
      <c r="B418" s="2">
        <v>2187.52</v>
      </c>
      <c r="C418" s="2">
        <v>2191.66</v>
      </c>
      <c r="D418" s="2">
        <v>2161.6799999999998</v>
      </c>
      <c r="E418" s="2">
        <v>3432122906879</v>
      </c>
      <c r="F418" s="2">
        <v>0</v>
      </c>
      <c r="G418">
        <v>1293.5999999999999</v>
      </c>
      <c r="H418">
        <v>1296.51</v>
      </c>
      <c r="I418">
        <v>1274.6600000000001</v>
      </c>
      <c r="J418">
        <v>1539704098490</v>
      </c>
      <c r="K418">
        <v>0</v>
      </c>
      <c r="L418" s="2">
        <f>VLOOKUP(A418,[1]aaabonddata!$A:$B,2,0)</f>
        <v>5.24</v>
      </c>
    </row>
    <row r="419" spans="1:12" x14ac:dyDescent="0.2">
      <c r="A419" s="3">
        <v>39374</v>
      </c>
      <c r="B419" s="2">
        <v>2131.08</v>
      </c>
      <c r="C419" s="2">
        <v>2188.75</v>
      </c>
      <c r="D419" s="2">
        <v>2131.08</v>
      </c>
      <c r="E419" s="2">
        <v>3343560075229</v>
      </c>
      <c r="F419" s="2">
        <v>0</v>
      </c>
      <c r="G419">
        <v>1254.2</v>
      </c>
      <c r="H419">
        <v>1290.1600000000001</v>
      </c>
      <c r="I419">
        <v>1254.19</v>
      </c>
      <c r="J419">
        <v>1492803533227</v>
      </c>
      <c r="K419">
        <v>0</v>
      </c>
      <c r="L419" s="2">
        <f>VLOOKUP(A419,[1]aaabonddata!$A:$B,2,0)</f>
        <v>5.15</v>
      </c>
    </row>
    <row r="420" spans="1:12" x14ac:dyDescent="0.2">
      <c r="A420" s="3">
        <v>39377</v>
      </c>
      <c r="B420" s="2">
        <v>2157.4499999999998</v>
      </c>
      <c r="C420" s="2">
        <v>2160.02</v>
      </c>
      <c r="D420" s="2">
        <v>2116.64</v>
      </c>
      <c r="E420" s="2">
        <v>3384946261704</v>
      </c>
      <c r="F420" s="2">
        <v>0</v>
      </c>
      <c r="G420">
        <v>1270.55</v>
      </c>
      <c r="H420">
        <v>1271.01</v>
      </c>
      <c r="I420">
        <v>1245.01</v>
      </c>
      <c r="J420">
        <v>1512262725037</v>
      </c>
      <c r="K420">
        <v>0</v>
      </c>
      <c r="L420" s="2">
        <f>VLOOKUP(A420,[1]aaabonddata!$A:$B,2,0)</f>
        <v>5.16</v>
      </c>
    </row>
    <row r="421" spans="1:12" x14ac:dyDescent="0.2">
      <c r="A421" s="3">
        <v>39378</v>
      </c>
      <c r="B421" s="2">
        <v>2205.1799999999998</v>
      </c>
      <c r="C421" s="2">
        <v>2205.1799999999998</v>
      </c>
      <c r="D421" s="2">
        <v>2170.4699999999998</v>
      </c>
      <c r="E421" s="2">
        <v>3459821444555</v>
      </c>
      <c r="F421" s="2">
        <v>0</v>
      </c>
      <c r="G421">
        <v>1291.8599999999999</v>
      </c>
      <c r="H421">
        <v>1291.8599999999999</v>
      </c>
      <c r="I421">
        <v>1270.2</v>
      </c>
      <c r="J421">
        <v>1537622396322</v>
      </c>
      <c r="K421">
        <v>0</v>
      </c>
      <c r="L421" s="2">
        <f>VLOOKUP(A421,[1]aaabonddata!$A:$B,2,0)</f>
        <v>5.16</v>
      </c>
    </row>
    <row r="422" spans="1:12" x14ac:dyDescent="0.2">
      <c r="A422" s="3">
        <v>39379</v>
      </c>
      <c r="B422" s="2">
        <v>2188.59</v>
      </c>
      <c r="C422" s="2">
        <v>2194.35</v>
      </c>
      <c r="D422" s="2">
        <v>2140.87</v>
      </c>
      <c r="E422" s="2">
        <v>3437799279277</v>
      </c>
      <c r="F422" s="2">
        <v>7511557</v>
      </c>
      <c r="G422">
        <v>1263.45</v>
      </c>
      <c r="H422">
        <v>1273.1600000000001</v>
      </c>
      <c r="I422">
        <v>1238.0899999999999</v>
      </c>
      <c r="J422">
        <v>1503807921507</v>
      </c>
      <c r="K422">
        <v>0</v>
      </c>
      <c r="L422" s="2">
        <f>VLOOKUP(A422,[1]aaabonddata!$A:$B,2,0)</f>
        <v>5.08</v>
      </c>
    </row>
    <row r="423" spans="1:12" x14ac:dyDescent="0.2">
      <c r="A423" s="3">
        <v>39380</v>
      </c>
      <c r="B423" s="2">
        <v>2161.52</v>
      </c>
      <c r="C423" s="2">
        <v>2195.4</v>
      </c>
      <c r="D423" s="2">
        <v>2146.23</v>
      </c>
      <c r="E423" s="2">
        <v>3395282135615</v>
      </c>
      <c r="F423" s="2">
        <v>0</v>
      </c>
      <c r="G423">
        <v>1242.56</v>
      </c>
      <c r="H423">
        <v>1264.3800000000001</v>
      </c>
      <c r="I423">
        <v>1233.02</v>
      </c>
      <c r="J423">
        <v>1478946324565</v>
      </c>
      <c r="K423">
        <v>0</v>
      </c>
      <c r="L423" s="2">
        <f>VLOOKUP(A423,[1]aaabonddata!$A:$B,2,0)</f>
        <v>5.0999999999999996</v>
      </c>
    </row>
    <row r="424" spans="1:12" x14ac:dyDescent="0.2">
      <c r="A424" s="3">
        <v>39381</v>
      </c>
      <c r="B424" s="2">
        <v>2194.59</v>
      </c>
      <c r="C424" s="2">
        <v>2203.88</v>
      </c>
      <c r="D424" s="2">
        <v>2174.8200000000002</v>
      </c>
      <c r="E424" s="2">
        <v>3447234439884</v>
      </c>
      <c r="F424" s="2">
        <v>0</v>
      </c>
      <c r="G424">
        <v>1255.8599999999999</v>
      </c>
      <c r="H424">
        <v>1261.96</v>
      </c>
      <c r="I424">
        <v>1245.08</v>
      </c>
      <c r="J424">
        <v>1494781971135</v>
      </c>
      <c r="K424">
        <v>0</v>
      </c>
      <c r="L424" s="2">
        <f>VLOOKUP(A424,[1]aaabonddata!$A:$B,2,0)</f>
        <v>5.13</v>
      </c>
    </row>
    <row r="425" spans="1:12" x14ac:dyDescent="0.2">
      <c r="A425" s="3">
        <v>39384</v>
      </c>
      <c r="B425" s="2">
        <v>2203.42</v>
      </c>
      <c r="C425" s="2">
        <v>2209.39</v>
      </c>
      <c r="D425" s="2">
        <v>2191.21</v>
      </c>
      <c r="E425" s="2">
        <v>3461091930167</v>
      </c>
      <c r="F425" s="2">
        <v>0</v>
      </c>
      <c r="G425">
        <v>1265.24</v>
      </c>
      <c r="H425">
        <v>1268.98</v>
      </c>
      <c r="I425">
        <v>1255.5899999999999</v>
      </c>
      <c r="J425">
        <v>1505948997942</v>
      </c>
      <c r="K425">
        <v>0</v>
      </c>
      <c r="L425" s="2">
        <f>VLOOKUP(A425,[1]aaabonddata!$A:$B,2,0)</f>
        <v>5.14</v>
      </c>
    </row>
    <row r="426" spans="1:12" x14ac:dyDescent="0.2">
      <c r="A426" s="3">
        <v>39385</v>
      </c>
      <c r="B426" s="2">
        <v>2207.61</v>
      </c>
      <c r="C426" s="2">
        <v>2218.88</v>
      </c>
      <c r="D426" s="2">
        <v>2192.69</v>
      </c>
      <c r="E426" s="2">
        <v>3467679961900</v>
      </c>
      <c r="F426" s="2">
        <v>204727902</v>
      </c>
      <c r="G426">
        <v>1266.21</v>
      </c>
      <c r="H426">
        <v>1271.94</v>
      </c>
      <c r="I426">
        <v>1258.44</v>
      </c>
      <c r="J426">
        <v>1507095925299</v>
      </c>
      <c r="K426">
        <v>0</v>
      </c>
      <c r="L426" s="2">
        <f>VLOOKUP(A426,[1]aaabonddata!$A:$B,2,0)</f>
        <v>5.15</v>
      </c>
    </row>
    <row r="427" spans="1:12" x14ac:dyDescent="0.2">
      <c r="A427" s="3">
        <v>39386</v>
      </c>
      <c r="B427" s="2">
        <v>2238.98</v>
      </c>
      <c r="C427" s="2">
        <v>2239.23</v>
      </c>
      <c r="D427" s="2">
        <v>2199.02</v>
      </c>
      <c r="E427" s="2">
        <v>3516961701429</v>
      </c>
      <c r="F427" s="2">
        <v>0</v>
      </c>
      <c r="G427">
        <v>1282.3599999999999</v>
      </c>
      <c r="H427">
        <v>1282.3599999999999</v>
      </c>
      <c r="I427">
        <v>1259.07</v>
      </c>
      <c r="J427">
        <v>1526319130512</v>
      </c>
      <c r="K427">
        <v>0</v>
      </c>
      <c r="L427" s="2">
        <f>VLOOKUP(A427,[1]aaabonddata!$A:$B,2,0)</f>
        <v>5.25</v>
      </c>
    </row>
    <row r="428" spans="1:12" x14ac:dyDescent="0.2">
      <c r="A428" s="3">
        <v>39387</v>
      </c>
      <c r="B428" s="2">
        <v>2197.0700000000002</v>
      </c>
      <c r="C428" s="2">
        <v>2226.88</v>
      </c>
      <c r="D428" s="2">
        <v>2196.35</v>
      </c>
      <c r="E428" s="2">
        <v>3451132424952</v>
      </c>
      <c r="F428" s="2">
        <v>0</v>
      </c>
      <c r="G428">
        <v>1256.98</v>
      </c>
      <c r="H428">
        <v>1276.5999999999999</v>
      </c>
      <c r="I428">
        <v>1256.81</v>
      </c>
      <c r="J428">
        <v>1496113709640</v>
      </c>
      <c r="K428">
        <v>0</v>
      </c>
      <c r="L428" s="2">
        <f>VLOOKUP(A428,[1]aaabonddata!$A:$B,2,0)</f>
        <v>5.15</v>
      </c>
    </row>
    <row r="429" spans="1:12" x14ac:dyDescent="0.2">
      <c r="A429" s="3">
        <v>39388</v>
      </c>
      <c r="B429" s="2">
        <v>2213.86</v>
      </c>
      <c r="C429" s="2">
        <v>2218.66</v>
      </c>
      <c r="D429" s="2">
        <v>2181.5</v>
      </c>
      <c r="E429" s="2">
        <v>3477491292006</v>
      </c>
      <c r="F429" s="2">
        <v>202541147</v>
      </c>
      <c r="G429">
        <v>1270.6300000000001</v>
      </c>
      <c r="H429">
        <v>1273.1400000000001</v>
      </c>
      <c r="I429">
        <v>1253.56</v>
      </c>
      <c r="J429">
        <v>1512355882772</v>
      </c>
      <c r="K429">
        <v>300869881</v>
      </c>
      <c r="L429" s="2">
        <f>VLOOKUP(A429,[1]aaabonddata!$A:$B,2,0)</f>
        <v>5.07</v>
      </c>
    </row>
    <row r="430" spans="1:12" x14ac:dyDescent="0.2">
      <c r="A430" s="3">
        <v>39391</v>
      </c>
      <c r="B430" s="2">
        <v>2200.48</v>
      </c>
      <c r="C430" s="2">
        <v>2212.06</v>
      </c>
      <c r="D430" s="2">
        <v>2179.9</v>
      </c>
      <c r="E430" s="2">
        <v>3456483518845</v>
      </c>
      <c r="F430" s="2">
        <v>432148997</v>
      </c>
      <c r="G430">
        <v>1262.68</v>
      </c>
      <c r="H430">
        <v>1271.5999999999999</v>
      </c>
      <c r="I430">
        <v>1250.53</v>
      </c>
      <c r="J430">
        <v>1502900518955</v>
      </c>
      <c r="K430">
        <v>159737601</v>
      </c>
      <c r="L430" s="2">
        <f>VLOOKUP(A430,[1]aaabonddata!$A:$B,2,0)</f>
        <v>5.09</v>
      </c>
    </row>
    <row r="431" spans="1:12" x14ac:dyDescent="0.2">
      <c r="A431" s="3">
        <v>39392</v>
      </c>
      <c r="B431" s="2">
        <v>2223.9699999999998</v>
      </c>
      <c r="C431" s="2">
        <v>2224.4299999999998</v>
      </c>
      <c r="D431" s="2">
        <v>2188.1</v>
      </c>
      <c r="E431" s="2">
        <v>3493384913661</v>
      </c>
      <c r="F431" s="2">
        <v>0</v>
      </c>
      <c r="G431">
        <v>1262.3399999999999</v>
      </c>
      <c r="H431">
        <v>1265.3499999999999</v>
      </c>
      <c r="I431">
        <v>1248.03</v>
      </c>
      <c r="J431">
        <v>1502494046211</v>
      </c>
      <c r="K431">
        <v>0</v>
      </c>
      <c r="L431" s="2">
        <f>VLOOKUP(A431,[1]aaabonddata!$A:$B,2,0)</f>
        <v>5.1100000000000003</v>
      </c>
    </row>
    <row r="432" spans="1:12" x14ac:dyDescent="0.2">
      <c r="A432" s="3">
        <v>39393</v>
      </c>
      <c r="B432" s="2">
        <v>2169.4299999999998</v>
      </c>
      <c r="C432" s="2">
        <v>2219.8200000000002</v>
      </c>
      <c r="D432" s="2">
        <v>2168.5500000000002</v>
      </c>
      <c r="E432" s="2">
        <v>3407706112118</v>
      </c>
      <c r="F432" s="2">
        <v>36387983</v>
      </c>
      <c r="G432">
        <v>1236.07</v>
      </c>
      <c r="H432">
        <v>1259.73</v>
      </c>
      <c r="I432">
        <v>1235.67</v>
      </c>
      <c r="J432">
        <v>1471224742771</v>
      </c>
      <c r="K432">
        <v>60673392</v>
      </c>
      <c r="L432" s="2">
        <f>VLOOKUP(A432,[1]aaabonddata!$A:$B,2,0)</f>
        <v>5.07</v>
      </c>
    </row>
    <row r="433" spans="1:12" x14ac:dyDescent="0.2">
      <c r="A433" s="3">
        <v>39394</v>
      </c>
      <c r="B433" s="2">
        <v>2106.16</v>
      </c>
      <c r="C433" s="2">
        <v>2167.81</v>
      </c>
      <c r="D433" s="2">
        <v>2066.5500000000002</v>
      </c>
      <c r="E433" s="2">
        <v>3308326686673</v>
      </c>
      <c r="F433" s="2">
        <v>0</v>
      </c>
      <c r="G433">
        <v>1198.28</v>
      </c>
      <c r="H433">
        <v>1232.17</v>
      </c>
      <c r="I433">
        <v>1176.54</v>
      </c>
      <c r="J433">
        <v>1426247969241</v>
      </c>
      <c r="K433">
        <v>0</v>
      </c>
      <c r="L433" s="2">
        <f>VLOOKUP(A433,[1]aaabonddata!$A:$B,2,0)</f>
        <v>5</v>
      </c>
    </row>
    <row r="434" spans="1:12" x14ac:dyDescent="0.2">
      <c r="A434" s="3">
        <v>39395</v>
      </c>
      <c r="B434" s="2">
        <v>2034.3</v>
      </c>
      <c r="C434" s="2">
        <v>2078.06</v>
      </c>
      <c r="D434" s="2">
        <v>2033.88</v>
      </c>
      <c r="E434" s="2">
        <v>3195442159646</v>
      </c>
      <c r="F434" s="2">
        <v>89238201</v>
      </c>
      <c r="G434">
        <v>1169.1600000000001</v>
      </c>
      <c r="H434">
        <v>1189.28</v>
      </c>
      <c r="I434">
        <v>1167.76</v>
      </c>
      <c r="J434">
        <v>1391581066950</v>
      </c>
      <c r="K434">
        <v>167002469</v>
      </c>
      <c r="L434" s="2">
        <f>VLOOKUP(A434,[1]aaabonddata!$A:$B,2,0)</f>
        <v>4.97</v>
      </c>
    </row>
    <row r="435" spans="1:12" x14ac:dyDescent="0.2">
      <c r="A435" s="3">
        <v>39398</v>
      </c>
      <c r="B435" s="2">
        <v>1982.16</v>
      </c>
      <c r="C435" s="2">
        <v>2043.05</v>
      </c>
      <c r="D435" s="2">
        <v>1980.18</v>
      </c>
      <c r="E435" s="2">
        <v>3113546977087</v>
      </c>
      <c r="F435" s="2">
        <v>0</v>
      </c>
      <c r="G435">
        <v>1140.48</v>
      </c>
      <c r="H435">
        <v>1171.67</v>
      </c>
      <c r="I435">
        <v>1140.48</v>
      </c>
      <c r="J435">
        <v>1357447029321</v>
      </c>
      <c r="K435">
        <v>0</v>
      </c>
      <c r="L435" s="2">
        <f>VLOOKUP(A435,[1]aaabonddata!$A:$B,2,0)</f>
        <v>4.97</v>
      </c>
    </row>
    <row r="436" spans="1:12" x14ac:dyDescent="0.2">
      <c r="A436" s="3">
        <v>39399</v>
      </c>
      <c r="B436" s="2">
        <v>2066.08</v>
      </c>
      <c r="C436" s="2">
        <v>2066.08</v>
      </c>
      <c r="D436" s="2">
        <v>2009.74</v>
      </c>
      <c r="E436" s="2">
        <v>3245368346654</v>
      </c>
      <c r="F436" s="2">
        <v>747036668</v>
      </c>
      <c r="G436">
        <v>1181.6099999999999</v>
      </c>
      <c r="H436">
        <v>1181.6099999999999</v>
      </c>
      <c r="I436">
        <v>1154.21</v>
      </c>
      <c r="J436">
        <v>1406404853799</v>
      </c>
      <c r="K436">
        <v>242532893</v>
      </c>
      <c r="L436" s="2">
        <f>VLOOKUP(A436,[1]aaabonddata!$A:$B,2,0)</f>
        <v>5.04</v>
      </c>
    </row>
    <row r="437" spans="1:12" x14ac:dyDescent="0.2">
      <c r="A437" s="3">
        <v>39400</v>
      </c>
      <c r="B437" s="2">
        <v>2038.05</v>
      </c>
      <c r="C437" s="2">
        <v>2091.06</v>
      </c>
      <c r="D437" s="2">
        <v>2030.62</v>
      </c>
      <c r="E437" s="2">
        <v>3200562905412</v>
      </c>
      <c r="F437" s="2">
        <v>100322207</v>
      </c>
      <c r="G437">
        <v>1163.75</v>
      </c>
      <c r="H437">
        <v>1192.8</v>
      </c>
      <c r="I437">
        <v>1160.7</v>
      </c>
      <c r="J437">
        <v>1385149418405</v>
      </c>
      <c r="K437">
        <v>189105737</v>
      </c>
      <c r="L437" s="2">
        <f>VLOOKUP(A437,[1]aaabonddata!$A:$B,2,0)</f>
        <v>5.05</v>
      </c>
    </row>
    <row r="438" spans="1:12" x14ac:dyDescent="0.2">
      <c r="A438" s="3">
        <v>39401</v>
      </c>
      <c r="B438" s="2">
        <v>2024.03</v>
      </c>
      <c r="C438" s="2">
        <v>2054.06</v>
      </c>
      <c r="D438" s="2">
        <v>2007.78</v>
      </c>
      <c r="E438" s="2">
        <v>3178554599963</v>
      </c>
      <c r="F438" s="2">
        <v>203509769</v>
      </c>
      <c r="G438">
        <v>1151.57</v>
      </c>
      <c r="H438">
        <v>1164.82</v>
      </c>
      <c r="I438">
        <v>1143.21</v>
      </c>
      <c r="J438">
        <v>1370647497975</v>
      </c>
      <c r="K438">
        <v>94389565</v>
      </c>
      <c r="L438" s="2">
        <f>VLOOKUP(A438,[1]aaabonddata!$A:$B,2,0)</f>
        <v>4.92</v>
      </c>
    </row>
    <row r="439" spans="1:12" x14ac:dyDescent="0.2">
      <c r="A439" s="3">
        <v>39402</v>
      </c>
      <c r="B439" s="2">
        <v>2048.62</v>
      </c>
      <c r="C439" s="2">
        <v>2052.1999999999998</v>
      </c>
      <c r="D439" s="2">
        <v>2006.85</v>
      </c>
      <c r="E439" s="2">
        <v>3217172488230</v>
      </c>
      <c r="F439" s="2">
        <v>0</v>
      </c>
      <c r="G439">
        <v>1163.97</v>
      </c>
      <c r="H439">
        <v>1165.6400000000001</v>
      </c>
      <c r="I439">
        <v>1141.3499999999999</v>
      </c>
      <c r="J439">
        <v>1385412238842</v>
      </c>
      <c r="K439">
        <v>0</v>
      </c>
      <c r="L439" s="2">
        <f>VLOOKUP(A439,[1]aaabonddata!$A:$B,2,0)</f>
        <v>4.92</v>
      </c>
    </row>
    <row r="440" spans="1:12" x14ac:dyDescent="0.2">
      <c r="A440" s="3">
        <v>39405</v>
      </c>
      <c r="B440" s="2">
        <v>2021.14</v>
      </c>
      <c r="C440" s="2">
        <v>2050.0300000000002</v>
      </c>
      <c r="D440" s="2">
        <v>2009.71</v>
      </c>
      <c r="E440" s="2">
        <v>3174006678772</v>
      </c>
      <c r="F440" s="2">
        <v>0</v>
      </c>
      <c r="G440">
        <v>1144.22</v>
      </c>
      <c r="H440">
        <v>1162.67</v>
      </c>
      <c r="I440">
        <v>1140.6300000000001</v>
      </c>
      <c r="J440">
        <v>1361905839254</v>
      </c>
      <c r="K440">
        <v>0</v>
      </c>
      <c r="L440" s="2">
        <f>VLOOKUP(A440,[1]aaabonddata!$A:$B,2,0)</f>
        <v>4.84</v>
      </c>
    </row>
    <row r="441" spans="1:12" x14ac:dyDescent="0.2">
      <c r="A441" s="3">
        <v>39406</v>
      </c>
      <c r="B441" s="2">
        <v>2029.94</v>
      </c>
      <c r="C441" s="2">
        <v>2064.08</v>
      </c>
      <c r="D441" s="2">
        <v>1990.12</v>
      </c>
      <c r="E441" s="2">
        <v>3187833140870</v>
      </c>
      <c r="F441" s="2">
        <v>0</v>
      </c>
      <c r="G441">
        <v>1135.3399999999999</v>
      </c>
      <c r="H441">
        <v>1162.18</v>
      </c>
      <c r="I441">
        <v>1114.8699999999999</v>
      </c>
      <c r="J441">
        <v>1351325996223</v>
      </c>
      <c r="K441">
        <v>0</v>
      </c>
      <c r="L441" s="2">
        <f>VLOOKUP(A441,[1]aaabonddata!$A:$B,2,0)</f>
        <v>4.8</v>
      </c>
    </row>
    <row r="442" spans="1:12" x14ac:dyDescent="0.2">
      <c r="A442" s="3">
        <v>39407</v>
      </c>
      <c r="B442" s="2">
        <v>2006.38</v>
      </c>
      <c r="C442" s="2">
        <v>2039.39</v>
      </c>
      <c r="D442" s="2">
        <v>1986.45</v>
      </c>
      <c r="E442" s="2">
        <v>3149961905370</v>
      </c>
      <c r="F442" s="2">
        <v>0</v>
      </c>
      <c r="G442">
        <v>1122.3</v>
      </c>
      <c r="H442">
        <v>1141.44</v>
      </c>
      <c r="I442">
        <v>1109.73</v>
      </c>
      <c r="J442">
        <v>1335811475628</v>
      </c>
      <c r="K442">
        <v>0</v>
      </c>
      <c r="L442" s="2">
        <f>VLOOKUP(A442,[1]aaabonddata!$A:$B,2,0)</f>
        <v>4.76</v>
      </c>
    </row>
    <row r="443" spans="1:12" x14ac:dyDescent="0.2">
      <c r="A443" s="3">
        <v>39409</v>
      </c>
      <c r="B443" s="2">
        <v>2028.9</v>
      </c>
      <c r="C443" s="2">
        <v>2031.87</v>
      </c>
      <c r="D443" s="2">
        <v>2008.13</v>
      </c>
      <c r="E443" s="2">
        <v>3185315711539</v>
      </c>
      <c r="F443" s="2">
        <v>0</v>
      </c>
      <c r="G443">
        <v>1135.43</v>
      </c>
      <c r="H443">
        <v>1138.76</v>
      </c>
      <c r="I443">
        <v>1121.83</v>
      </c>
      <c r="J443">
        <v>1351433763258</v>
      </c>
      <c r="K443">
        <v>0</v>
      </c>
      <c r="L443" s="2">
        <f>VLOOKUP(A443,[1]aaabonddata!$A:$B,2,0)</f>
        <v>4.78</v>
      </c>
    </row>
    <row r="444" spans="1:12" x14ac:dyDescent="0.2">
      <c r="A444" s="3">
        <v>39412</v>
      </c>
      <c r="B444" s="2">
        <v>1989.36</v>
      </c>
      <c r="C444" s="2">
        <v>2047.92</v>
      </c>
      <c r="D444" s="2">
        <v>1988.3</v>
      </c>
      <c r="E444" s="2">
        <v>3123231211905</v>
      </c>
      <c r="F444" s="2">
        <v>0</v>
      </c>
      <c r="G444">
        <v>1110.7</v>
      </c>
      <c r="H444">
        <v>1144.6400000000001</v>
      </c>
      <c r="I444">
        <v>1110.28</v>
      </c>
      <c r="J444">
        <v>1322003629218</v>
      </c>
      <c r="K444">
        <v>0</v>
      </c>
      <c r="L444" s="2">
        <f>VLOOKUP(A444,[1]aaabonddata!$A:$B,2,0)</f>
        <v>4.6500000000000004</v>
      </c>
    </row>
    <row r="445" spans="1:12" x14ac:dyDescent="0.2">
      <c r="A445" s="3">
        <v>39413</v>
      </c>
      <c r="B445" s="2">
        <v>2033.76</v>
      </c>
      <c r="C445" s="2">
        <v>2034.65</v>
      </c>
      <c r="D445" s="2">
        <v>1997.53</v>
      </c>
      <c r="E445" s="2">
        <v>3192944479166</v>
      </c>
      <c r="F445" s="2">
        <v>0</v>
      </c>
      <c r="G445">
        <v>1134.6500000000001</v>
      </c>
      <c r="H445">
        <v>1137.3599999999999</v>
      </c>
      <c r="I445">
        <v>1116.07</v>
      </c>
      <c r="J445">
        <v>1350510839115</v>
      </c>
      <c r="K445">
        <v>0</v>
      </c>
      <c r="L445" s="2">
        <f>VLOOKUP(A445,[1]aaabonddata!$A:$B,2,0)</f>
        <v>4.74</v>
      </c>
    </row>
    <row r="446" spans="1:12" x14ac:dyDescent="0.2">
      <c r="A446" s="3">
        <v>39414</v>
      </c>
      <c r="B446" s="2">
        <v>2095.39</v>
      </c>
      <c r="C446" s="2">
        <v>2100.9699999999998</v>
      </c>
      <c r="D446" s="2">
        <v>2055.77</v>
      </c>
      <c r="E446" s="2">
        <v>3289692568186</v>
      </c>
      <c r="F446" s="2">
        <v>1440343374</v>
      </c>
      <c r="G446">
        <v>1167.8399999999999</v>
      </c>
      <c r="H446">
        <v>1172.18</v>
      </c>
      <c r="I446">
        <v>1144.4000000000001</v>
      </c>
      <c r="J446">
        <v>1390019566709</v>
      </c>
      <c r="K446">
        <v>0</v>
      </c>
      <c r="L446" s="2">
        <f>VLOOKUP(A446,[1]aaabonddata!$A:$B,2,0)</f>
        <v>4.84</v>
      </c>
    </row>
    <row r="447" spans="1:12" x14ac:dyDescent="0.2">
      <c r="A447" s="3">
        <v>39415</v>
      </c>
      <c r="B447" s="2">
        <v>2102.42</v>
      </c>
      <c r="C447" s="2">
        <v>2108.25</v>
      </c>
      <c r="D447" s="2">
        <v>2082.19</v>
      </c>
      <c r="E447" s="2">
        <v>3300741342652</v>
      </c>
      <c r="F447" s="2">
        <v>55024767</v>
      </c>
      <c r="G447">
        <v>1170.99</v>
      </c>
      <c r="H447">
        <v>1173.81</v>
      </c>
      <c r="I447">
        <v>1160.52</v>
      </c>
      <c r="J447">
        <v>1393759160956</v>
      </c>
      <c r="K447">
        <v>0</v>
      </c>
      <c r="L447" s="2">
        <f>VLOOKUP(A447,[1]aaabonddata!$A:$B,2,0)</f>
        <v>4.78</v>
      </c>
    </row>
    <row r="448" spans="1:12" x14ac:dyDescent="0.2">
      <c r="A448" s="3">
        <v>39416</v>
      </c>
      <c r="B448" s="2">
        <v>2089.1</v>
      </c>
      <c r="C448" s="2">
        <v>2122.64</v>
      </c>
      <c r="D448" s="2">
        <v>2071.7800000000002</v>
      </c>
      <c r="E448" s="2">
        <v>3279827316416</v>
      </c>
      <c r="F448" s="2">
        <v>0</v>
      </c>
      <c r="G448">
        <v>1154.6099999999999</v>
      </c>
      <c r="H448">
        <v>1179.2</v>
      </c>
      <c r="I448">
        <v>1146.5</v>
      </c>
      <c r="J448">
        <v>1374272826285</v>
      </c>
      <c r="K448">
        <v>0</v>
      </c>
      <c r="L448" s="2">
        <f>VLOOKUP(A448,[1]aaabonddata!$A:$B,2,0)</f>
        <v>4.78</v>
      </c>
    </row>
    <row r="449" spans="1:12" x14ac:dyDescent="0.2">
      <c r="A449" s="3">
        <v>39419</v>
      </c>
      <c r="B449" s="2">
        <v>2067.4499999999998</v>
      </c>
      <c r="C449" s="2">
        <v>2094.36</v>
      </c>
      <c r="D449" s="2">
        <v>2066.23</v>
      </c>
      <c r="E449" s="2">
        <v>3245829647957</v>
      </c>
      <c r="F449" s="2">
        <v>29898049</v>
      </c>
      <c r="G449">
        <v>1146.7</v>
      </c>
      <c r="H449">
        <v>1159.71</v>
      </c>
      <c r="I449">
        <v>1146.7</v>
      </c>
      <c r="J449">
        <v>1364856796965</v>
      </c>
      <c r="K449">
        <v>0</v>
      </c>
      <c r="L449" s="2">
        <f>VLOOKUP(A449,[1]aaabonddata!$A:$B,2,0)</f>
        <v>4.6900000000000004</v>
      </c>
    </row>
    <row r="450" spans="1:12" x14ac:dyDescent="0.2">
      <c r="A450" s="3">
        <v>39420</v>
      </c>
      <c r="B450" s="2">
        <v>2059.06</v>
      </c>
      <c r="C450" s="2">
        <v>2070.39</v>
      </c>
      <c r="D450" s="2">
        <v>2048.65</v>
      </c>
      <c r="E450" s="2">
        <v>3242194368503</v>
      </c>
      <c r="F450" s="2">
        <v>0</v>
      </c>
      <c r="G450">
        <v>1138.1199999999999</v>
      </c>
      <c r="H450">
        <v>1146.57</v>
      </c>
      <c r="I450">
        <v>1135.6600000000001</v>
      </c>
      <c r="J450">
        <v>1354638629535</v>
      </c>
      <c r="K450">
        <v>0</v>
      </c>
      <c r="L450" s="2">
        <f>VLOOKUP(A450,[1]aaabonddata!$A:$B,2,0)</f>
        <v>4.7</v>
      </c>
    </row>
    <row r="451" spans="1:12" x14ac:dyDescent="0.2">
      <c r="A451" s="3">
        <v>39421</v>
      </c>
      <c r="B451" s="2">
        <v>2099.31</v>
      </c>
      <c r="C451" s="2">
        <v>2103.83</v>
      </c>
      <c r="D451" s="2">
        <v>2079.67</v>
      </c>
      <c r="E451" s="2">
        <v>3305571091167</v>
      </c>
      <c r="F451" s="2">
        <v>601500270</v>
      </c>
      <c r="G451">
        <v>1163.4100000000001</v>
      </c>
      <c r="H451">
        <v>1169.1099999999999</v>
      </c>
      <c r="I451">
        <v>1152.67</v>
      </c>
      <c r="J451">
        <v>1384738238504</v>
      </c>
      <c r="K451">
        <v>134196582</v>
      </c>
      <c r="L451" s="2">
        <f>VLOOKUP(A451,[1]aaabonddata!$A:$B,2,0)</f>
        <v>4.71</v>
      </c>
    </row>
    <row r="452" spans="1:12" x14ac:dyDescent="0.2">
      <c r="A452" s="3">
        <v>39422</v>
      </c>
      <c r="B452" s="2">
        <v>2127.65</v>
      </c>
      <c r="C452" s="2">
        <v>2128.3200000000002</v>
      </c>
      <c r="D452" s="2">
        <v>2098.3000000000002</v>
      </c>
      <c r="E452" s="2">
        <v>3350194025284</v>
      </c>
      <c r="F452" s="2">
        <v>0</v>
      </c>
      <c r="G452">
        <v>1179.43</v>
      </c>
      <c r="H452">
        <v>1180.1500000000001</v>
      </c>
      <c r="I452">
        <v>1163.19</v>
      </c>
      <c r="J452">
        <v>1403812912754</v>
      </c>
      <c r="K452">
        <v>0</v>
      </c>
      <c r="L452" s="2">
        <f>VLOOKUP(A452,[1]aaabonddata!$A:$B,2,0)</f>
        <v>4.8</v>
      </c>
    </row>
    <row r="453" spans="1:12" x14ac:dyDescent="0.2">
      <c r="A453" s="3">
        <v>39423</v>
      </c>
      <c r="B453" s="2">
        <v>2130</v>
      </c>
      <c r="C453" s="2">
        <v>2135.2399999999998</v>
      </c>
      <c r="D453" s="2">
        <v>2116.63</v>
      </c>
      <c r="E453" s="2">
        <v>3353895967403</v>
      </c>
      <c r="F453" s="2">
        <v>0</v>
      </c>
      <c r="G453">
        <v>1180.6099999999999</v>
      </c>
      <c r="H453">
        <v>1183.8900000000001</v>
      </c>
      <c r="I453">
        <v>1173.05</v>
      </c>
      <c r="J453">
        <v>1405214340192</v>
      </c>
      <c r="K453">
        <v>0</v>
      </c>
      <c r="L453" s="2">
        <f>VLOOKUP(A453,[1]aaabonddata!$A:$B,2,0)</f>
        <v>4.92</v>
      </c>
    </row>
    <row r="454" spans="1:12" x14ac:dyDescent="0.2">
      <c r="A454" s="3">
        <v>39426</v>
      </c>
      <c r="B454" s="2">
        <v>2134.88</v>
      </c>
      <c r="C454" s="2">
        <v>2141.36</v>
      </c>
      <c r="D454" s="2">
        <v>2126.9699999999998</v>
      </c>
      <c r="E454" s="2">
        <v>3361577623695</v>
      </c>
      <c r="F454" s="2">
        <v>81794477</v>
      </c>
      <c r="G454">
        <v>1188.3900000000001</v>
      </c>
      <c r="H454">
        <v>1192.07</v>
      </c>
      <c r="I454">
        <v>1180.8800000000001</v>
      </c>
      <c r="J454">
        <v>1414477673711</v>
      </c>
      <c r="K454">
        <v>0</v>
      </c>
      <c r="L454" s="2">
        <f>VLOOKUP(A454,[1]aaabonddata!$A:$B,2,0)</f>
        <v>4.95</v>
      </c>
    </row>
    <row r="455" spans="1:12" x14ac:dyDescent="0.2">
      <c r="A455" s="3">
        <v>39427</v>
      </c>
      <c r="B455" s="2">
        <v>2083.7199999999998</v>
      </c>
      <c r="C455" s="2">
        <v>2147.6799999999998</v>
      </c>
      <c r="D455" s="2">
        <v>2081.5500000000002</v>
      </c>
      <c r="E455" s="2">
        <v>3281022338525</v>
      </c>
      <c r="F455" s="2">
        <v>0</v>
      </c>
      <c r="G455">
        <v>1160.18</v>
      </c>
      <c r="H455">
        <v>1192.76</v>
      </c>
      <c r="I455">
        <v>1158.7</v>
      </c>
      <c r="J455">
        <v>1380891682124</v>
      </c>
      <c r="K455">
        <v>0</v>
      </c>
      <c r="L455" s="2">
        <f>VLOOKUP(A455,[1]aaabonddata!$A:$B,2,0)</f>
        <v>4.79</v>
      </c>
    </row>
    <row r="456" spans="1:12" x14ac:dyDescent="0.2">
      <c r="A456" s="3">
        <v>39428</v>
      </c>
      <c r="B456" s="2">
        <v>2101.36</v>
      </c>
      <c r="C456" s="2">
        <v>2130.5700000000002</v>
      </c>
      <c r="D456" s="2">
        <v>2070.52</v>
      </c>
      <c r="E456" s="2">
        <v>3308806552084</v>
      </c>
      <c r="F456" s="2">
        <v>0</v>
      </c>
      <c r="G456">
        <v>1167.72</v>
      </c>
      <c r="H456">
        <v>1185.3699999999999</v>
      </c>
      <c r="I456">
        <v>1151.47</v>
      </c>
      <c r="J456">
        <v>1389874679810</v>
      </c>
      <c r="K456">
        <v>0</v>
      </c>
      <c r="L456" s="2">
        <f>VLOOKUP(A456,[1]aaabonddata!$A:$B,2,0)</f>
        <v>4.88</v>
      </c>
    </row>
    <row r="457" spans="1:12" x14ac:dyDescent="0.2">
      <c r="A457" s="3">
        <v>39429</v>
      </c>
      <c r="B457" s="2">
        <v>2094.6799999999998</v>
      </c>
      <c r="C457" s="2">
        <v>2097.9499999999998</v>
      </c>
      <c r="D457" s="2">
        <v>2072.75</v>
      </c>
      <c r="E457" s="2">
        <v>3298281405833</v>
      </c>
      <c r="F457" s="2">
        <v>0</v>
      </c>
      <c r="G457">
        <v>1164.24</v>
      </c>
      <c r="H457">
        <v>1170.93</v>
      </c>
      <c r="I457">
        <v>1154.1500000000001</v>
      </c>
      <c r="J457">
        <v>1385728225995</v>
      </c>
      <c r="K457">
        <v>0</v>
      </c>
      <c r="L457" s="2">
        <f>VLOOKUP(A457,[1]aaabonddata!$A:$B,2,0)</f>
        <v>4.97</v>
      </c>
    </row>
    <row r="458" spans="1:12" x14ac:dyDescent="0.2">
      <c r="A458" s="3">
        <v>39430</v>
      </c>
      <c r="B458" s="2">
        <v>2072.11</v>
      </c>
      <c r="C458" s="2">
        <v>2096.96</v>
      </c>
      <c r="D458" s="2">
        <v>2069.94</v>
      </c>
      <c r="E458" s="2">
        <v>3262746378599</v>
      </c>
      <c r="F458" s="2">
        <v>785092634</v>
      </c>
      <c r="G458">
        <v>1152.08</v>
      </c>
      <c r="H458">
        <v>1165.5</v>
      </c>
      <c r="I458">
        <v>1150.2</v>
      </c>
      <c r="J458">
        <v>1371259110163</v>
      </c>
      <c r="K458">
        <v>0</v>
      </c>
      <c r="L458" s="2">
        <f>VLOOKUP(A458,[1]aaabonddata!$A:$B,2,0)</f>
        <v>5.04</v>
      </c>
    </row>
    <row r="459" spans="1:12" x14ac:dyDescent="0.2">
      <c r="A459" s="3">
        <v>39433</v>
      </c>
      <c r="B459" s="2">
        <v>2020.8</v>
      </c>
      <c r="C459" s="2">
        <v>2068.92</v>
      </c>
      <c r="D459" s="2">
        <v>2020.26</v>
      </c>
      <c r="E459" s="2">
        <v>3181960353010</v>
      </c>
      <c r="F459" s="2">
        <v>0</v>
      </c>
      <c r="G459">
        <v>1125.8900000000001</v>
      </c>
      <c r="H459">
        <v>1146.79</v>
      </c>
      <c r="I459">
        <v>1125.8900000000001</v>
      </c>
      <c r="J459">
        <v>1340081663168</v>
      </c>
      <c r="K459">
        <v>0</v>
      </c>
      <c r="L459" s="2">
        <f>VLOOKUP(A459,[1]aaabonddata!$A:$B,2,0)</f>
        <v>5</v>
      </c>
    </row>
    <row r="460" spans="1:12" x14ac:dyDescent="0.2">
      <c r="A460" s="3">
        <v>39434</v>
      </c>
      <c r="B460" s="2">
        <v>2029.49</v>
      </c>
      <c r="C460" s="2">
        <v>2042.29</v>
      </c>
      <c r="D460" s="2">
        <v>1999.59</v>
      </c>
      <c r="E460" s="2">
        <v>3195643525677</v>
      </c>
      <c r="F460" s="2">
        <v>0</v>
      </c>
      <c r="G460">
        <v>1132.79</v>
      </c>
      <c r="H460">
        <v>1139.06</v>
      </c>
      <c r="I460">
        <v>1118.2</v>
      </c>
      <c r="J460">
        <v>1348291517027</v>
      </c>
      <c r="K460">
        <v>0</v>
      </c>
      <c r="L460" s="2">
        <f>VLOOKUP(A460,[1]aaabonddata!$A:$B,2,0)</f>
        <v>4.93</v>
      </c>
    </row>
    <row r="461" spans="1:12" x14ac:dyDescent="0.2">
      <c r="A461" s="3">
        <v>39435</v>
      </c>
      <c r="B461" s="2">
        <v>2031</v>
      </c>
      <c r="C461" s="2">
        <v>2038.99</v>
      </c>
      <c r="D461" s="2">
        <v>2016.69</v>
      </c>
      <c r="E461" s="2">
        <v>3198011641992</v>
      </c>
      <c r="F461" s="2">
        <v>0</v>
      </c>
      <c r="G461">
        <v>1135.32</v>
      </c>
      <c r="H461">
        <v>1141.44</v>
      </c>
      <c r="I461">
        <v>1128.24</v>
      </c>
      <c r="J461">
        <v>1351311508329</v>
      </c>
      <c r="K461">
        <v>0</v>
      </c>
      <c r="L461" s="2">
        <f>VLOOKUP(A461,[1]aaabonddata!$A:$B,2,0)</f>
        <v>4.8899999999999997</v>
      </c>
    </row>
    <row r="462" spans="1:12" x14ac:dyDescent="0.2">
      <c r="A462" s="3">
        <v>39436</v>
      </c>
      <c r="B462" s="2">
        <v>2069.6799999999998</v>
      </c>
      <c r="C462" s="2">
        <v>2070.5100000000002</v>
      </c>
      <c r="D462" s="2">
        <v>2040.38</v>
      </c>
      <c r="E462" s="2">
        <v>3258922974035</v>
      </c>
      <c r="F462" s="2">
        <v>0</v>
      </c>
      <c r="G462">
        <v>1158.02</v>
      </c>
      <c r="H462">
        <v>1158.3900000000001</v>
      </c>
      <c r="I462">
        <v>1142.1099999999999</v>
      </c>
      <c r="J462">
        <v>1378319893734</v>
      </c>
      <c r="K462">
        <v>0</v>
      </c>
      <c r="L462" s="2">
        <f>VLOOKUP(A462,[1]aaabonddata!$A:$B,2,0)</f>
        <v>4.8499999999999996</v>
      </c>
    </row>
    <row r="463" spans="1:12" x14ac:dyDescent="0.2">
      <c r="A463" s="3">
        <v>39437</v>
      </c>
      <c r="B463" s="2">
        <v>2111.77</v>
      </c>
      <c r="C463" s="2">
        <v>2111.77</v>
      </c>
      <c r="D463" s="2">
        <v>2094.65</v>
      </c>
      <c r="E463" s="2">
        <v>3325193613448</v>
      </c>
      <c r="F463" s="2">
        <v>0</v>
      </c>
      <c r="G463">
        <v>1177.56</v>
      </c>
      <c r="H463">
        <v>1178.2</v>
      </c>
      <c r="I463">
        <v>1170</v>
      </c>
      <c r="J463">
        <v>1401582558656</v>
      </c>
      <c r="K463">
        <v>0</v>
      </c>
      <c r="L463" s="2">
        <f>VLOOKUP(A463,[1]aaabonddata!$A:$B,2,0)</f>
        <v>4.9800000000000004</v>
      </c>
    </row>
    <row r="464" spans="1:12" x14ac:dyDescent="0.2">
      <c r="A464" s="3">
        <v>39440</v>
      </c>
      <c r="B464" s="2">
        <v>2128.62</v>
      </c>
      <c r="C464" s="2">
        <v>2131.73</v>
      </c>
      <c r="D464" s="2">
        <v>2113.12</v>
      </c>
      <c r="E464" s="2">
        <v>3375151295837</v>
      </c>
      <c r="F464" s="2">
        <v>12289550</v>
      </c>
      <c r="G464">
        <v>1183.21</v>
      </c>
      <c r="H464">
        <v>1185.5999999999999</v>
      </c>
      <c r="I464">
        <v>1178.3699999999999</v>
      </c>
      <c r="J464">
        <v>1610798196971</v>
      </c>
      <c r="K464">
        <v>0</v>
      </c>
      <c r="L464" s="2">
        <f>VLOOKUP(A464,[1]aaabonddata!$A:$B,2,0)</f>
        <v>5.03</v>
      </c>
    </row>
    <row r="465" spans="1:12" x14ac:dyDescent="0.2">
      <c r="A465" s="3">
        <v>39442</v>
      </c>
      <c r="B465" s="2">
        <v>2136.94</v>
      </c>
      <c r="C465" s="2">
        <v>2141.08</v>
      </c>
      <c r="D465" s="2">
        <v>2116.21</v>
      </c>
      <c r="E465" s="2">
        <v>3388343444351</v>
      </c>
      <c r="F465" s="2">
        <v>0</v>
      </c>
      <c r="G465">
        <v>1187.3699999999999</v>
      </c>
      <c r="H465">
        <v>1188.3399999999999</v>
      </c>
      <c r="I465">
        <v>1177.6199999999999</v>
      </c>
      <c r="J465">
        <v>1616458125750</v>
      </c>
      <c r="K465">
        <v>0</v>
      </c>
      <c r="L465" s="2">
        <f>VLOOKUP(A465,[1]aaabonddata!$A:$B,2,0)</f>
        <v>5.0999999999999996</v>
      </c>
    </row>
    <row r="466" spans="1:12" x14ac:dyDescent="0.2">
      <c r="A466" s="3">
        <v>39443</v>
      </c>
      <c r="B466" s="2">
        <v>2106.09</v>
      </c>
      <c r="C466" s="2">
        <v>2135.5500000000002</v>
      </c>
      <c r="D466" s="2">
        <v>2104.02</v>
      </c>
      <c r="E466" s="2">
        <v>3339420062447</v>
      </c>
      <c r="F466" s="2">
        <v>28050157</v>
      </c>
      <c r="G466">
        <v>1168.1199999999999</v>
      </c>
      <c r="H466">
        <v>1185.07</v>
      </c>
      <c r="I466">
        <v>1166.3599999999999</v>
      </c>
      <c r="J466">
        <v>1590245872989</v>
      </c>
      <c r="K466">
        <v>0</v>
      </c>
      <c r="L466" s="2">
        <f>VLOOKUP(A466,[1]aaabonddata!$A:$B,2,0)</f>
        <v>5.0199999999999996</v>
      </c>
    </row>
    <row r="467" spans="1:12" x14ac:dyDescent="0.2">
      <c r="A467" s="3">
        <v>39444</v>
      </c>
      <c r="B467" s="2">
        <v>2107.0500000000002</v>
      </c>
      <c r="C467" s="2">
        <v>2121.2800000000002</v>
      </c>
      <c r="D467" s="2">
        <v>2092.0300000000002</v>
      </c>
      <c r="E467" s="2">
        <v>3340946080644</v>
      </c>
      <c r="F467" s="2">
        <v>0</v>
      </c>
      <c r="G467">
        <v>1168.58</v>
      </c>
      <c r="H467">
        <v>1176.6400000000001</v>
      </c>
      <c r="I467">
        <v>1160.29</v>
      </c>
      <c r="J467">
        <v>1590871315651</v>
      </c>
      <c r="K467">
        <v>0</v>
      </c>
      <c r="L467" s="2">
        <f>VLOOKUP(A467,[1]aaabonddata!$A:$B,2,0)</f>
        <v>4.92</v>
      </c>
    </row>
    <row r="468" spans="1:12" x14ac:dyDescent="0.2">
      <c r="A468" s="3">
        <v>39447</v>
      </c>
      <c r="B468" s="2">
        <v>2084.9299999999998</v>
      </c>
      <c r="C468" s="2">
        <v>2102.39</v>
      </c>
      <c r="D468" s="2">
        <v>2083.58</v>
      </c>
      <c r="E468" s="2">
        <v>3305874666108</v>
      </c>
      <c r="F468" s="2">
        <v>0</v>
      </c>
      <c r="G468">
        <v>1155.9100000000001</v>
      </c>
      <c r="H468">
        <v>1165.3399999999999</v>
      </c>
      <c r="I468">
        <v>1155.3</v>
      </c>
      <c r="J468">
        <v>1573624482267</v>
      </c>
      <c r="K468">
        <v>0</v>
      </c>
      <c r="L468" s="2">
        <f>VLOOKUP(A468,[1]aaabonddata!$A:$B,2,0)</f>
        <v>4.88</v>
      </c>
    </row>
    <row r="469" spans="1:12" x14ac:dyDescent="0.2">
      <c r="A469" s="3">
        <v>39449</v>
      </c>
      <c r="B469" s="2">
        <v>2049.71</v>
      </c>
      <c r="C469" s="2">
        <v>2094.2199999999998</v>
      </c>
      <c r="D469" s="2">
        <v>2040.43</v>
      </c>
      <c r="E469" s="2">
        <v>3248522176070</v>
      </c>
      <c r="F469" s="2">
        <v>0</v>
      </c>
      <c r="G469">
        <v>1133.3399999999999</v>
      </c>
      <c r="H469">
        <v>1160.3900000000001</v>
      </c>
      <c r="I469">
        <v>1126.8699999999999</v>
      </c>
      <c r="J469">
        <v>1542896658999</v>
      </c>
      <c r="K469">
        <v>0</v>
      </c>
      <c r="L469" s="2">
        <f>VLOOKUP(A469,[1]aaabonddata!$A:$B,2,0)</f>
        <v>4.7300000000000004</v>
      </c>
    </row>
    <row r="470" spans="1:12" x14ac:dyDescent="0.2">
      <c r="A470" s="3">
        <v>39450</v>
      </c>
      <c r="B470" s="2">
        <v>2051.7600000000002</v>
      </c>
      <c r="C470" s="2">
        <v>2064.73</v>
      </c>
      <c r="D470" s="2">
        <v>2040.01</v>
      </c>
      <c r="E470" s="2">
        <v>3251764644917</v>
      </c>
      <c r="F470" s="2">
        <v>0</v>
      </c>
      <c r="G470">
        <v>1131.3599999999999</v>
      </c>
      <c r="H470">
        <v>1140.07</v>
      </c>
      <c r="I470">
        <v>1125.25</v>
      </c>
      <c r="J470">
        <v>1540197750534</v>
      </c>
      <c r="K470">
        <v>0</v>
      </c>
      <c r="L470" s="2">
        <f>VLOOKUP(A470,[1]aaabonddata!$A:$B,2,0)</f>
        <v>4.72</v>
      </c>
    </row>
    <row r="471" spans="1:12" x14ac:dyDescent="0.2">
      <c r="A471" s="3">
        <v>39451</v>
      </c>
      <c r="B471" s="2">
        <v>1963.52</v>
      </c>
      <c r="C471" s="2">
        <v>2025.36</v>
      </c>
      <c r="D471" s="2">
        <v>1963.02</v>
      </c>
      <c r="E471" s="2">
        <v>3111922379704</v>
      </c>
      <c r="F471" s="2">
        <v>0</v>
      </c>
      <c r="G471">
        <v>1081.44</v>
      </c>
      <c r="H471">
        <v>1116.6099999999999</v>
      </c>
      <c r="I471">
        <v>1078.33</v>
      </c>
      <c r="J471">
        <v>1472247980600</v>
      </c>
      <c r="K471">
        <v>0</v>
      </c>
      <c r="L471" s="2">
        <f>VLOOKUP(A471,[1]aaabonddata!$A:$B,2,0)</f>
        <v>4.67</v>
      </c>
    </row>
    <row r="472" spans="1:12" x14ac:dyDescent="0.2">
      <c r="A472" s="3">
        <v>39454</v>
      </c>
      <c r="B472" s="2">
        <v>1957.44</v>
      </c>
      <c r="C472" s="2">
        <v>1975.87</v>
      </c>
      <c r="D472" s="2">
        <v>1929.27</v>
      </c>
      <c r="E472" s="2">
        <v>3101843457585</v>
      </c>
      <c r="F472" s="2">
        <v>0</v>
      </c>
      <c r="G472">
        <v>1069.72</v>
      </c>
      <c r="H472">
        <v>1084.05</v>
      </c>
      <c r="I472">
        <v>1056.8800000000001</v>
      </c>
      <c r="J472">
        <v>1456296107085</v>
      </c>
      <c r="K472">
        <v>0</v>
      </c>
      <c r="L472" s="2">
        <f>VLOOKUP(A472,[1]aaabonddata!$A:$B,2,0)</f>
        <v>4.6500000000000004</v>
      </c>
    </row>
    <row r="473" spans="1:12" x14ac:dyDescent="0.2">
      <c r="A473" s="3">
        <v>39455</v>
      </c>
      <c r="B473" s="2">
        <v>1910.33</v>
      </c>
      <c r="C473" s="2">
        <v>1983.14</v>
      </c>
      <c r="D473" s="2">
        <v>1910.33</v>
      </c>
      <c r="E473" s="2">
        <v>3027201921391</v>
      </c>
      <c r="F473" s="2">
        <v>0</v>
      </c>
      <c r="G473">
        <v>1040.8</v>
      </c>
      <c r="H473">
        <v>1081.26</v>
      </c>
      <c r="I473">
        <v>1040.8</v>
      </c>
      <c r="J473">
        <v>1416923963105</v>
      </c>
      <c r="K473">
        <v>0</v>
      </c>
      <c r="L473" s="2">
        <f>VLOOKUP(A473,[1]aaabonddata!$A:$B,2,0)</f>
        <v>4.71</v>
      </c>
    </row>
    <row r="474" spans="1:12" x14ac:dyDescent="0.2">
      <c r="A474" s="3">
        <v>39456</v>
      </c>
      <c r="B474" s="2">
        <v>1949.2</v>
      </c>
      <c r="C474" s="2">
        <v>1949.2</v>
      </c>
      <c r="D474" s="2">
        <v>1889.92</v>
      </c>
      <c r="E474" s="2">
        <v>3088783962718</v>
      </c>
      <c r="F474" s="2">
        <v>51342354</v>
      </c>
      <c r="G474">
        <v>1052.3699999999999</v>
      </c>
      <c r="H474">
        <v>1055.47</v>
      </c>
      <c r="I474">
        <v>1023.62</v>
      </c>
      <c r="J474">
        <v>1432674792437</v>
      </c>
      <c r="K474">
        <v>0</v>
      </c>
      <c r="L474" s="2">
        <f>VLOOKUP(A474,[1]aaabonddata!$A:$B,2,0)</f>
        <v>4.67</v>
      </c>
    </row>
    <row r="475" spans="1:12" x14ac:dyDescent="0.2">
      <c r="A475" s="3">
        <v>39457</v>
      </c>
      <c r="B475" s="2">
        <v>1953.64</v>
      </c>
      <c r="C475" s="2">
        <v>1968.09</v>
      </c>
      <c r="D475" s="2">
        <v>1924.39</v>
      </c>
      <c r="E475" s="2">
        <v>3095825397488</v>
      </c>
      <c r="F475" s="2">
        <v>0</v>
      </c>
      <c r="G475">
        <v>1056.6600000000001</v>
      </c>
      <c r="H475">
        <v>1065.0999999999999</v>
      </c>
      <c r="I475">
        <v>1038.9000000000001</v>
      </c>
      <c r="J475">
        <v>1438515288430</v>
      </c>
      <c r="K475">
        <v>0</v>
      </c>
      <c r="L475" s="2">
        <f>VLOOKUP(A475,[1]aaabonddata!$A:$B,2,0)</f>
        <v>4.7300000000000004</v>
      </c>
    </row>
    <row r="476" spans="1:12" x14ac:dyDescent="0.2">
      <c r="A476" s="3">
        <v>39458</v>
      </c>
      <c r="B476" s="2">
        <v>1912.81</v>
      </c>
      <c r="C476" s="2">
        <v>1941.53</v>
      </c>
      <c r="D476" s="2">
        <v>1900.23</v>
      </c>
      <c r="E476" s="2">
        <v>3031118048653</v>
      </c>
      <c r="F476" s="2">
        <v>0</v>
      </c>
      <c r="G476">
        <v>1024.8699999999999</v>
      </c>
      <c r="H476">
        <v>1043.43</v>
      </c>
      <c r="I476">
        <v>1018.79</v>
      </c>
      <c r="J476">
        <v>1395235182770</v>
      </c>
      <c r="K476">
        <v>0</v>
      </c>
      <c r="L476" s="2">
        <f>VLOOKUP(A476,[1]aaabonddata!$A:$B,2,0)</f>
        <v>4.66</v>
      </c>
    </row>
    <row r="477" spans="1:12" x14ac:dyDescent="0.2">
      <c r="A477" s="3">
        <v>39461</v>
      </c>
      <c r="B477" s="2">
        <v>1949.15</v>
      </c>
      <c r="C477" s="2">
        <v>1952.55</v>
      </c>
      <c r="D477" s="2">
        <v>1924.86</v>
      </c>
      <c r="E477" s="2">
        <v>3088714039464</v>
      </c>
      <c r="F477" s="2">
        <v>0</v>
      </c>
      <c r="G477">
        <v>1053.48</v>
      </c>
      <c r="H477">
        <v>1056.33</v>
      </c>
      <c r="I477">
        <v>1036.3900000000001</v>
      </c>
      <c r="J477">
        <v>1434187488837</v>
      </c>
      <c r="K477">
        <v>0</v>
      </c>
      <c r="L477" s="2">
        <f>VLOOKUP(A477,[1]aaabonddata!$A:$B,2,0)</f>
        <v>4.63</v>
      </c>
    </row>
    <row r="478" spans="1:12" x14ac:dyDescent="0.2">
      <c r="A478" s="3">
        <v>39462</v>
      </c>
      <c r="B478" s="2">
        <v>1894.09</v>
      </c>
      <c r="C478" s="2">
        <v>1931.71</v>
      </c>
      <c r="D478" s="2">
        <v>1885.45</v>
      </c>
      <c r="E478" s="2">
        <v>3001462630875</v>
      </c>
      <c r="F478" s="2">
        <v>0</v>
      </c>
      <c r="G478">
        <v>1022.87</v>
      </c>
      <c r="H478">
        <v>1042.8800000000001</v>
      </c>
      <c r="I478">
        <v>1019.72</v>
      </c>
      <c r="J478">
        <v>1392504173229</v>
      </c>
      <c r="K478">
        <v>0</v>
      </c>
      <c r="L478" s="2">
        <f>VLOOKUP(A478,[1]aaabonddata!$A:$B,2,0)</f>
        <v>4.5599999999999996</v>
      </c>
    </row>
    <row r="479" spans="1:12" x14ac:dyDescent="0.2">
      <c r="A479" s="3">
        <v>39463</v>
      </c>
      <c r="B479" s="2">
        <v>1872.29</v>
      </c>
      <c r="C479" s="2">
        <v>1907.3</v>
      </c>
      <c r="D479" s="2">
        <v>1848.58</v>
      </c>
      <c r="E479" s="2">
        <v>2966914737984</v>
      </c>
      <c r="F479" s="2">
        <v>0</v>
      </c>
      <c r="G479">
        <v>1023.71</v>
      </c>
      <c r="H479">
        <v>1043.67</v>
      </c>
      <c r="I479">
        <v>1006.99</v>
      </c>
      <c r="J479">
        <v>1393658430298</v>
      </c>
      <c r="K479">
        <v>0</v>
      </c>
      <c r="L479" s="2">
        <f>VLOOKUP(A479,[1]aaabonddata!$A:$B,2,0)</f>
        <v>4.57</v>
      </c>
    </row>
    <row r="480" spans="1:12" x14ac:dyDescent="0.2">
      <c r="A480" s="3">
        <v>39464</v>
      </c>
      <c r="B480" s="2">
        <v>1842.1</v>
      </c>
      <c r="C480" s="2">
        <v>1894.19</v>
      </c>
      <c r="D480" s="2">
        <v>1838.99</v>
      </c>
      <c r="E480" s="2">
        <v>2919079430477</v>
      </c>
      <c r="F480" s="2">
        <v>0</v>
      </c>
      <c r="G480">
        <v>1000.57</v>
      </c>
      <c r="H480">
        <v>1034.98</v>
      </c>
      <c r="I480">
        <v>999.49</v>
      </c>
      <c r="J480">
        <v>1362153529066</v>
      </c>
      <c r="K480">
        <v>0</v>
      </c>
      <c r="L480" s="2">
        <f>VLOOKUP(A480,[1]aaabonddata!$A:$B,2,0)</f>
        <v>4.5199999999999996</v>
      </c>
    </row>
    <row r="481" spans="1:12" x14ac:dyDescent="0.2">
      <c r="A481" s="3">
        <v>39465</v>
      </c>
      <c r="B481" s="2">
        <v>1844.09</v>
      </c>
      <c r="C481" s="2">
        <v>1876.04</v>
      </c>
      <c r="D481" s="2">
        <v>1829.62</v>
      </c>
      <c r="E481" s="2">
        <v>2922228634919</v>
      </c>
      <c r="F481" s="2">
        <v>0</v>
      </c>
      <c r="G481">
        <v>1012.64</v>
      </c>
      <c r="H481">
        <v>1023.28</v>
      </c>
      <c r="I481">
        <v>1001.14</v>
      </c>
      <c r="J481">
        <v>1378584914468</v>
      </c>
      <c r="K481">
        <v>0</v>
      </c>
      <c r="L481" s="2">
        <f>VLOOKUP(A481,[1]aaabonddata!$A:$B,2,0)</f>
        <v>4.5</v>
      </c>
    </row>
    <row r="482" spans="1:12" x14ac:dyDescent="0.2">
      <c r="A482" s="3">
        <v>39469</v>
      </c>
      <c r="B482" s="2">
        <v>1795.61</v>
      </c>
      <c r="C482" s="2">
        <v>1820.51</v>
      </c>
      <c r="D482" s="2">
        <v>1740.53</v>
      </c>
      <c r="E482" s="2">
        <v>2845402611706</v>
      </c>
      <c r="F482" s="2">
        <v>0</v>
      </c>
      <c r="G482">
        <v>983.75</v>
      </c>
      <c r="H482">
        <v>996.99</v>
      </c>
      <c r="I482">
        <v>959.9</v>
      </c>
      <c r="J482">
        <v>1339247493836</v>
      </c>
      <c r="K482">
        <v>0</v>
      </c>
      <c r="L482" s="2">
        <f>VLOOKUP(A482,[1]aaabonddata!$A:$B,2,0)</f>
        <v>4.3600000000000003</v>
      </c>
    </row>
    <row r="483" spans="1:12" x14ac:dyDescent="0.2">
      <c r="A483" s="3">
        <v>39470</v>
      </c>
      <c r="B483" s="2">
        <v>1789.53</v>
      </c>
      <c r="C483" s="2">
        <v>1794.46</v>
      </c>
      <c r="D483" s="2">
        <v>1693.06</v>
      </c>
      <c r="E483" s="2">
        <v>2835768891467</v>
      </c>
      <c r="F483" s="2">
        <v>0</v>
      </c>
      <c r="G483">
        <v>986.28</v>
      </c>
      <c r="H483">
        <v>988.65</v>
      </c>
      <c r="I483">
        <v>935.39</v>
      </c>
      <c r="J483">
        <v>1342702353402</v>
      </c>
      <c r="K483">
        <v>0</v>
      </c>
      <c r="L483" s="2">
        <f>VLOOKUP(A483,[1]aaabonddata!$A:$B,2,0)</f>
        <v>4.29</v>
      </c>
    </row>
    <row r="484" spans="1:12" x14ac:dyDescent="0.2">
      <c r="A484" s="3">
        <v>39471</v>
      </c>
      <c r="B484" s="2">
        <v>1826.92</v>
      </c>
      <c r="C484" s="2">
        <v>1826.92</v>
      </c>
      <c r="D484" s="2">
        <v>1793.11</v>
      </c>
      <c r="E484" s="2">
        <v>2895017511401</v>
      </c>
      <c r="F484" s="2">
        <v>0</v>
      </c>
      <c r="G484">
        <v>1026.6500000000001</v>
      </c>
      <c r="H484">
        <v>1026.6500000000001</v>
      </c>
      <c r="I484">
        <v>994.23</v>
      </c>
      <c r="J484">
        <v>1397659734270</v>
      </c>
      <c r="K484">
        <v>0</v>
      </c>
      <c r="L484" s="2">
        <f>VLOOKUP(A484,[1]aaabonddata!$A:$B,2,0)</f>
        <v>4.4800000000000004</v>
      </c>
    </row>
    <row r="485" spans="1:12" x14ac:dyDescent="0.2">
      <c r="A485" s="3">
        <v>39472</v>
      </c>
      <c r="B485" s="2">
        <v>1789.17</v>
      </c>
      <c r="C485" s="2">
        <v>1864</v>
      </c>
      <c r="D485" s="2">
        <v>1788.07</v>
      </c>
      <c r="E485" s="2">
        <v>2835200372508</v>
      </c>
      <c r="F485" s="2">
        <v>0</v>
      </c>
      <c r="G485">
        <v>1010.56</v>
      </c>
      <c r="H485">
        <v>1056.49</v>
      </c>
      <c r="I485">
        <v>1009.4</v>
      </c>
      <c r="J485">
        <v>1375748029625</v>
      </c>
      <c r="K485">
        <v>0</v>
      </c>
      <c r="L485" s="2">
        <f>VLOOKUP(A485,[1]aaabonddata!$A:$B,2,0)</f>
        <v>4.4400000000000004</v>
      </c>
    </row>
    <row r="486" spans="1:12" x14ac:dyDescent="0.2">
      <c r="A486" s="3">
        <v>39475</v>
      </c>
      <c r="B486" s="2">
        <v>1805.08</v>
      </c>
      <c r="C486" s="2">
        <v>1807.12</v>
      </c>
      <c r="D486" s="2">
        <v>1773.7</v>
      </c>
      <c r="E486" s="2">
        <v>2860406278380</v>
      </c>
      <c r="F486" s="2">
        <v>0</v>
      </c>
      <c r="G486">
        <v>1020.34</v>
      </c>
      <c r="H486">
        <v>1020.35</v>
      </c>
      <c r="I486">
        <v>1001.65</v>
      </c>
      <c r="J486">
        <v>1389062329650</v>
      </c>
      <c r="K486">
        <v>0</v>
      </c>
      <c r="L486" s="2">
        <f>VLOOKUP(A486,[1]aaabonddata!$A:$B,2,0)</f>
        <v>4.43</v>
      </c>
    </row>
    <row r="487" spans="1:12" x14ac:dyDescent="0.2">
      <c r="A487" s="3">
        <v>39476</v>
      </c>
      <c r="B487" s="2">
        <v>1807.67</v>
      </c>
      <c r="C487" s="2">
        <v>1816.43</v>
      </c>
      <c r="D487" s="2">
        <v>1792.64</v>
      </c>
      <c r="E487" s="2">
        <v>2864508838802</v>
      </c>
      <c r="F487" s="2">
        <v>0</v>
      </c>
      <c r="G487">
        <v>1021.29</v>
      </c>
      <c r="H487">
        <v>1027.3699999999999</v>
      </c>
      <c r="I487">
        <v>1008.47</v>
      </c>
      <c r="J487">
        <v>1390354441302</v>
      </c>
      <c r="K487">
        <v>0</v>
      </c>
      <c r="L487" s="2">
        <f>VLOOKUP(A487,[1]aaabonddata!$A:$B,2,0)</f>
        <v>4.5</v>
      </c>
    </row>
    <row r="488" spans="1:12" x14ac:dyDescent="0.2">
      <c r="A488" s="3">
        <v>39477</v>
      </c>
      <c r="B488" s="2">
        <v>1808.51</v>
      </c>
      <c r="C488" s="2">
        <v>1843.2</v>
      </c>
      <c r="D488" s="2">
        <v>1798.31</v>
      </c>
      <c r="E488" s="2">
        <v>2865842586421</v>
      </c>
      <c r="F488" s="2">
        <v>207506168</v>
      </c>
      <c r="G488">
        <v>1023.39</v>
      </c>
      <c r="H488">
        <v>1038.71</v>
      </c>
      <c r="I488">
        <v>1012.86</v>
      </c>
      <c r="J488">
        <v>1393213861106</v>
      </c>
      <c r="K488">
        <v>0</v>
      </c>
      <c r="L488" s="2">
        <f>VLOOKUP(A488,[1]aaabonddata!$A:$B,2,0)</f>
        <v>4.55</v>
      </c>
    </row>
    <row r="489" spans="1:12" x14ac:dyDescent="0.2">
      <c r="A489" s="3">
        <v>39478</v>
      </c>
      <c r="B489" s="2">
        <v>1841.42</v>
      </c>
      <c r="C489" s="2">
        <v>1853.81</v>
      </c>
      <c r="D489" s="2">
        <v>1782.02</v>
      </c>
      <c r="E489" s="2">
        <v>2918000526681</v>
      </c>
      <c r="F489" s="2">
        <v>0</v>
      </c>
      <c r="G489">
        <v>1020.99</v>
      </c>
      <c r="H489">
        <v>1027.82</v>
      </c>
      <c r="I489">
        <v>999.87</v>
      </c>
      <c r="J489">
        <v>1389955446105</v>
      </c>
      <c r="K489">
        <v>0</v>
      </c>
      <c r="L489" s="2">
        <f>VLOOKUP(A489,[1]aaabonddata!$A:$B,2,0)</f>
        <v>4.51</v>
      </c>
    </row>
    <row r="490" spans="1:12" x14ac:dyDescent="0.2">
      <c r="A490" s="3">
        <v>39479</v>
      </c>
      <c r="B490" s="2">
        <v>1855.27</v>
      </c>
      <c r="C490" s="2">
        <v>1864.97</v>
      </c>
      <c r="D490" s="2">
        <v>1826.43</v>
      </c>
      <c r="E490" s="2">
        <v>2939938749476</v>
      </c>
      <c r="F490" s="2">
        <v>0</v>
      </c>
      <c r="G490">
        <v>1057.06</v>
      </c>
      <c r="H490">
        <v>1060.1500000000001</v>
      </c>
      <c r="I490">
        <v>1032.17</v>
      </c>
      <c r="J490">
        <v>1439054863304</v>
      </c>
      <c r="K490">
        <v>0</v>
      </c>
      <c r="L490" s="2">
        <f>VLOOKUP(A490,[1]aaabonddata!$A:$B,2,0)</f>
        <v>4.45</v>
      </c>
    </row>
    <row r="491" spans="1:12" x14ac:dyDescent="0.2">
      <c r="A491" s="3">
        <v>39482</v>
      </c>
      <c r="B491" s="2">
        <v>1828.8</v>
      </c>
      <c r="C491" s="2">
        <v>1854.62</v>
      </c>
      <c r="D491" s="2">
        <v>1828.11</v>
      </c>
      <c r="E491" s="2">
        <v>2898000770830</v>
      </c>
      <c r="F491" s="2">
        <v>252604322</v>
      </c>
      <c r="G491">
        <v>1042.54</v>
      </c>
      <c r="H491">
        <v>1056.6300000000001</v>
      </c>
      <c r="I491">
        <v>1041.25</v>
      </c>
      <c r="J491">
        <v>1419282902175</v>
      </c>
      <c r="K491">
        <v>219424159</v>
      </c>
      <c r="L491" s="2">
        <f>VLOOKUP(A491,[1]aaabonddata!$A:$B,2,0)</f>
        <v>4.4800000000000004</v>
      </c>
    </row>
    <row r="492" spans="1:12" x14ac:dyDescent="0.2">
      <c r="A492" s="3">
        <v>39483</v>
      </c>
      <c r="B492" s="2">
        <v>1773.49</v>
      </c>
      <c r="C492" s="2">
        <v>1813.55</v>
      </c>
      <c r="D492" s="2">
        <v>1773.49</v>
      </c>
      <c r="E492" s="2">
        <v>2810357685396</v>
      </c>
      <c r="F492" s="2">
        <v>597415219</v>
      </c>
      <c r="G492">
        <v>1007.94</v>
      </c>
      <c r="H492">
        <v>1030.28</v>
      </c>
      <c r="I492">
        <v>1007.94</v>
      </c>
      <c r="J492">
        <v>1372189336017</v>
      </c>
      <c r="K492">
        <v>621478159</v>
      </c>
      <c r="L492" s="2">
        <f>VLOOKUP(A492,[1]aaabonddata!$A:$B,2,0)</f>
        <v>4.3899999999999997</v>
      </c>
    </row>
    <row r="493" spans="1:12" x14ac:dyDescent="0.2">
      <c r="A493" s="3">
        <v>39484</v>
      </c>
      <c r="B493" s="2">
        <v>1740.95</v>
      </c>
      <c r="C493" s="2">
        <v>1795.82</v>
      </c>
      <c r="D493" s="2">
        <v>1739.55</v>
      </c>
      <c r="E493" s="2">
        <v>2758792249364</v>
      </c>
      <c r="F493" s="2">
        <v>0</v>
      </c>
      <c r="G493">
        <v>986.14</v>
      </c>
      <c r="H493">
        <v>1018.25</v>
      </c>
      <c r="I493">
        <v>985.34</v>
      </c>
      <c r="J493">
        <v>1342507045756</v>
      </c>
      <c r="K493">
        <v>0</v>
      </c>
      <c r="L493" s="2">
        <f>VLOOKUP(A493,[1]aaabonddata!$A:$B,2,0)</f>
        <v>4.41</v>
      </c>
    </row>
    <row r="494" spans="1:12" x14ac:dyDescent="0.2">
      <c r="A494" s="3">
        <v>39485</v>
      </c>
      <c r="B494" s="2">
        <v>1753.3</v>
      </c>
      <c r="C494" s="2">
        <v>1779.27</v>
      </c>
      <c r="D494" s="2">
        <v>1714.86</v>
      </c>
      <c r="E494" s="2">
        <v>2778365260578</v>
      </c>
      <c r="F494" s="2">
        <v>35493387</v>
      </c>
      <c r="G494">
        <v>991.95</v>
      </c>
      <c r="H494">
        <v>1006.04</v>
      </c>
      <c r="I494">
        <v>966.97</v>
      </c>
      <c r="J494">
        <v>1350420234711</v>
      </c>
      <c r="K494">
        <v>85841426</v>
      </c>
      <c r="L494" s="2">
        <f>VLOOKUP(A494,[1]aaabonddata!$A:$B,2,0)</f>
        <v>4.49</v>
      </c>
    </row>
    <row r="495" spans="1:12" x14ac:dyDescent="0.2">
      <c r="A495" s="3">
        <v>39486</v>
      </c>
      <c r="B495" s="2">
        <v>1773.74</v>
      </c>
      <c r="C495" s="2">
        <v>1779.48</v>
      </c>
      <c r="D495" s="2">
        <v>1746.34</v>
      </c>
      <c r="E495" s="2">
        <v>2810751826141</v>
      </c>
      <c r="F495" s="2">
        <v>0</v>
      </c>
      <c r="G495">
        <v>1008.06</v>
      </c>
      <c r="H495">
        <v>1011.94</v>
      </c>
      <c r="I495">
        <v>993.19</v>
      </c>
      <c r="J495">
        <v>1372344752262</v>
      </c>
      <c r="K495">
        <v>0</v>
      </c>
      <c r="L495" s="2">
        <f>VLOOKUP(A495,[1]aaabonddata!$A:$B,2,0)</f>
        <v>4.43</v>
      </c>
    </row>
    <row r="496" spans="1:12" x14ac:dyDescent="0.2">
      <c r="A496" s="3">
        <v>39489</v>
      </c>
      <c r="B496" s="2">
        <v>1793.09</v>
      </c>
      <c r="C496" s="2">
        <v>1797.39</v>
      </c>
      <c r="D496" s="2">
        <v>1770.91</v>
      </c>
      <c r="E496" s="2">
        <v>2841406137328</v>
      </c>
      <c r="F496" s="2">
        <v>0</v>
      </c>
      <c r="G496">
        <v>1023.06</v>
      </c>
      <c r="H496">
        <v>1027.3499999999999</v>
      </c>
      <c r="I496">
        <v>1009.24</v>
      </c>
      <c r="J496">
        <v>1392760939232</v>
      </c>
      <c r="K496">
        <v>0</v>
      </c>
      <c r="L496" s="2">
        <f>VLOOKUP(A496,[1]aaabonddata!$A:$B,2,0)</f>
        <v>4.41</v>
      </c>
    </row>
    <row r="497" spans="1:12" x14ac:dyDescent="0.2">
      <c r="A497" s="3">
        <v>39490</v>
      </c>
      <c r="B497" s="2">
        <v>1780.54</v>
      </c>
      <c r="C497" s="2">
        <v>1812.43</v>
      </c>
      <c r="D497" s="2">
        <v>1769.62</v>
      </c>
      <c r="E497" s="2">
        <v>2821524837756</v>
      </c>
      <c r="F497" s="2">
        <v>80323351</v>
      </c>
      <c r="G497">
        <v>1017.23</v>
      </c>
      <c r="H497">
        <v>1035.55</v>
      </c>
      <c r="I497">
        <v>1012.28</v>
      </c>
      <c r="J497">
        <v>1384835912460</v>
      </c>
      <c r="K497">
        <v>134456429</v>
      </c>
      <c r="L497" s="2">
        <f>VLOOKUP(A497,[1]aaabonddata!$A:$B,2,0)</f>
        <v>4.47</v>
      </c>
    </row>
    <row r="498" spans="1:12" x14ac:dyDescent="0.2">
      <c r="A498" s="3">
        <v>39491</v>
      </c>
      <c r="B498" s="2">
        <v>1823</v>
      </c>
      <c r="C498" s="2">
        <v>1824.22</v>
      </c>
      <c r="D498" s="2">
        <v>1795.67</v>
      </c>
      <c r="E498" s="2">
        <v>2890151861923</v>
      </c>
      <c r="F498" s="2">
        <v>180097761</v>
      </c>
      <c r="G498">
        <v>1048.06</v>
      </c>
      <c r="H498">
        <v>1049.3699999999999</v>
      </c>
      <c r="I498">
        <v>1029.96</v>
      </c>
      <c r="J498">
        <v>1426798260673</v>
      </c>
      <c r="K498">
        <v>273733403</v>
      </c>
      <c r="L498" s="2">
        <f>VLOOKUP(A498,[1]aaabonddata!$A:$B,2,0)</f>
        <v>4.45</v>
      </c>
    </row>
    <row r="499" spans="1:12" x14ac:dyDescent="0.2">
      <c r="A499" s="3">
        <v>39492</v>
      </c>
      <c r="B499" s="2">
        <v>1787.59</v>
      </c>
      <c r="C499" s="2">
        <v>1823.1</v>
      </c>
      <c r="D499" s="2">
        <v>1784.78</v>
      </c>
      <c r="E499" s="2">
        <v>2834017909588</v>
      </c>
      <c r="F499" s="2">
        <v>139591568</v>
      </c>
      <c r="G499">
        <v>1022.89</v>
      </c>
      <c r="H499">
        <v>1046.57</v>
      </c>
      <c r="I499">
        <v>1021.25</v>
      </c>
      <c r="J499">
        <v>1392533499549</v>
      </c>
      <c r="K499">
        <v>0</v>
      </c>
      <c r="L499" s="2">
        <f>VLOOKUP(A499,[1]aaabonddata!$A:$B,2,0)</f>
        <v>4.53</v>
      </c>
    </row>
    <row r="500" spans="1:12" x14ac:dyDescent="0.2">
      <c r="A500" s="3">
        <v>39493</v>
      </c>
      <c r="B500" s="2">
        <v>1780.38</v>
      </c>
      <c r="C500" s="2">
        <v>1787.33</v>
      </c>
      <c r="D500" s="2">
        <v>1767.34</v>
      </c>
      <c r="E500" s="2">
        <v>2822589532482</v>
      </c>
      <c r="F500" s="2">
        <v>121193932</v>
      </c>
      <c r="G500">
        <v>1014.55</v>
      </c>
      <c r="H500">
        <v>1021.86</v>
      </c>
      <c r="I500">
        <v>1008.21</v>
      </c>
      <c r="J500">
        <v>1381176669284</v>
      </c>
      <c r="K500">
        <v>0</v>
      </c>
      <c r="L500" s="2">
        <f>VLOOKUP(A500,[1]aaabonddata!$A:$B,2,0)</f>
        <v>4.51</v>
      </c>
    </row>
    <row r="501" spans="1:12" x14ac:dyDescent="0.2">
      <c r="A501" s="3">
        <v>39497</v>
      </c>
      <c r="B501" s="2">
        <v>1764.81</v>
      </c>
      <c r="C501" s="2">
        <v>1807.45</v>
      </c>
      <c r="D501" s="2">
        <v>1759.24</v>
      </c>
      <c r="E501" s="2">
        <v>2797911265535</v>
      </c>
      <c r="F501" s="2">
        <v>665287260</v>
      </c>
      <c r="G501">
        <v>1002.67</v>
      </c>
      <c r="H501">
        <v>1029.19</v>
      </c>
      <c r="I501">
        <v>999.87</v>
      </c>
      <c r="J501">
        <v>1365003905421</v>
      </c>
      <c r="K501">
        <v>130769721</v>
      </c>
      <c r="L501" s="2">
        <f>VLOOKUP(A501,[1]aaabonddata!$A:$B,2,0)</f>
        <v>4.62</v>
      </c>
    </row>
    <row r="502" spans="1:12" x14ac:dyDescent="0.2">
      <c r="A502" s="3">
        <v>39498</v>
      </c>
      <c r="B502" s="2">
        <v>1787.45</v>
      </c>
      <c r="C502" s="2">
        <v>1791.35</v>
      </c>
      <c r="D502" s="2">
        <v>1756.64</v>
      </c>
      <c r="E502" s="2">
        <v>2832584369541</v>
      </c>
      <c r="F502" s="2">
        <v>0</v>
      </c>
      <c r="G502">
        <v>1019.82</v>
      </c>
      <c r="H502">
        <v>1024.3599999999999</v>
      </c>
      <c r="I502">
        <v>997.15</v>
      </c>
      <c r="J502">
        <v>1388355849129</v>
      </c>
      <c r="K502">
        <v>0</v>
      </c>
      <c r="L502" s="2">
        <f>VLOOKUP(A502,[1]aaabonddata!$A:$B,2,0)</f>
        <v>4.68</v>
      </c>
    </row>
    <row r="503" spans="1:12" x14ac:dyDescent="0.2">
      <c r="A503" s="3">
        <v>39499</v>
      </c>
      <c r="B503" s="2">
        <v>1766.3</v>
      </c>
      <c r="C503" s="2">
        <v>1806.44</v>
      </c>
      <c r="D503" s="2">
        <v>1762.24</v>
      </c>
      <c r="E503" s="2">
        <v>2799069099003</v>
      </c>
      <c r="F503" s="2">
        <v>129542937</v>
      </c>
      <c r="G503">
        <v>1015.89</v>
      </c>
      <c r="H503">
        <v>1037.93</v>
      </c>
      <c r="I503">
        <v>1013.06</v>
      </c>
      <c r="J503">
        <v>1383007980384</v>
      </c>
      <c r="K503">
        <v>122844283</v>
      </c>
      <c r="L503" s="2">
        <f>VLOOKUP(A503,[1]aaabonddata!$A:$B,2,0)</f>
        <v>4.54</v>
      </c>
    </row>
    <row r="504" spans="1:12" x14ac:dyDescent="0.2">
      <c r="A504" s="3">
        <v>39500</v>
      </c>
      <c r="B504" s="2">
        <v>1773.44</v>
      </c>
      <c r="C504" s="2">
        <v>1774.97</v>
      </c>
      <c r="D504" s="2">
        <v>1739.15</v>
      </c>
      <c r="E504" s="2">
        <v>2810384889514</v>
      </c>
      <c r="F504" s="2">
        <v>0</v>
      </c>
      <c r="G504">
        <v>1016.8</v>
      </c>
      <c r="H504">
        <v>1018.08</v>
      </c>
      <c r="I504">
        <v>997.78</v>
      </c>
      <c r="J504">
        <v>1384239204255</v>
      </c>
      <c r="K504">
        <v>0</v>
      </c>
      <c r="L504" s="2">
        <f>VLOOKUP(A504,[1]aaabonddata!$A:$B,2,0)</f>
        <v>4.55</v>
      </c>
    </row>
    <row r="505" spans="1:12" x14ac:dyDescent="0.2">
      <c r="A505" s="3">
        <v>39503</v>
      </c>
      <c r="B505" s="2">
        <v>1785.46</v>
      </c>
      <c r="C505" s="2">
        <v>1790.77</v>
      </c>
      <c r="D505" s="2">
        <v>1761.93</v>
      </c>
      <c r="E505" s="2">
        <v>2829430652633</v>
      </c>
      <c r="F505" s="2">
        <v>0</v>
      </c>
      <c r="G505">
        <v>1027.1199999999999</v>
      </c>
      <c r="H505">
        <v>1030.97</v>
      </c>
      <c r="I505">
        <v>1011.4</v>
      </c>
      <c r="J505">
        <v>1398301185603</v>
      </c>
      <c r="K505">
        <v>0</v>
      </c>
      <c r="L505" s="2">
        <f>VLOOKUP(A505,[1]aaabonddata!$A:$B,2,0)</f>
        <v>4.66</v>
      </c>
    </row>
    <row r="506" spans="1:12" x14ac:dyDescent="0.2">
      <c r="A506" s="3">
        <v>39504</v>
      </c>
      <c r="B506" s="2">
        <v>1791.31</v>
      </c>
      <c r="C506" s="2">
        <v>1807.41</v>
      </c>
      <c r="D506" s="2">
        <v>1763.41</v>
      </c>
      <c r="E506" s="2">
        <v>2838704009887</v>
      </c>
      <c r="F506" s="2">
        <v>0</v>
      </c>
      <c r="G506">
        <v>1034.21</v>
      </c>
      <c r="H506">
        <v>1042.6400000000001</v>
      </c>
      <c r="I506">
        <v>1014.91</v>
      </c>
      <c r="J506">
        <v>1407945876282</v>
      </c>
      <c r="K506">
        <v>0</v>
      </c>
      <c r="L506" s="2">
        <f>VLOOKUP(A506,[1]aaabonddata!$A:$B,2,0)</f>
        <v>4.6100000000000003</v>
      </c>
    </row>
    <row r="507" spans="1:12" x14ac:dyDescent="0.2">
      <c r="A507" s="3">
        <v>39505</v>
      </c>
      <c r="B507" s="2">
        <v>1799.94</v>
      </c>
      <c r="C507" s="2">
        <v>1806.42</v>
      </c>
      <c r="D507" s="2">
        <v>1775.45</v>
      </c>
      <c r="E507" s="2">
        <v>2852657821294</v>
      </c>
      <c r="F507" s="2">
        <v>549535098</v>
      </c>
      <c r="G507">
        <v>1042.0899999999999</v>
      </c>
      <c r="H507">
        <v>1047.2</v>
      </c>
      <c r="I507">
        <v>1024.46</v>
      </c>
      <c r="J507">
        <v>1418679196400</v>
      </c>
      <c r="K507">
        <v>141249524</v>
      </c>
      <c r="L507" s="2">
        <f>VLOOKUP(A507,[1]aaabonddata!$A:$B,2,0)</f>
        <v>4.5999999999999996</v>
      </c>
    </row>
    <row r="508" spans="1:12" x14ac:dyDescent="0.2">
      <c r="A508" s="3">
        <v>39506</v>
      </c>
      <c r="B508" s="2">
        <v>1794.46</v>
      </c>
      <c r="C508" s="2">
        <v>1808.65</v>
      </c>
      <c r="D508" s="2">
        <v>1786.2</v>
      </c>
      <c r="E508" s="2">
        <v>2843976186175</v>
      </c>
      <c r="F508" s="2">
        <v>0</v>
      </c>
      <c r="G508">
        <v>1026.6199999999999</v>
      </c>
      <c r="H508">
        <v>1038.3</v>
      </c>
      <c r="I508">
        <v>1023.67</v>
      </c>
      <c r="J508">
        <v>1397618888124</v>
      </c>
      <c r="K508">
        <v>0</v>
      </c>
      <c r="L508" s="2">
        <f>VLOOKUP(A508,[1]aaabonddata!$A:$B,2,0)</f>
        <v>4.49</v>
      </c>
    </row>
    <row r="509" spans="1:12" x14ac:dyDescent="0.2">
      <c r="A509" s="3">
        <v>39507</v>
      </c>
      <c r="B509" s="2">
        <v>1745.27</v>
      </c>
      <c r="C509" s="2">
        <v>1778.07</v>
      </c>
      <c r="D509" s="2">
        <v>1740.9</v>
      </c>
      <c r="E509" s="2">
        <v>2766006915374</v>
      </c>
      <c r="F509" s="2">
        <v>0</v>
      </c>
      <c r="G509">
        <v>996.39</v>
      </c>
      <c r="H509">
        <v>1016.89</v>
      </c>
      <c r="I509">
        <v>994.11</v>
      </c>
      <c r="J509">
        <v>1356463050478</v>
      </c>
      <c r="K509">
        <v>0</v>
      </c>
      <c r="L509" s="2">
        <f>VLOOKUP(A509,[1]aaabonddata!$A:$B,2,0)</f>
        <v>4.34</v>
      </c>
    </row>
    <row r="510" spans="1:12" x14ac:dyDescent="0.2">
      <c r="A510" s="3">
        <v>39510</v>
      </c>
      <c r="B510" s="2">
        <v>1733.27</v>
      </c>
      <c r="C510" s="2">
        <v>1746.56</v>
      </c>
      <c r="D510" s="2">
        <v>1716.52</v>
      </c>
      <c r="E510" s="2">
        <v>2746992398716</v>
      </c>
      <c r="F510" s="2">
        <v>29898049</v>
      </c>
      <c r="G510">
        <v>988.7</v>
      </c>
      <c r="H510">
        <v>997.19</v>
      </c>
      <c r="I510">
        <v>981.09</v>
      </c>
      <c r="J510">
        <v>1345991856137</v>
      </c>
      <c r="K510">
        <v>0</v>
      </c>
      <c r="L510" s="2">
        <f>VLOOKUP(A510,[1]aaabonddata!$A:$B,2,0)</f>
        <v>4.3499999999999996</v>
      </c>
    </row>
    <row r="511" spans="1:12" x14ac:dyDescent="0.2">
      <c r="A511" s="3">
        <v>39511</v>
      </c>
      <c r="B511" s="2">
        <v>1743.7</v>
      </c>
      <c r="C511" s="2">
        <v>1748.07</v>
      </c>
      <c r="D511" s="2">
        <v>1707.42</v>
      </c>
      <c r="E511" s="2">
        <v>2763515485415</v>
      </c>
      <c r="F511" s="2">
        <v>0</v>
      </c>
      <c r="G511">
        <v>994.54</v>
      </c>
      <c r="H511">
        <v>997.22</v>
      </c>
      <c r="I511">
        <v>972.83</v>
      </c>
      <c r="J511">
        <v>1353947988712</v>
      </c>
      <c r="K511">
        <v>0</v>
      </c>
      <c r="L511" s="2">
        <f>VLOOKUP(A511,[1]aaabonddata!$A:$B,2,0)</f>
        <v>4.41</v>
      </c>
    </row>
    <row r="512" spans="1:12" x14ac:dyDescent="0.2">
      <c r="A512" s="3">
        <v>39512</v>
      </c>
      <c r="B512" s="2">
        <v>1753.57</v>
      </c>
      <c r="C512" s="2">
        <v>1768.13</v>
      </c>
      <c r="D512" s="2">
        <v>1737.26</v>
      </c>
      <c r="E512" s="2">
        <v>2777000925739</v>
      </c>
      <c r="F512" s="2">
        <v>69333449</v>
      </c>
      <c r="G512">
        <v>1004.69</v>
      </c>
      <c r="H512">
        <v>1013.17</v>
      </c>
      <c r="I512">
        <v>994.55</v>
      </c>
      <c r="J512">
        <v>1367757692658</v>
      </c>
      <c r="K512">
        <v>0</v>
      </c>
      <c r="L512" s="2">
        <f>VLOOKUP(A512,[1]aaabonddata!$A:$B,2,0)</f>
        <v>4.5</v>
      </c>
    </row>
    <row r="513" spans="1:12" x14ac:dyDescent="0.2">
      <c r="A513" s="3">
        <v>39513</v>
      </c>
      <c r="B513" s="2">
        <v>1712.5</v>
      </c>
      <c r="C513" s="2">
        <v>1757.56</v>
      </c>
      <c r="D513" s="2">
        <v>1710.96</v>
      </c>
      <c r="E513" s="2">
        <v>2711959272949</v>
      </c>
      <c r="F513" s="2">
        <v>0</v>
      </c>
      <c r="G513">
        <v>982.5</v>
      </c>
      <c r="H513">
        <v>1005.99</v>
      </c>
      <c r="I513">
        <v>982.36</v>
      </c>
      <c r="J513">
        <v>1337554750419</v>
      </c>
      <c r="K513">
        <v>0</v>
      </c>
      <c r="L513" s="2">
        <f>VLOOKUP(A513,[1]aaabonddata!$A:$B,2,0)</f>
        <v>4.5</v>
      </c>
    </row>
    <row r="514" spans="1:12" x14ac:dyDescent="0.2">
      <c r="A514" s="3">
        <v>39514</v>
      </c>
      <c r="B514" s="2">
        <v>1707.5</v>
      </c>
      <c r="C514" s="2">
        <v>1731.39</v>
      </c>
      <c r="D514" s="2">
        <v>1682.03</v>
      </c>
      <c r="E514" s="2">
        <v>2704044557799</v>
      </c>
      <c r="F514" s="2">
        <v>0</v>
      </c>
      <c r="G514">
        <v>978.56</v>
      </c>
      <c r="H514">
        <v>996.77</v>
      </c>
      <c r="I514">
        <v>965.5</v>
      </c>
      <c r="J514">
        <v>1332190380370</v>
      </c>
      <c r="K514">
        <v>0</v>
      </c>
      <c r="L514" s="2">
        <f>VLOOKUP(A514,[1]aaabonddata!$A:$B,2,0)</f>
        <v>4.43</v>
      </c>
    </row>
    <row r="515" spans="1:12" x14ac:dyDescent="0.2">
      <c r="A515" s="3">
        <v>39517</v>
      </c>
      <c r="B515" s="2">
        <v>1673.03</v>
      </c>
      <c r="C515" s="2">
        <v>1711.03</v>
      </c>
      <c r="D515" s="2">
        <v>1672.76</v>
      </c>
      <c r="E515" s="2">
        <v>2649452718477</v>
      </c>
      <c r="F515" s="2">
        <v>26830443</v>
      </c>
      <c r="G515">
        <v>960.75</v>
      </c>
      <c r="H515">
        <v>983.26</v>
      </c>
      <c r="I515">
        <v>960.75</v>
      </c>
      <c r="J515">
        <v>1307940386730</v>
      </c>
      <c r="K515">
        <v>0</v>
      </c>
      <c r="L515" s="2">
        <f>VLOOKUP(A515,[1]aaabonddata!$A:$B,2,0)</f>
        <v>4.42</v>
      </c>
    </row>
    <row r="516" spans="1:12" x14ac:dyDescent="0.2">
      <c r="A516" s="3">
        <v>39518</v>
      </c>
      <c r="B516" s="2">
        <v>1740.95</v>
      </c>
      <c r="C516" s="2">
        <v>1740.95</v>
      </c>
      <c r="D516" s="2">
        <v>1686.47</v>
      </c>
      <c r="E516" s="2">
        <v>2757015835697</v>
      </c>
      <c r="F516" s="2">
        <v>0</v>
      </c>
      <c r="G516">
        <v>997.61</v>
      </c>
      <c r="H516">
        <v>997.61</v>
      </c>
      <c r="I516">
        <v>967.56</v>
      </c>
      <c r="J516">
        <v>1358118662504</v>
      </c>
      <c r="K516">
        <v>0</v>
      </c>
      <c r="L516" s="2">
        <f>VLOOKUP(A516,[1]aaabonddata!$A:$B,2,0)</f>
        <v>4.62</v>
      </c>
    </row>
    <row r="517" spans="1:12" x14ac:dyDescent="0.2">
      <c r="A517" s="3">
        <v>39519</v>
      </c>
      <c r="B517" s="2">
        <v>1735.18</v>
      </c>
      <c r="C517" s="2">
        <v>1764.72</v>
      </c>
      <c r="D517" s="2">
        <v>1731.08</v>
      </c>
      <c r="E517" s="2">
        <v>2747878384156</v>
      </c>
      <c r="F517" s="2">
        <v>0</v>
      </c>
      <c r="G517">
        <v>991</v>
      </c>
      <c r="H517">
        <v>1008.68</v>
      </c>
      <c r="I517">
        <v>989.67</v>
      </c>
      <c r="J517">
        <v>1349122712704</v>
      </c>
      <c r="K517">
        <v>0</v>
      </c>
      <c r="L517" s="2">
        <f>VLOOKUP(A517,[1]aaabonddata!$A:$B,2,0)</f>
        <v>4.5</v>
      </c>
    </row>
    <row r="518" spans="1:12" x14ac:dyDescent="0.2">
      <c r="A518" s="3">
        <v>39520</v>
      </c>
      <c r="B518" s="2">
        <v>1750.4</v>
      </c>
      <c r="C518" s="2">
        <v>1760.23</v>
      </c>
      <c r="D518" s="2">
        <v>1699.17</v>
      </c>
      <c r="E518" s="2">
        <v>2771973219724</v>
      </c>
      <c r="F518" s="2">
        <v>0</v>
      </c>
      <c r="G518">
        <v>997.69</v>
      </c>
      <c r="H518">
        <v>1004.51</v>
      </c>
      <c r="I518">
        <v>969.44</v>
      </c>
      <c r="J518">
        <v>1358227798695</v>
      </c>
      <c r="K518">
        <v>0</v>
      </c>
      <c r="L518" s="2">
        <f>VLOOKUP(A518,[1]aaabonddata!$A:$B,2,0)</f>
        <v>4.54</v>
      </c>
    </row>
    <row r="519" spans="1:12" x14ac:dyDescent="0.2">
      <c r="A519" s="3">
        <v>39521</v>
      </c>
      <c r="B519" s="2">
        <v>1713.83</v>
      </c>
      <c r="C519" s="2">
        <v>1762.37</v>
      </c>
      <c r="D519" s="2">
        <v>1696.22</v>
      </c>
      <c r="E519" s="2">
        <v>2714074667594</v>
      </c>
      <c r="F519" s="2">
        <v>0</v>
      </c>
      <c r="G519">
        <v>971.23</v>
      </c>
      <c r="H519">
        <v>1004.02</v>
      </c>
      <c r="I519">
        <v>964.1</v>
      </c>
      <c r="J519">
        <v>1322207625817</v>
      </c>
      <c r="K519">
        <v>0</v>
      </c>
      <c r="L519" s="2">
        <f>VLOOKUP(A519,[1]aaabonddata!$A:$B,2,0)</f>
        <v>4.42</v>
      </c>
    </row>
    <row r="520" spans="1:12" x14ac:dyDescent="0.2">
      <c r="A520" s="3">
        <v>39524</v>
      </c>
      <c r="B520" s="2">
        <v>1687.19</v>
      </c>
      <c r="C520" s="2">
        <v>1706.02</v>
      </c>
      <c r="D520" s="2">
        <v>1668.57</v>
      </c>
      <c r="E520" s="2">
        <v>2671878903090</v>
      </c>
      <c r="F520" s="2">
        <v>0</v>
      </c>
      <c r="G520">
        <v>957.55</v>
      </c>
      <c r="H520">
        <v>968.39</v>
      </c>
      <c r="I520">
        <v>945.53</v>
      </c>
      <c r="J520">
        <v>1303585722926</v>
      </c>
      <c r="K520">
        <v>0</v>
      </c>
      <c r="L520" s="2">
        <f>VLOOKUP(A520,[1]aaabonddata!$A:$B,2,0)</f>
        <v>4.3499999999999996</v>
      </c>
    </row>
    <row r="521" spans="1:12" x14ac:dyDescent="0.2">
      <c r="A521" s="3">
        <v>39525</v>
      </c>
      <c r="B521" s="2">
        <v>1761.05</v>
      </c>
      <c r="C521" s="2">
        <v>1761.05</v>
      </c>
      <c r="D521" s="2">
        <v>1712.21</v>
      </c>
      <c r="E521" s="2">
        <v>2788847596509</v>
      </c>
      <c r="F521" s="2">
        <v>0</v>
      </c>
      <c r="G521">
        <v>996.71</v>
      </c>
      <c r="H521">
        <v>996.71</v>
      </c>
      <c r="I521">
        <v>968.59</v>
      </c>
      <c r="J521">
        <v>1356898813492</v>
      </c>
      <c r="K521">
        <v>0</v>
      </c>
      <c r="L521" s="2">
        <f>VLOOKUP(A521,[1]aaabonddata!$A:$B,2,0)</f>
        <v>4.47</v>
      </c>
    </row>
    <row r="522" spans="1:12" x14ac:dyDescent="0.2">
      <c r="A522" s="3">
        <v>39526</v>
      </c>
      <c r="B522" s="2">
        <v>1715.59</v>
      </c>
      <c r="C522" s="2">
        <v>1772.09</v>
      </c>
      <c r="D522" s="2">
        <v>1715.59</v>
      </c>
      <c r="E522" s="2">
        <v>2716858021126</v>
      </c>
      <c r="F522" s="2">
        <v>0</v>
      </c>
      <c r="G522">
        <v>964.08</v>
      </c>
      <c r="H522">
        <v>1000.71</v>
      </c>
      <c r="I522">
        <v>964.08</v>
      </c>
      <c r="J522">
        <v>1312478730777</v>
      </c>
      <c r="K522">
        <v>0</v>
      </c>
      <c r="L522" s="2">
        <f>VLOOKUP(A522,[1]aaabonddata!$A:$B,2,0)</f>
        <v>4.37</v>
      </c>
    </row>
    <row r="523" spans="1:12" x14ac:dyDescent="0.2">
      <c r="A523" s="3">
        <v>39527</v>
      </c>
      <c r="B523" s="2">
        <v>1751.99</v>
      </c>
      <c r="C523" s="2">
        <v>1752.28</v>
      </c>
      <c r="D523" s="2">
        <v>1712.33</v>
      </c>
      <c r="E523" s="2">
        <v>2774492640310</v>
      </c>
      <c r="F523" s="2">
        <v>0</v>
      </c>
      <c r="G523">
        <v>981.61</v>
      </c>
      <c r="H523">
        <v>981.97</v>
      </c>
      <c r="I523">
        <v>959.56</v>
      </c>
      <c r="J523">
        <v>1336342727318</v>
      </c>
      <c r="K523">
        <v>0</v>
      </c>
      <c r="L523" s="2">
        <f>VLOOKUP(A523,[1]aaabonddata!$A:$B,2,0)</f>
        <v>4.37</v>
      </c>
    </row>
    <row r="524" spans="1:12" x14ac:dyDescent="0.2">
      <c r="A524" s="3">
        <v>39531</v>
      </c>
      <c r="B524" s="2">
        <v>1814.4</v>
      </c>
      <c r="C524" s="2">
        <v>1819.26</v>
      </c>
      <c r="D524" s="2">
        <v>1760.14</v>
      </c>
      <c r="E524" s="2">
        <v>2862788469437</v>
      </c>
      <c r="F524" s="2">
        <v>0</v>
      </c>
      <c r="G524">
        <v>1020.51</v>
      </c>
      <c r="H524">
        <v>1024.47</v>
      </c>
      <c r="I524">
        <v>986.62</v>
      </c>
      <c r="J524">
        <v>1316032051775</v>
      </c>
      <c r="K524">
        <v>0</v>
      </c>
      <c r="L524" s="2">
        <f>VLOOKUP(A524,[1]aaabonddata!$A:$B,2,0)</f>
        <v>4.57</v>
      </c>
    </row>
    <row r="525" spans="1:12" x14ac:dyDescent="0.2">
      <c r="A525" s="3">
        <v>39532</v>
      </c>
      <c r="B525" s="2">
        <v>1824.54</v>
      </c>
      <c r="C525" s="2">
        <v>1831.98</v>
      </c>
      <c r="D525" s="2">
        <v>1800.71</v>
      </c>
      <c r="E525" s="2">
        <v>2878802678788</v>
      </c>
      <c r="F525" s="2">
        <v>12248336</v>
      </c>
      <c r="G525">
        <v>1025.3499999999999</v>
      </c>
      <c r="H525">
        <v>1029.56</v>
      </c>
      <c r="I525">
        <v>1015.59</v>
      </c>
      <c r="J525">
        <v>1322277069409</v>
      </c>
      <c r="K525">
        <v>0</v>
      </c>
      <c r="L525" s="2">
        <f>VLOOKUP(A525,[1]aaabonddata!$A:$B,2,0)</f>
        <v>4.57</v>
      </c>
    </row>
    <row r="526" spans="1:12" x14ac:dyDescent="0.2">
      <c r="A526" s="3">
        <v>39533</v>
      </c>
      <c r="B526" s="2">
        <v>1817.28</v>
      </c>
      <c r="C526" s="2">
        <v>1822.57</v>
      </c>
      <c r="D526" s="2">
        <v>1800.83</v>
      </c>
      <c r="E526" s="2">
        <v>2867334102300</v>
      </c>
      <c r="F526" s="2">
        <v>291875885</v>
      </c>
      <c r="G526">
        <v>1017.02</v>
      </c>
      <c r="H526">
        <v>1021.99</v>
      </c>
      <c r="I526">
        <v>1006.74</v>
      </c>
      <c r="J526">
        <v>1311531364538</v>
      </c>
      <c r="K526">
        <v>0</v>
      </c>
      <c r="L526" s="2">
        <f>VLOOKUP(A526,[1]aaabonddata!$A:$B,2,0)</f>
        <v>4.53</v>
      </c>
    </row>
    <row r="527" spans="1:12" x14ac:dyDescent="0.2">
      <c r="A527" s="3">
        <v>39534</v>
      </c>
      <c r="B527" s="2">
        <v>1777.89</v>
      </c>
      <c r="C527" s="2">
        <v>1809.24</v>
      </c>
      <c r="D527" s="2">
        <v>1777.75</v>
      </c>
      <c r="E527" s="2">
        <v>2805182932033</v>
      </c>
      <c r="F527" s="2">
        <v>36524820</v>
      </c>
      <c r="G527">
        <v>989.4</v>
      </c>
      <c r="H527">
        <v>1010.7</v>
      </c>
      <c r="I527">
        <v>989.4</v>
      </c>
      <c r="J527">
        <v>1275910456404</v>
      </c>
      <c r="K527">
        <v>0</v>
      </c>
      <c r="L527" s="2">
        <f>VLOOKUP(A527,[1]aaabonddata!$A:$B,2,0)</f>
        <v>4.55</v>
      </c>
    </row>
    <row r="528" spans="1:12" x14ac:dyDescent="0.2">
      <c r="A528" s="3">
        <v>39535</v>
      </c>
      <c r="B528" s="2">
        <v>1767.57</v>
      </c>
      <c r="C528" s="2">
        <v>1802.18</v>
      </c>
      <c r="D528" s="2">
        <v>1762.2</v>
      </c>
      <c r="E528" s="2">
        <v>2788899605023</v>
      </c>
      <c r="F528" s="2">
        <v>0</v>
      </c>
      <c r="G528">
        <v>986.48</v>
      </c>
      <c r="H528">
        <v>1007.62</v>
      </c>
      <c r="I528">
        <v>984.06</v>
      </c>
      <c r="J528">
        <v>1272143969346</v>
      </c>
      <c r="K528">
        <v>0</v>
      </c>
      <c r="L528" s="2">
        <f>VLOOKUP(A528,[1]aaabonddata!$A:$B,2,0)</f>
        <v>4.51</v>
      </c>
    </row>
    <row r="529" spans="1:12" x14ac:dyDescent="0.2">
      <c r="A529" s="3">
        <v>39538</v>
      </c>
      <c r="B529" s="2">
        <v>1781.93</v>
      </c>
      <c r="C529" s="2">
        <v>1789.52</v>
      </c>
      <c r="D529" s="2">
        <v>1767.86</v>
      </c>
      <c r="E529" s="2">
        <v>2811566504475</v>
      </c>
      <c r="F529" s="2">
        <v>168824296</v>
      </c>
      <c r="G529">
        <v>989.06</v>
      </c>
      <c r="H529">
        <v>995.78</v>
      </c>
      <c r="I529">
        <v>981.19</v>
      </c>
      <c r="J529">
        <v>1275476543443</v>
      </c>
      <c r="K529">
        <v>0</v>
      </c>
      <c r="L529" s="2">
        <f>VLOOKUP(A529,[1]aaabonddata!$A:$B,2,0)</f>
        <v>4.46</v>
      </c>
    </row>
    <row r="530" spans="1:12" x14ac:dyDescent="0.2">
      <c r="A530" s="3">
        <v>39539</v>
      </c>
      <c r="B530" s="2">
        <v>1855.48</v>
      </c>
      <c r="C530" s="2">
        <v>1855.48</v>
      </c>
      <c r="D530" s="2">
        <v>1805.79</v>
      </c>
      <c r="E530" s="2">
        <v>2927615876147</v>
      </c>
      <c r="F530" s="2">
        <v>0</v>
      </c>
      <c r="G530">
        <v>1030.3699999999999</v>
      </c>
      <c r="H530">
        <v>1030.3699999999999</v>
      </c>
      <c r="I530">
        <v>1003.6</v>
      </c>
      <c r="J530">
        <v>1328749894090</v>
      </c>
      <c r="K530">
        <v>0</v>
      </c>
      <c r="L530" s="2">
        <f>VLOOKUP(A530,[1]aaabonddata!$A:$B,2,0)</f>
        <v>4.59</v>
      </c>
    </row>
    <row r="531" spans="1:12" x14ac:dyDescent="0.2">
      <c r="A531" s="3">
        <v>39540</v>
      </c>
      <c r="B531" s="2">
        <v>1848.8</v>
      </c>
      <c r="C531" s="2">
        <v>1870.55</v>
      </c>
      <c r="D531" s="2">
        <v>1836.63</v>
      </c>
      <c r="E531" s="2">
        <v>2919592592063</v>
      </c>
      <c r="F531" s="2">
        <v>0</v>
      </c>
      <c r="G531">
        <v>1030.3499999999999</v>
      </c>
      <c r="H531">
        <v>1044.8699999999999</v>
      </c>
      <c r="I531">
        <v>1022.58</v>
      </c>
      <c r="J531">
        <v>1328724138284</v>
      </c>
      <c r="K531">
        <v>0</v>
      </c>
      <c r="L531" s="2">
        <f>VLOOKUP(A531,[1]aaabonddata!$A:$B,2,0)</f>
        <v>4.6500000000000004</v>
      </c>
    </row>
    <row r="532" spans="1:12" x14ac:dyDescent="0.2">
      <c r="A532" s="3">
        <v>39541</v>
      </c>
      <c r="B532" s="2">
        <v>1855.19</v>
      </c>
      <c r="C532" s="2">
        <v>1866.57</v>
      </c>
      <c r="D532" s="2">
        <v>1835.96</v>
      </c>
      <c r="E532" s="2">
        <v>2929675351510</v>
      </c>
      <c r="F532" s="2">
        <v>0</v>
      </c>
      <c r="G532">
        <v>1041.5999999999999</v>
      </c>
      <c r="H532">
        <v>1046.1199999999999</v>
      </c>
      <c r="I532">
        <v>1022.32</v>
      </c>
      <c r="J532">
        <v>1343233766197</v>
      </c>
      <c r="K532">
        <v>0</v>
      </c>
      <c r="L532" s="2">
        <f>VLOOKUP(A532,[1]aaabonddata!$A:$B,2,0)</f>
        <v>4.6500000000000004</v>
      </c>
    </row>
    <row r="533" spans="1:12" x14ac:dyDescent="0.2">
      <c r="A533" s="3">
        <v>39542</v>
      </c>
      <c r="B533" s="2">
        <v>1865.87</v>
      </c>
      <c r="C533" s="2">
        <v>1884.13</v>
      </c>
      <c r="D533" s="2">
        <v>1846.56</v>
      </c>
      <c r="E533" s="2">
        <v>2946540402461</v>
      </c>
      <c r="F533" s="2">
        <v>0</v>
      </c>
      <c r="G533">
        <v>1040.21</v>
      </c>
      <c r="H533">
        <v>1050.1600000000001</v>
      </c>
      <c r="I533">
        <v>1028.4100000000001</v>
      </c>
      <c r="J533">
        <v>1341442703654</v>
      </c>
      <c r="K533">
        <v>0</v>
      </c>
      <c r="L533" s="2">
        <f>VLOOKUP(A533,[1]aaabonddata!$A:$B,2,0)</f>
        <v>4.53</v>
      </c>
    </row>
    <row r="534" spans="1:12" x14ac:dyDescent="0.2">
      <c r="A534" s="3">
        <v>39545</v>
      </c>
      <c r="B534" s="2">
        <v>1860.83</v>
      </c>
      <c r="C534" s="2">
        <v>1885.93</v>
      </c>
      <c r="D534" s="2">
        <v>1856.57</v>
      </c>
      <c r="E534" s="2">
        <v>2938579864768</v>
      </c>
      <c r="F534" s="2">
        <v>0</v>
      </c>
      <c r="G534">
        <v>1034.27</v>
      </c>
      <c r="H534">
        <v>1049.3499999999999</v>
      </c>
      <c r="I534">
        <v>1031.5899999999999</v>
      </c>
      <c r="J534">
        <v>1333777473025</v>
      </c>
      <c r="K534">
        <v>0</v>
      </c>
      <c r="L534" s="2">
        <f>VLOOKUP(A534,[1]aaabonddata!$A:$B,2,0)</f>
        <v>4.5999999999999996</v>
      </c>
    </row>
    <row r="535" spans="1:12" x14ac:dyDescent="0.2">
      <c r="A535" s="3">
        <v>39546</v>
      </c>
      <c r="B535" s="2">
        <v>1846.14</v>
      </c>
      <c r="C535" s="2">
        <v>1858.74</v>
      </c>
      <c r="D535" s="2">
        <v>1837.47</v>
      </c>
      <c r="E535" s="2">
        <v>2915378975630</v>
      </c>
      <c r="F535" s="2">
        <v>0</v>
      </c>
      <c r="G535">
        <v>1025.04</v>
      </c>
      <c r="H535">
        <v>1031.92</v>
      </c>
      <c r="I535">
        <v>1020.26</v>
      </c>
      <c r="J535">
        <v>1321869386780</v>
      </c>
      <c r="K535">
        <v>0</v>
      </c>
      <c r="L535" s="2">
        <f>VLOOKUP(A535,[1]aaabonddata!$A:$B,2,0)</f>
        <v>4.5599999999999996</v>
      </c>
    </row>
    <row r="536" spans="1:12" x14ac:dyDescent="0.2">
      <c r="A536" s="3">
        <v>39547</v>
      </c>
      <c r="B536" s="2">
        <v>1826.19</v>
      </c>
      <c r="C536" s="2">
        <v>1849.2</v>
      </c>
      <c r="D536" s="2">
        <v>1815.05</v>
      </c>
      <c r="E536" s="2">
        <v>2881292822011</v>
      </c>
      <c r="F536" s="2">
        <v>51400702</v>
      </c>
      <c r="G536">
        <v>1022.2</v>
      </c>
      <c r="H536">
        <v>1029.43</v>
      </c>
      <c r="I536">
        <v>1015.37</v>
      </c>
      <c r="J536">
        <v>1318215645691</v>
      </c>
      <c r="K536">
        <v>0</v>
      </c>
      <c r="L536" s="2">
        <f>VLOOKUP(A536,[1]aaabonddata!$A:$B,2,0)</f>
        <v>4.46</v>
      </c>
    </row>
    <row r="537" spans="1:12" x14ac:dyDescent="0.2">
      <c r="A537" s="3">
        <v>39548</v>
      </c>
      <c r="B537" s="2">
        <v>1852.97</v>
      </c>
      <c r="C537" s="2">
        <v>1863.2</v>
      </c>
      <c r="D537" s="2">
        <v>1827</v>
      </c>
      <c r="E537" s="2">
        <v>2923550280389</v>
      </c>
      <c r="F537" s="2">
        <v>0</v>
      </c>
      <c r="G537">
        <v>1036.81</v>
      </c>
      <c r="H537">
        <v>1042.29</v>
      </c>
      <c r="I537">
        <v>1019.63</v>
      </c>
      <c r="J537">
        <v>1337050166605</v>
      </c>
      <c r="K537">
        <v>0</v>
      </c>
      <c r="L537" s="2">
        <f>VLOOKUP(A537,[1]aaabonddata!$A:$B,2,0)</f>
        <v>4.54</v>
      </c>
    </row>
    <row r="538" spans="1:12" x14ac:dyDescent="0.2">
      <c r="A538" s="3">
        <v>39549</v>
      </c>
      <c r="B538" s="2">
        <v>1798.72</v>
      </c>
      <c r="C538" s="2">
        <v>1833.14</v>
      </c>
      <c r="D538" s="2">
        <v>1794.82</v>
      </c>
      <c r="E538" s="2">
        <v>2837963772569</v>
      </c>
      <c r="F538" s="2">
        <v>0</v>
      </c>
      <c r="G538">
        <v>1003.81</v>
      </c>
      <c r="H538">
        <v>1023.7</v>
      </c>
      <c r="I538">
        <v>1001.25</v>
      </c>
      <c r="J538">
        <v>1294490984115</v>
      </c>
      <c r="K538">
        <v>0</v>
      </c>
      <c r="L538" s="2">
        <f>VLOOKUP(A538,[1]aaabonddata!$A:$B,2,0)</f>
        <v>4.51</v>
      </c>
    </row>
    <row r="539" spans="1:12" x14ac:dyDescent="0.2">
      <c r="A539" s="3">
        <v>39552</v>
      </c>
      <c r="B539" s="2">
        <v>1790.93</v>
      </c>
      <c r="C539" s="2">
        <v>1807.76</v>
      </c>
      <c r="D539" s="2">
        <v>1788.01</v>
      </c>
      <c r="E539" s="2">
        <v>2825660831850</v>
      </c>
      <c r="F539" s="2">
        <v>0</v>
      </c>
      <c r="G539">
        <v>996.86</v>
      </c>
      <c r="H539">
        <v>1008.34</v>
      </c>
      <c r="I539">
        <v>995.17</v>
      </c>
      <c r="J539">
        <v>1285540136843</v>
      </c>
      <c r="K539">
        <v>0</v>
      </c>
      <c r="L539" s="2">
        <f>VLOOKUP(A539,[1]aaabonddata!$A:$B,2,0)</f>
        <v>4.51</v>
      </c>
    </row>
    <row r="540" spans="1:12" x14ac:dyDescent="0.2">
      <c r="A540" s="3">
        <v>39553</v>
      </c>
      <c r="B540" s="2">
        <v>1794.73</v>
      </c>
      <c r="C540" s="2">
        <v>1802.73</v>
      </c>
      <c r="D540" s="2">
        <v>1776.6</v>
      </c>
      <c r="E540" s="2">
        <v>2831661234670</v>
      </c>
      <c r="F540" s="2">
        <v>0</v>
      </c>
      <c r="G540">
        <v>999.65</v>
      </c>
      <c r="H540">
        <v>1002.27</v>
      </c>
      <c r="I540">
        <v>987.23</v>
      </c>
      <c r="J540">
        <v>1289138926896</v>
      </c>
      <c r="K540">
        <v>0</v>
      </c>
      <c r="L540" s="2">
        <f>VLOOKUP(A540,[1]aaabonddata!$A:$B,2,0)</f>
        <v>4.57</v>
      </c>
    </row>
    <row r="541" spans="1:12" x14ac:dyDescent="0.2">
      <c r="A541" s="3">
        <v>39554</v>
      </c>
      <c r="B541" s="2">
        <v>1846.89</v>
      </c>
      <c r="C541" s="2">
        <v>1849.45</v>
      </c>
      <c r="D541" s="2">
        <v>1815.8</v>
      </c>
      <c r="E541" s="2">
        <v>2913961139085</v>
      </c>
      <c r="F541" s="2">
        <v>0</v>
      </c>
      <c r="G541">
        <v>1037.4100000000001</v>
      </c>
      <c r="H541">
        <v>1038.72</v>
      </c>
      <c r="I541">
        <v>1015.63</v>
      </c>
      <c r="J541">
        <v>1337827579435</v>
      </c>
      <c r="K541">
        <v>0</v>
      </c>
      <c r="L541" s="2">
        <f>VLOOKUP(A541,[1]aaabonddata!$A:$B,2,0)</f>
        <v>4.71</v>
      </c>
    </row>
    <row r="542" spans="1:12" x14ac:dyDescent="0.2">
      <c r="A542" s="3">
        <v>39555</v>
      </c>
      <c r="B542" s="2">
        <v>1840.88</v>
      </c>
      <c r="C542" s="2">
        <v>1848.28</v>
      </c>
      <c r="D542" s="2">
        <v>1829.94</v>
      </c>
      <c r="E542" s="2">
        <v>2904478500921</v>
      </c>
      <c r="F542" s="2">
        <v>0</v>
      </c>
      <c r="G542">
        <v>1036.3800000000001</v>
      </c>
      <c r="H542">
        <v>1043.77</v>
      </c>
      <c r="I542">
        <v>1028.1199999999999</v>
      </c>
      <c r="J542">
        <v>1336503733050</v>
      </c>
      <c r="K542">
        <v>0</v>
      </c>
      <c r="L542" s="2">
        <f>VLOOKUP(A542,[1]aaabonddata!$A:$B,2,0)</f>
        <v>4.78</v>
      </c>
    </row>
    <row r="543" spans="1:12" x14ac:dyDescent="0.2">
      <c r="A543" s="3">
        <v>39556</v>
      </c>
      <c r="B543" s="2">
        <v>1900.28</v>
      </c>
      <c r="C543" s="2">
        <v>1908</v>
      </c>
      <c r="D543" s="2">
        <v>1879.94</v>
      </c>
      <c r="E543" s="2">
        <v>2998200304951</v>
      </c>
      <c r="F543" s="2">
        <v>0</v>
      </c>
      <c r="G543">
        <v>1072.5999999999999</v>
      </c>
      <c r="H543">
        <v>1077.5</v>
      </c>
      <c r="I543">
        <v>1058.06</v>
      </c>
      <c r="J543">
        <v>1383209861952</v>
      </c>
      <c r="K543">
        <v>0</v>
      </c>
      <c r="L543" s="2">
        <f>VLOOKUP(A543,[1]aaabonddata!$A:$B,2,0)</f>
        <v>4.78</v>
      </c>
    </row>
    <row r="544" spans="1:12" x14ac:dyDescent="0.2">
      <c r="A544" s="3">
        <v>39559</v>
      </c>
      <c r="B544" s="2">
        <v>1913.12</v>
      </c>
      <c r="C544" s="2">
        <v>1914.21</v>
      </c>
      <c r="D544" s="2">
        <v>1890.8</v>
      </c>
      <c r="E544" s="2">
        <v>3018454933433</v>
      </c>
      <c r="F544" s="2">
        <v>0</v>
      </c>
      <c r="G544">
        <v>1087.32</v>
      </c>
      <c r="H544">
        <v>1087.74</v>
      </c>
      <c r="I544">
        <v>1067.83</v>
      </c>
      <c r="J544">
        <v>1402194365925</v>
      </c>
      <c r="K544">
        <v>0</v>
      </c>
      <c r="L544" s="2">
        <f>VLOOKUP(A544,[1]aaabonddata!$A:$B,2,0)</f>
        <v>4.74</v>
      </c>
    </row>
    <row r="545" spans="1:12" x14ac:dyDescent="0.2">
      <c r="A545" s="3">
        <v>39560</v>
      </c>
      <c r="B545" s="2">
        <v>1881.65</v>
      </c>
      <c r="C545" s="2">
        <v>1901.74</v>
      </c>
      <c r="D545" s="2">
        <v>1867.72</v>
      </c>
      <c r="E545" s="2">
        <v>2968798823148</v>
      </c>
      <c r="F545" s="2">
        <v>0</v>
      </c>
      <c r="G545">
        <v>1065.3800000000001</v>
      </c>
      <c r="H545">
        <v>1076.6300000000001</v>
      </c>
      <c r="I545">
        <v>1057.23</v>
      </c>
      <c r="J545">
        <v>1373893828335</v>
      </c>
      <c r="K545">
        <v>0</v>
      </c>
      <c r="L545" s="2">
        <f>VLOOKUP(A545,[1]aaabonddata!$A:$B,2,0)</f>
        <v>4.7699999999999996</v>
      </c>
    </row>
    <row r="546" spans="1:12" x14ac:dyDescent="0.2">
      <c r="A546" s="3">
        <v>39561</v>
      </c>
      <c r="B546" s="2">
        <v>1906.66</v>
      </c>
      <c r="C546" s="2">
        <v>1913.62</v>
      </c>
      <c r="D546" s="2">
        <v>1888.71</v>
      </c>
      <c r="E546" s="2">
        <v>3008256352036</v>
      </c>
      <c r="F546" s="2">
        <v>0</v>
      </c>
      <c r="G546">
        <v>1091.5</v>
      </c>
      <c r="H546">
        <v>1095.3499999999999</v>
      </c>
      <c r="I546">
        <v>1075.54</v>
      </c>
      <c r="J546">
        <v>1407582830445</v>
      </c>
      <c r="K546">
        <v>0</v>
      </c>
      <c r="L546" s="2">
        <f>VLOOKUP(A546,[1]aaabonddata!$A:$B,2,0)</f>
        <v>4.78</v>
      </c>
    </row>
    <row r="547" spans="1:12" x14ac:dyDescent="0.2">
      <c r="A547" s="3">
        <v>39562</v>
      </c>
      <c r="B547" s="2">
        <v>1924.58</v>
      </c>
      <c r="C547" s="2">
        <v>1942.98</v>
      </c>
      <c r="D547" s="2">
        <v>1886.94</v>
      </c>
      <c r="E547" s="2">
        <v>3036529932972</v>
      </c>
      <c r="F547" s="2">
        <v>0</v>
      </c>
      <c r="G547">
        <v>1103.03</v>
      </c>
      <c r="H547">
        <v>1114.52</v>
      </c>
      <c r="I547">
        <v>1079.93</v>
      </c>
      <c r="J547">
        <v>1422445340502</v>
      </c>
      <c r="K547">
        <v>0</v>
      </c>
      <c r="L547" s="2">
        <f>VLOOKUP(A547,[1]aaabonddata!$A:$B,2,0)</f>
        <v>4.8899999999999997</v>
      </c>
    </row>
    <row r="548" spans="1:12" x14ac:dyDescent="0.2">
      <c r="A548" s="3">
        <v>39563</v>
      </c>
      <c r="B548" s="2">
        <v>1918.58</v>
      </c>
      <c r="C548" s="2">
        <v>1925.04</v>
      </c>
      <c r="D548" s="2">
        <v>1894.11</v>
      </c>
      <c r="E548" s="2">
        <v>3027062999337</v>
      </c>
      <c r="F548" s="2">
        <v>0</v>
      </c>
      <c r="G548">
        <v>1103.83</v>
      </c>
      <c r="H548">
        <v>1106.05</v>
      </c>
      <c r="I548">
        <v>1083.21</v>
      </c>
      <c r="J548">
        <v>1423486210873</v>
      </c>
      <c r="K548">
        <v>0</v>
      </c>
      <c r="L548" s="2">
        <f>VLOOKUP(A548,[1]aaabonddata!$A:$B,2,0)</f>
        <v>4.93</v>
      </c>
    </row>
    <row r="549" spans="1:12" x14ac:dyDescent="0.2">
      <c r="A549" s="3">
        <v>39566</v>
      </c>
      <c r="B549" s="2">
        <v>1923.26</v>
      </c>
      <c r="C549" s="2">
        <v>1936.1</v>
      </c>
      <c r="D549" s="2">
        <v>1917.03</v>
      </c>
      <c r="E549" s="2">
        <v>3034451649985</v>
      </c>
      <c r="F549" s="2">
        <v>0</v>
      </c>
      <c r="G549">
        <v>1098.5999999999999</v>
      </c>
      <c r="H549">
        <v>1106.24</v>
      </c>
      <c r="I549">
        <v>1097.7</v>
      </c>
      <c r="J549">
        <v>1416737530573</v>
      </c>
      <c r="K549">
        <v>0</v>
      </c>
      <c r="L549" s="2">
        <f>VLOOKUP(A549,[1]aaabonddata!$A:$B,2,0)</f>
        <v>4.88</v>
      </c>
    </row>
    <row r="550" spans="1:12" x14ac:dyDescent="0.2">
      <c r="A550" s="3">
        <v>39567</v>
      </c>
      <c r="B550" s="2">
        <v>1933.6</v>
      </c>
      <c r="C550" s="2">
        <v>1941.91</v>
      </c>
      <c r="D550" s="2">
        <v>1914.25</v>
      </c>
      <c r="E550" s="2">
        <v>3050759024261</v>
      </c>
      <c r="F550" s="2">
        <v>194421150</v>
      </c>
      <c r="G550">
        <v>1108.25</v>
      </c>
      <c r="H550">
        <v>1112.6199999999999</v>
      </c>
      <c r="I550">
        <v>1096.76</v>
      </c>
      <c r="J550">
        <v>1429184638929</v>
      </c>
      <c r="K550">
        <v>0</v>
      </c>
      <c r="L550" s="2">
        <f>VLOOKUP(A550,[1]aaabonddata!$A:$B,2,0)</f>
        <v>4.84</v>
      </c>
    </row>
    <row r="551" spans="1:12" x14ac:dyDescent="0.2">
      <c r="A551" s="3">
        <v>39568</v>
      </c>
      <c r="B551" s="2">
        <v>1917.7</v>
      </c>
      <c r="C551" s="2">
        <v>1953.59</v>
      </c>
      <c r="D551" s="2">
        <v>1912.81</v>
      </c>
      <c r="E551" s="2">
        <v>3051744856103</v>
      </c>
      <c r="F551" s="2">
        <v>7181418</v>
      </c>
      <c r="G551">
        <v>1098.42</v>
      </c>
      <c r="H551">
        <v>1116.7</v>
      </c>
      <c r="I551">
        <v>1094.24</v>
      </c>
      <c r="J551">
        <v>1384539000481</v>
      </c>
      <c r="K551">
        <v>0</v>
      </c>
      <c r="L551" s="2">
        <f>VLOOKUP(A551,[1]aaabonddata!$A:$B,2,0)</f>
        <v>4.83</v>
      </c>
    </row>
    <row r="552" spans="1:12" x14ac:dyDescent="0.2">
      <c r="A552" s="3">
        <v>39569</v>
      </c>
      <c r="B552" s="2">
        <v>1980.44</v>
      </c>
      <c r="C552" s="2">
        <v>1980.44</v>
      </c>
      <c r="D552" s="2">
        <v>1921.05</v>
      </c>
      <c r="E552" s="2">
        <v>3151601844878</v>
      </c>
      <c r="F552" s="2">
        <v>0</v>
      </c>
      <c r="G552">
        <v>1136.19</v>
      </c>
      <c r="H552">
        <v>1136.54</v>
      </c>
      <c r="I552">
        <v>1099.58</v>
      </c>
      <c r="J552">
        <v>1432146395947</v>
      </c>
      <c r="K552">
        <v>0</v>
      </c>
      <c r="L552" s="2">
        <f>VLOOKUP(A552,[1]aaabonddata!$A:$B,2,0)</f>
        <v>4.84</v>
      </c>
    </row>
    <row r="553" spans="1:12" x14ac:dyDescent="0.2">
      <c r="A553" s="3">
        <v>39570</v>
      </c>
      <c r="B553" s="2">
        <v>1981.87</v>
      </c>
      <c r="C553" s="2">
        <v>1996.52</v>
      </c>
      <c r="D553" s="2">
        <v>1965.84</v>
      </c>
      <c r="E553" s="2">
        <v>3153866821028</v>
      </c>
      <c r="F553" s="2">
        <v>0</v>
      </c>
      <c r="G553">
        <v>1133.76</v>
      </c>
      <c r="H553">
        <v>1142.1300000000001</v>
      </c>
      <c r="I553">
        <v>1121.6099999999999</v>
      </c>
      <c r="J553">
        <v>1429085509117</v>
      </c>
      <c r="K553">
        <v>0</v>
      </c>
      <c r="L553" s="2">
        <f>VLOOKUP(A553,[1]aaabonddata!$A:$B,2,0)</f>
        <v>4.9000000000000004</v>
      </c>
    </row>
    <row r="554" spans="1:12" x14ac:dyDescent="0.2">
      <c r="A554" s="3">
        <v>39573</v>
      </c>
      <c r="B554" s="2">
        <v>1975.82</v>
      </c>
      <c r="C554" s="2">
        <v>1992.69</v>
      </c>
      <c r="D554" s="2">
        <v>1967.82</v>
      </c>
      <c r="E554" s="2">
        <v>3144236938497</v>
      </c>
      <c r="F554" s="2">
        <v>632883528</v>
      </c>
      <c r="G554">
        <v>1125.6099999999999</v>
      </c>
      <c r="H554">
        <v>1135.7</v>
      </c>
      <c r="I554">
        <v>1121.1600000000001</v>
      </c>
      <c r="J554">
        <v>1418812263952</v>
      </c>
      <c r="K554">
        <v>426732198</v>
      </c>
      <c r="L554" s="2">
        <f>VLOOKUP(A554,[1]aaabonddata!$A:$B,2,0)</f>
        <v>4.8899999999999997</v>
      </c>
    </row>
    <row r="555" spans="1:12" x14ac:dyDescent="0.2">
      <c r="A555" s="3">
        <v>39574</v>
      </c>
      <c r="B555" s="2">
        <v>1990.61</v>
      </c>
      <c r="C555" s="2">
        <v>1996.8</v>
      </c>
      <c r="D555" s="2">
        <v>1957.63</v>
      </c>
      <c r="E555" s="2">
        <v>3167782143981</v>
      </c>
      <c r="F555" s="2">
        <v>0</v>
      </c>
      <c r="G555">
        <v>1140.6500000000001</v>
      </c>
      <c r="H555">
        <v>1144.75</v>
      </c>
      <c r="I555">
        <v>1113.6099999999999</v>
      </c>
      <c r="J555">
        <v>1437764339760</v>
      </c>
      <c r="K555">
        <v>0</v>
      </c>
      <c r="L555" s="2">
        <f>VLOOKUP(A555,[1]aaabonddata!$A:$B,2,0)</f>
        <v>4.9000000000000004</v>
      </c>
    </row>
    <row r="556" spans="1:12" x14ac:dyDescent="0.2">
      <c r="A556" s="3">
        <v>39575</v>
      </c>
      <c r="B556" s="2">
        <v>1951.42</v>
      </c>
      <c r="C556" s="2">
        <v>2000.72</v>
      </c>
      <c r="D556" s="2">
        <v>1946.28</v>
      </c>
      <c r="E556" s="2">
        <v>3104421122880</v>
      </c>
      <c r="F556" s="2">
        <v>0</v>
      </c>
      <c r="G556">
        <v>1115.1300000000001</v>
      </c>
      <c r="H556">
        <v>1145.26</v>
      </c>
      <c r="I556">
        <v>1112.56</v>
      </c>
      <c r="J556">
        <v>1405598732883</v>
      </c>
      <c r="K556">
        <v>0</v>
      </c>
      <c r="L556" s="2">
        <f>VLOOKUP(A556,[1]aaabonddata!$A:$B,2,0)</f>
        <v>4.87</v>
      </c>
    </row>
    <row r="557" spans="1:12" x14ac:dyDescent="0.2">
      <c r="A557" s="3">
        <v>39576</v>
      </c>
      <c r="B557" s="2">
        <v>1966.86</v>
      </c>
      <c r="C557" s="2">
        <v>1979.12</v>
      </c>
      <c r="D557" s="2">
        <v>1954.36</v>
      </c>
      <c r="E557" s="2">
        <v>3128977000176</v>
      </c>
      <c r="F557" s="2">
        <v>137890796</v>
      </c>
      <c r="G557">
        <v>1122.8499999999999</v>
      </c>
      <c r="H557">
        <v>1129.5999999999999</v>
      </c>
      <c r="I557">
        <v>1110.3499999999999</v>
      </c>
      <c r="J557">
        <v>1415332017131</v>
      </c>
      <c r="K557">
        <v>433528207</v>
      </c>
      <c r="L557" s="2">
        <f>VLOOKUP(A557,[1]aaabonddata!$A:$B,2,0)</f>
        <v>4.8</v>
      </c>
    </row>
    <row r="558" spans="1:12" x14ac:dyDescent="0.2">
      <c r="A558" s="3">
        <v>39577</v>
      </c>
      <c r="B558" s="2">
        <v>1960.29</v>
      </c>
      <c r="C558" s="2">
        <v>1969.36</v>
      </c>
      <c r="D558" s="2">
        <v>1947.6</v>
      </c>
      <c r="E558" s="2">
        <v>3118538206211</v>
      </c>
      <c r="F558" s="2">
        <v>0</v>
      </c>
      <c r="G558">
        <v>1121.93</v>
      </c>
      <c r="H558">
        <v>1129.8399999999999</v>
      </c>
      <c r="I558">
        <v>1110.82</v>
      </c>
      <c r="J558">
        <v>1414176342028</v>
      </c>
      <c r="K558">
        <v>0</v>
      </c>
      <c r="L558" s="2">
        <f>VLOOKUP(A558,[1]aaabonddata!$A:$B,2,0)</f>
        <v>4.78</v>
      </c>
    </row>
    <row r="559" spans="1:12" x14ac:dyDescent="0.2">
      <c r="A559" s="3">
        <v>39580</v>
      </c>
      <c r="B559" s="2">
        <v>1997.02</v>
      </c>
      <c r="C559" s="2">
        <v>1998.86</v>
      </c>
      <c r="D559" s="2">
        <v>1959.48</v>
      </c>
      <c r="E559" s="2">
        <v>3176963070960</v>
      </c>
      <c r="F559" s="2">
        <v>0</v>
      </c>
      <c r="G559">
        <v>1138.27</v>
      </c>
      <c r="H559">
        <v>1138.77</v>
      </c>
      <c r="I559">
        <v>1116.1300000000001</v>
      </c>
      <c r="J559">
        <v>1434765437444</v>
      </c>
      <c r="K559">
        <v>0</v>
      </c>
      <c r="L559" s="2">
        <f>VLOOKUP(A559,[1]aaabonddata!$A:$B,2,0)</f>
        <v>4.78</v>
      </c>
    </row>
    <row r="560" spans="1:12" x14ac:dyDescent="0.2">
      <c r="A560" s="3">
        <v>39581</v>
      </c>
      <c r="B560" s="2">
        <v>2000.61</v>
      </c>
      <c r="C560" s="2">
        <v>2004.53</v>
      </c>
      <c r="D560" s="2">
        <v>1981.99</v>
      </c>
      <c r="E560" s="2">
        <v>3182671662845</v>
      </c>
      <c r="F560" s="2">
        <v>868115301</v>
      </c>
      <c r="G560">
        <v>1142.83</v>
      </c>
      <c r="H560">
        <v>1146.02</v>
      </c>
      <c r="I560">
        <v>1129.97</v>
      </c>
      <c r="J560">
        <v>1440517395774</v>
      </c>
      <c r="K560">
        <v>224792201</v>
      </c>
      <c r="L560" s="2">
        <f>VLOOKUP(A560,[1]aaabonddata!$A:$B,2,0)</f>
        <v>4.93</v>
      </c>
    </row>
    <row r="561" spans="1:12" x14ac:dyDescent="0.2">
      <c r="A561" s="3">
        <v>39582</v>
      </c>
      <c r="B561" s="2">
        <v>1997.3</v>
      </c>
      <c r="C561" s="2">
        <v>2028.67</v>
      </c>
      <c r="D561" s="2">
        <v>1993.91</v>
      </c>
      <c r="E561" s="2">
        <v>3177721502819</v>
      </c>
      <c r="F561" s="2">
        <v>185317086</v>
      </c>
      <c r="G561">
        <v>1149.25</v>
      </c>
      <c r="H561">
        <v>1167.8599999999999</v>
      </c>
      <c r="I561">
        <v>1147.71</v>
      </c>
      <c r="J561">
        <v>1448612089922</v>
      </c>
      <c r="K561">
        <v>234856458</v>
      </c>
      <c r="L561" s="2">
        <f>VLOOKUP(A561,[1]aaabonddata!$A:$B,2,0)</f>
        <v>4.97</v>
      </c>
    </row>
    <row r="562" spans="1:12" x14ac:dyDescent="0.2">
      <c r="A562" s="3">
        <v>39583</v>
      </c>
      <c r="B562" s="2">
        <v>2031.34</v>
      </c>
      <c r="C562" s="2">
        <v>2032.36</v>
      </c>
      <c r="D562" s="2">
        <v>1991.2</v>
      </c>
      <c r="E562" s="2">
        <v>3231869398984</v>
      </c>
      <c r="F562" s="2">
        <v>196926213</v>
      </c>
      <c r="G562">
        <v>1178.43</v>
      </c>
      <c r="H562">
        <v>1179.26</v>
      </c>
      <c r="I562">
        <v>1147.48</v>
      </c>
      <c r="J562">
        <v>1485386787887</v>
      </c>
      <c r="K562">
        <v>116400340</v>
      </c>
      <c r="L562" s="2">
        <f>VLOOKUP(A562,[1]aaabonddata!$A:$B,2,0)</f>
        <v>4.88</v>
      </c>
    </row>
    <row r="563" spans="1:12" x14ac:dyDescent="0.2">
      <c r="A563" s="3">
        <v>39584</v>
      </c>
      <c r="B563" s="2">
        <v>2031.27</v>
      </c>
      <c r="C563" s="2">
        <v>2035.81</v>
      </c>
      <c r="D563" s="2">
        <v>2009.89</v>
      </c>
      <c r="E563" s="2">
        <v>3231755958522</v>
      </c>
      <c r="F563" s="2">
        <v>0</v>
      </c>
      <c r="G563">
        <v>1180.79</v>
      </c>
      <c r="H563">
        <v>1182.46</v>
      </c>
      <c r="I563">
        <v>1163.4100000000001</v>
      </c>
      <c r="J563">
        <v>1488365927461</v>
      </c>
      <c r="K563">
        <v>0</v>
      </c>
      <c r="L563" s="2">
        <f>VLOOKUP(A563,[1]aaabonddata!$A:$B,2,0)</f>
        <v>4.87</v>
      </c>
    </row>
    <row r="564" spans="1:12" x14ac:dyDescent="0.2">
      <c r="A564" s="3">
        <v>39587</v>
      </c>
      <c r="B564" s="2">
        <v>2016.6</v>
      </c>
      <c r="C564" s="2">
        <v>2050.79</v>
      </c>
      <c r="D564" s="2">
        <v>2005.34</v>
      </c>
      <c r="E564" s="2">
        <v>3229009825283</v>
      </c>
      <c r="F564" s="2">
        <v>0</v>
      </c>
      <c r="G564">
        <v>1168.42</v>
      </c>
      <c r="H564">
        <v>1192.68</v>
      </c>
      <c r="I564">
        <v>1161.7</v>
      </c>
      <c r="J564">
        <v>1472775623163</v>
      </c>
      <c r="K564">
        <v>0</v>
      </c>
      <c r="L564" s="2">
        <f>VLOOKUP(A564,[1]aaabonddata!$A:$B,2,0)</f>
        <v>4.84</v>
      </c>
    </row>
    <row r="565" spans="1:12" x14ac:dyDescent="0.2">
      <c r="A565" s="3">
        <v>39588</v>
      </c>
      <c r="B565" s="2">
        <v>2000.67</v>
      </c>
      <c r="C565" s="2">
        <v>2010.18</v>
      </c>
      <c r="D565" s="2">
        <v>1987.5</v>
      </c>
      <c r="E565" s="2">
        <v>3203499678387</v>
      </c>
      <c r="F565" s="2">
        <v>0</v>
      </c>
      <c r="G565">
        <v>1151.56</v>
      </c>
      <c r="H565">
        <v>1161.23</v>
      </c>
      <c r="I565">
        <v>1143.55</v>
      </c>
      <c r="J565">
        <v>1451521245482</v>
      </c>
      <c r="K565">
        <v>0</v>
      </c>
      <c r="L565" s="2">
        <f>VLOOKUP(A565,[1]aaabonddata!$A:$B,2,0)</f>
        <v>4.79</v>
      </c>
    </row>
    <row r="566" spans="1:12" x14ac:dyDescent="0.2">
      <c r="A566" s="3">
        <v>39589</v>
      </c>
      <c r="B566" s="2">
        <v>1956.8</v>
      </c>
      <c r="C566" s="2">
        <v>2015.23</v>
      </c>
      <c r="D566" s="2">
        <v>1952.77</v>
      </c>
      <c r="E566" s="2">
        <v>3133254008295</v>
      </c>
      <c r="F566" s="2">
        <v>0</v>
      </c>
      <c r="G566">
        <v>1133.57</v>
      </c>
      <c r="H566">
        <v>1163.0899999999999</v>
      </c>
      <c r="I566">
        <v>1131.51</v>
      </c>
      <c r="J566">
        <v>1428846901596</v>
      </c>
      <c r="K566">
        <v>0</v>
      </c>
      <c r="L566" s="2">
        <f>VLOOKUP(A566,[1]aaabonddata!$A:$B,2,0)</f>
        <v>4.8499999999999996</v>
      </c>
    </row>
    <row r="567" spans="1:12" x14ac:dyDescent="0.2">
      <c r="A567" s="3">
        <v>39590</v>
      </c>
      <c r="B567" s="2">
        <v>1964.92</v>
      </c>
      <c r="C567" s="2">
        <v>1978.05</v>
      </c>
      <c r="D567" s="2">
        <v>1955.64</v>
      </c>
      <c r="E567" s="2">
        <v>3146264219173</v>
      </c>
      <c r="F567" s="2">
        <v>0</v>
      </c>
      <c r="G567">
        <v>1135.68</v>
      </c>
      <c r="H567">
        <v>1144.47</v>
      </c>
      <c r="I567">
        <v>1129.46</v>
      </c>
      <c r="J567">
        <v>1431508100920</v>
      </c>
      <c r="K567">
        <v>0</v>
      </c>
      <c r="L567" s="2">
        <f>VLOOKUP(A567,[1]aaabonddata!$A:$B,2,0)</f>
        <v>4.99</v>
      </c>
    </row>
    <row r="568" spans="1:12" x14ac:dyDescent="0.2">
      <c r="A568" s="3">
        <v>39591</v>
      </c>
      <c r="B568" s="2">
        <v>1958.96</v>
      </c>
      <c r="C568" s="2">
        <v>1964.68</v>
      </c>
      <c r="D568" s="2">
        <v>1943.85</v>
      </c>
      <c r="E568" s="2">
        <v>3136709747016</v>
      </c>
      <c r="F568" s="2">
        <v>0</v>
      </c>
      <c r="G568">
        <v>1126.96</v>
      </c>
      <c r="H568">
        <v>1131.83</v>
      </c>
      <c r="I568">
        <v>1115.83</v>
      </c>
      <c r="J568">
        <v>1420515848078</v>
      </c>
      <c r="K568">
        <v>0</v>
      </c>
      <c r="L568" s="2">
        <f>VLOOKUP(A568,[1]aaabonddata!$A:$B,2,0)</f>
        <v>4.9000000000000004</v>
      </c>
    </row>
    <row r="569" spans="1:12" x14ac:dyDescent="0.2">
      <c r="A569" s="3">
        <v>39595</v>
      </c>
      <c r="B569" s="2">
        <v>1995.44</v>
      </c>
      <c r="C569" s="2">
        <v>1995.45</v>
      </c>
      <c r="D569" s="2">
        <v>1963.05</v>
      </c>
      <c r="E569" s="2">
        <v>3195126205432</v>
      </c>
      <c r="F569" s="2">
        <v>0</v>
      </c>
      <c r="G569">
        <v>1147.68</v>
      </c>
      <c r="H569">
        <v>1148.99</v>
      </c>
      <c r="I569">
        <v>1127.9000000000001</v>
      </c>
      <c r="J569">
        <v>1446635459386</v>
      </c>
      <c r="K569">
        <v>0</v>
      </c>
      <c r="L569" s="2">
        <f>VLOOKUP(A569,[1]aaabonddata!$A:$B,2,0)</f>
        <v>4.99</v>
      </c>
    </row>
    <row r="570" spans="1:12" x14ac:dyDescent="0.2">
      <c r="A570" s="3">
        <v>39596</v>
      </c>
      <c r="B570" s="2">
        <v>2000.07</v>
      </c>
      <c r="C570" s="2">
        <v>2004.66</v>
      </c>
      <c r="D570" s="2">
        <v>1981.25</v>
      </c>
      <c r="E570" s="2">
        <v>3202547076908</v>
      </c>
      <c r="F570" s="2">
        <v>751569408</v>
      </c>
      <c r="G570">
        <v>1154.26</v>
      </c>
      <c r="H570">
        <v>1155.25</v>
      </c>
      <c r="I570">
        <v>1141.58</v>
      </c>
      <c r="J570">
        <v>1454926987573</v>
      </c>
      <c r="K570">
        <v>715945666</v>
      </c>
      <c r="L570" s="2">
        <f>VLOOKUP(A570,[1]aaabonddata!$A:$B,2,0)</f>
        <v>5.08</v>
      </c>
    </row>
    <row r="571" spans="1:12" x14ac:dyDescent="0.2">
      <c r="A571" s="3">
        <v>39597</v>
      </c>
      <c r="B571" s="2">
        <v>2019.02</v>
      </c>
      <c r="C571" s="2">
        <v>2030.24</v>
      </c>
      <c r="D571" s="2">
        <v>2001.78</v>
      </c>
      <c r="E571" s="2">
        <v>3232404916487</v>
      </c>
      <c r="F571" s="2">
        <v>62892733</v>
      </c>
      <c r="G571">
        <v>1162.93</v>
      </c>
      <c r="H571">
        <v>1169.8499999999999</v>
      </c>
      <c r="I571">
        <v>1153.1099999999999</v>
      </c>
      <c r="J571">
        <v>1465851972253</v>
      </c>
      <c r="K571">
        <v>0</v>
      </c>
      <c r="L571" s="2">
        <f>VLOOKUP(A571,[1]aaabonddata!$A:$B,2,0)</f>
        <v>5.12</v>
      </c>
    </row>
    <row r="572" spans="1:12" x14ac:dyDescent="0.2">
      <c r="A572" s="3">
        <v>39598</v>
      </c>
      <c r="B572" s="2">
        <v>2032.57</v>
      </c>
      <c r="C572" s="2">
        <v>2040.97</v>
      </c>
      <c r="D572" s="2">
        <v>2022.16</v>
      </c>
      <c r="E572" s="2">
        <v>3254102552769</v>
      </c>
      <c r="F572" s="2">
        <v>0</v>
      </c>
      <c r="G572">
        <v>1184.08</v>
      </c>
      <c r="H572">
        <v>1190.98</v>
      </c>
      <c r="I572">
        <v>1175.72</v>
      </c>
      <c r="J572">
        <v>1492508003142</v>
      </c>
      <c r="K572">
        <v>0</v>
      </c>
      <c r="L572" s="2">
        <f>VLOOKUP(A572,[1]aaabonddata!$A:$B,2,0)</f>
        <v>5.09</v>
      </c>
    </row>
    <row r="573" spans="1:12" x14ac:dyDescent="0.2">
      <c r="A573" s="3">
        <v>39601</v>
      </c>
      <c r="B573" s="2">
        <v>2006.84</v>
      </c>
      <c r="C573" s="2">
        <v>2028.04</v>
      </c>
      <c r="D573" s="2">
        <v>1989.33</v>
      </c>
      <c r="E573" s="2">
        <v>3212912827231</v>
      </c>
      <c r="F573" s="2">
        <v>0</v>
      </c>
      <c r="G573">
        <v>1166.81</v>
      </c>
      <c r="H573">
        <v>1180.2</v>
      </c>
      <c r="I573">
        <v>1156.22</v>
      </c>
      <c r="J573">
        <v>1470749828703</v>
      </c>
      <c r="K573">
        <v>0</v>
      </c>
      <c r="L573" s="2">
        <f>VLOOKUP(A573,[1]aaabonddata!$A:$B,2,0)</f>
        <v>5.01</v>
      </c>
    </row>
    <row r="574" spans="1:12" x14ac:dyDescent="0.2">
      <c r="A574" s="3">
        <v>39602</v>
      </c>
      <c r="B574" s="2">
        <v>1996.79</v>
      </c>
      <c r="C574" s="2">
        <v>2027.2</v>
      </c>
      <c r="D574" s="2">
        <v>1977.87</v>
      </c>
      <c r="E574" s="2">
        <v>3196822862959</v>
      </c>
      <c r="F574" s="2">
        <v>29867702</v>
      </c>
      <c r="G574">
        <v>1160.03</v>
      </c>
      <c r="H574">
        <v>1178.1500000000001</v>
      </c>
      <c r="I574">
        <v>1148.08</v>
      </c>
      <c r="J574">
        <v>1462201335672</v>
      </c>
      <c r="K574">
        <v>0</v>
      </c>
      <c r="L574" s="2">
        <f>VLOOKUP(A574,[1]aaabonddata!$A:$B,2,0)</f>
        <v>4.93</v>
      </c>
    </row>
    <row r="575" spans="1:12" x14ac:dyDescent="0.2">
      <c r="A575" s="3">
        <v>39603</v>
      </c>
      <c r="B575" s="2">
        <v>2021.45</v>
      </c>
      <c r="C575" s="2">
        <v>2035.09</v>
      </c>
      <c r="D575" s="2">
        <v>1989.22</v>
      </c>
      <c r="E575" s="2">
        <v>3236301158189</v>
      </c>
      <c r="F575" s="2">
        <v>69986969</v>
      </c>
      <c r="G575">
        <v>1174.6099999999999</v>
      </c>
      <c r="H575">
        <v>1184.6199999999999</v>
      </c>
      <c r="I575">
        <v>1154.6199999999999</v>
      </c>
      <c r="J575">
        <v>1480578791652</v>
      </c>
      <c r="K575">
        <v>0</v>
      </c>
      <c r="L575" s="2">
        <f>VLOOKUP(A575,[1]aaabonddata!$A:$B,2,0)</f>
        <v>4.97</v>
      </c>
    </row>
    <row r="576" spans="1:12" x14ac:dyDescent="0.2">
      <c r="A576" s="3">
        <v>39604</v>
      </c>
      <c r="B576" s="2">
        <v>2055.11</v>
      </c>
      <c r="C576" s="2">
        <v>2055.8200000000002</v>
      </c>
      <c r="D576" s="2">
        <v>2020.59</v>
      </c>
      <c r="E576" s="2">
        <v>3290181460721</v>
      </c>
      <c r="F576" s="2">
        <v>0</v>
      </c>
      <c r="G576">
        <v>1190.82</v>
      </c>
      <c r="H576">
        <v>1192.92</v>
      </c>
      <c r="I576">
        <v>1174.23</v>
      </c>
      <c r="J576">
        <v>1501005427893</v>
      </c>
      <c r="K576">
        <v>0</v>
      </c>
      <c r="L576" s="2">
        <f>VLOOKUP(A576,[1]aaabonddata!$A:$B,2,0)</f>
        <v>5.0199999999999996</v>
      </c>
    </row>
    <row r="577" spans="1:12" x14ac:dyDescent="0.2">
      <c r="A577" s="3">
        <v>39605</v>
      </c>
      <c r="B577" s="2">
        <v>1990.39</v>
      </c>
      <c r="C577" s="2">
        <v>2039.5</v>
      </c>
      <c r="D577" s="2">
        <v>1990.39</v>
      </c>
      <c r="E577" s="2">
        <v>3186573905121</v>
      </c>
      <c r="F577" s="2">
        <v>0</v>
      </c>
      <c r="G577">
        <v>1154.03</v>
      </c>
      <c r="H577">
        <v>1182.9000000000001</v>
      </c>
      <c r="I577">
        <v>1154.03</v>
      </c>
      <c r="J577">
        <v>1454632493637</v>
      </c>
      <c r="K577">
        <v>0</v>
      </c>
      <c r="L577" s="2">
        <f>VLOOKUP(A577,[1]aaabonddata!$A:$B,2,0)</f>
        <v>4.93</v>
      </c>
    </row>
    <row r="578" spans="1:12" x14ac:dyDescent="0.2">
      <c r="A578" s="3">
        <v>39608</v>
      </c>
      <c r="B578" s="2">
        <v>1979.71</v>
      </c>
      <c r="C578" s="2">
        <v>1997.94</v>
      </c>
      <c r="D578" s="2">
        <v>1948.27</v>
      </c>
      <c r="E578" s="2">
        <v>3169474427286</v>
      </c>
      <c r="F578" s="2">
        <v>0</v>
      </c>
      <c r="G578">
        <v>1149.55</v>
      </c>
      <c r="H578">
        <v>1159.1500000000001</v>
      </c>
      <c r="I578">
        <v>1128.93</v>
      </c>
      <c r="J578">
        <v>1448991102748</v>
      </c>
      <c r="K578">
        <v>0</v>
      </c>
      <c r="L578" s="2">
        <f>VLOOKUP(A578,[1]aaabonddata!$A:$B,2,0)</f>
        <v>5.07</v>
      </c>
    </row>
    <row r="579" spans="1:12" x14ac:dyDescent="0.2">
      <c r="A579" s="3">
        <v>39609</v>
      </c>
      <c r="B579" s="2">
        <v>1972.54</v>
      </c>
      <c r="C579" s="2">
        <v>1988</v>
      </c>
      <c r="D579" s="2">
        <v>1957.05</v>
      </c>
      <c r="E579" s="2">
        <v>3157988203389</v>
      </c>
      <c r="F579" s="2">
        <v>26863048</v>
      </c>
      <c r="G579">
        <v>1131.55</v>
      </c>
      <c r="H579">
        <v>1141.29</v>
      </c>
      <c r="I579">
        <v>1124.28</v>
      </c>
      <c r="J579">
        <v>1426301382498</v>
      </c>
      <c r="K579">
        <v>0</v>
      </c>
      <c r="L579" s="2">
        <f>VLOOKUP(A579,[1]aaabonddata!$A:$B,2,0)</f>
        <v>5.21</v>
      </c>
    </row>
    <row r="580" spans="1:12" x14ac:dyDescent="0.2">
      <c r="A580" s="3">
        <v>39610</v>
      </c>
      <c r="B580" s="2">
        <v>1924.33</v>
      </c>
      <c r="C580" s="2">
        <v>1970.31</v>
      </c>
      <c r="D580" s="2">
        <v>1924.33</v>
      </c>
      <c r="E580" s="2">
        <v>3080812190128</v>
      </c>
      <c r="F580" s="2">
        <v>0</v>
      </c>
      <c r="G580">
        <v>1101.1400000000001</v>
      </c>
      <c r="H580">
        <v>1128.54</v>
      </c>
      <c r="I580">
        <v>1101.1400000000001</v>
      </c>
      <c r="J580">
        <v>1387970268705</v>
      </c>
      <c r="K580">
        <v>0</v>
      </c>
      <c r="L580" s="2">
        <f>VLOOKUP(A580,[1]aaabonddata!$A:$B,2,0)</f>
        <v>5.17</v>
      </c>
    </row>
    <row r="581" spans="1:12" x14ac:dyDescent="0.2">
      <c r="A581" s="3">
        <v>39611</v>
      </c>
      <c r="B581" s="2">
        <v>1924.26</v>
      </c>
      <c r="C581" s="2">
        <v>1954.23</v>
      </c>
      <c r="D581" s="2">
        <v>1909.89</v>
      </c>
      <c r="E581" s="2">
        <v>3080699463074</v>
      </c>
      <c r="F581" s="2">
        <v>0</v>
      </c>
      <c r="G581">
        <v>1103.1099999999999</v>
      </c>
      <c r="H581">
        <v>1123.58</v>
      </c>
      <c r="I581">
        <v>1094.77</v>
      </c>
      <c r="J581">
        <v>1390455428519</v>
      </c>
      <c r="K581">
        <v>0</v>
      </c>
      <c r="L581" s="2">
        <f>VLOOKUP(A581,[1]aaabonddata!$A:$B,2,0)</f>
        <v>5.31</v>
      </c>
    </row>
    <row r="582" spans="1:12" x14ac:dyDescent="0.2">
      <c r="A582" s="3">
        <v>39612</v>
      </c>
      <c r="B582" s="2">
        <v>1966.01</v>
      </c>
      <c r="C582" s="2">
        <v>1968.12</v>
      </c>
      <c r="D582" s="2">
        <v>1928.71</v>
      </c>
      <c r="E582" s="2">
        <v>3147543270348</v>
      </c>
      <c r="F582" s="2">
        <v>37049469</v>
      </c>
      <c r="G582">
        <v>1129.52</v>
      </c>
      <c r="H582">
        <v>1129.99</v>
      </c>
      <c r="I582">
        <v>1105.99</v>
      </c>
      <c r="J582">
        <v>1423741085174</v>
      </c>
      <c r="K582">
        <v>49653557</v>
      </c>
      <c r="L582" s="2">
        <f>VLOOKUP(A582,[1]aaabonddata!$A:$B,2,0)</f>
        <v>5.36</v>
      </c>
    </row>
    <row r="583" spans="1:12" x14ac:dyDescent="0.2">
      <c r="A583" s="3">
        <v>39615</v>
      </c>
      <c r="B583" s="2">
        <v>1984.76</v>
      </c>
      <c r="C583" s="2">
        <v>1991.72</v>
      </c>
      <c r="D583" s="2">
        <v>1953.26</v>
      </c>
      <c r="E583" s="2">
        <v>3177561593186</v>
      </c>
      <c r="F583" s="2">
        <v>0</v>
      </c>
      <c r="G583">
        <v>1139.99</v>
      </c>
      <c r="H583">
        <v>1143.95</v>
      </c>
      <c r="I583">
        <v>1120.92</v>
      </c>
      <c r="J583">
        <v>1436937194956</v>
      </c>
      <c r="K583">
        <v>0</v>
      </c>
      <c r="L583" s="2">
        <f>VLOOKUP(A583,[1]aaabonddata!$A:$B,2,0)</f>
        <v>5.32</v>
      </c>
    </row>
    <row r="584" spans="1:12" x14ac:dyDescent="0.2">
      <c r="A584" s="3">
        <v>39616</v>
      </c>
      <c r="B584" s="2">
        <v>1972.82</v>
      </c>
      <c r="C584" s="2">
        <v>1993.12</v>
      </c>
      <c r="D584" s="2">
        <v>1969.73</v>
      </c>
      <c r="E584" s="2">
        <v>3158443215791</v>
      </c>
      <c r="F584" s="2">
        <v>0</v>
      </c>
      <c r="G584">
        <v>1122.68</v>
      </c>
      <c r="H584">
        <v>1140.82</v>
      </c>
      <c r="I584">
        <v>1121.98</v>
      </c>
      <c r="J584">
        <v>1415122158741</v>
      </c>
      <c r="K584">
        <v>0</v>
      </c>
      <c r="L584" s="2">
        <f>VLOOKUP(A584,[1]aaabonddata!$A:$B,2,0)</f>
        <v>5.28</v>
      </c>
    </row>
    <row r="585" spans="1:12" x14ac:dyDescent="0.2">
      <c r="A585" s="3">
        <v>39617</v>
      </c>
      <c r="B585" s="2">
        <v>1951.1</v>
      </c>
      <c r="C585" s="2">
        <v>1968.09</v>
      </c>
      <c r="D585" s="2">
        <v>1943.92</v>
      </c>
      <c r="E585" s="2">
        <v>3123668157624</v>
      </c>
      <c r="F585" s="2">
        <v>0</v>
      </c>
      <c r="G585">
        <v>1107.1099999999999</v>
      </c>
      <c r="H585">
        <v>1118.72</v>
      </c>
      <c r="I585">
        <v>1103.5999999999999</v>
      </c>
      <c r="J585">
        <v>1395497262655</v>
      </c>
      <c r="K585">
        <v>0</v>
      </c>
      <c r="L585" s="2">
        <f>VLOOKUP(A585,[1]aaabonddata!$A:$B,2,0)</f>
        <v>5.18</v>
      </c>
    </row>
    <row r="586" spans="1:12" x14ac:dyDescent="0.2">
      <c r="A586" s="3">
        <v>39618</v>
      </c>
      <c r="B586" s="2">
        <v>1982.69</v>
      </c>
      <c r="C586" s="2">
        <v>1991.25</v>
      </c>
      <c r="D586" s="2">
        <v>1935.85</v>
      </c>
      <c r="E586" s="2">
        <v>3174238649381</v>
      </c>
      <c r="F586" s="2">
        <v>0</v>
      </c>
      <c r="G586">
        <v>1131.33</v>
      </c>
      <c r="H586">
        <v>1136.6500000000001</v>
      </c>
      <c r="I586">
        <v>1097.47</v>
      </c>
      <c r="J586">
        <v>1426021397788</v>
      </c>
      <c r="K586">
        <v>0</v>
      </c>
      <c r="L586" s="2">
        <f>VLOOKUP(A586,[1]aaabonddata!$A:$B,2,0)</f>
        <v>5.25</v>
      </c>
    </row>
    <row r="587" spans="1:12" x14ac:dyDescent="0.2">
      <c r="A587" s="3">
        <v>39619</v>
      </c>
      <c r="B587" s="2">
        <v>1928.39</v>
      </c>
      <c r="C587" s="2">
        <v>1963.48</v>
      </c>
      <c r="D587" s="2">
        <v>1920.32</v>
      </c>
      <c r="E587" s="2">
        <v>3087309928574</v>
      </c>
      <c r="F587" s="2">
        <v>0</v>
      </c>
      <c r="G587">
        <v>1097.31</v>
      </c>
      <c r="H587">
        <v>1115.1400000000001</v>
      </c>
      <c r="I587">
        <v>1092.07</v>
      </c>
      <c r="J587">
        <v>1383145252610</v>
      </c>
      <c r="K587">
        <v>0</v>
      </c>
      <c r="L587" s="2">
        <f>VLOOKUP(A587,[1]aaabonddata!$A:$B,2,0)</f>
        <v>5.19</v>
      </c>
    </row>
    <row r="588" spans="1:12" x14ac:dyDescent="0.2">
      <c r="A588" s="3">
        <v>39622</v>
      </c>
      <c r="B588" s="2">
        <v>1913.31</v>
      </c>
      <c r="C588" s="2">
        <v>1940.68</v>
      </c>
      <c r="D588" s="2">
        <v>1910.88</v>
      </c>
      <c r="E588" s="2">
        <v>3058773973204</v>
      </c>
      <c r="F588" s="2">
        <v>0</v>
      </c>
      <c r="G588">
        <v>1089.46</v>
      </c>
      <c r="H588">
        <v>1107.57</v>
      </c>
      <c r="I588">
        <v>1087.71</v>
      </c>
      <c r="J588">
        <v>1379747674714</v>
      </c>
      <c r="K588">
        <v>0</v>
      </c>
      <c r="L588" s="2">
        <f>VLOOKUP(A588,[1]aaabonddata!$A:$B,2,0)</f>
        <v>5.25</v>
      </c>
    </row>
    <row r="589" spans="1:12" x14ac:dyDescent="0.2">
      <c r="A589" s="3">
        <v>39623</v>
      </c>
      <c r="B589" s="2">
        <v>1903.74</v>
      </c>
      <c r="C589" s="2">
        <v>1926.1</v>
      </c>
      <c r="D589" s="2">
        <v>1888.01</v>
      </c>
      <c r="E589" s="2">
        <v>3043479350397</v>
      </c>
      <c r="F589" s="2">
        <v>0</v>
      </c>
      <c r="G589">
        <v>1089.97</v>
      </c>
      <c r="H589">
        <v>1106.3699999999999</v>
      </c>
      <c r="I589">
        <v>1077.27</v>
      </c>
      <c r="J589">
        <v>1380391473428</v>
      </c>
      <c r="K589">
        <v>0</v>
      </c>
      <c r="L589" s="2">
        <f>VLOOKUP(A589,[1]aaabonddata!$A:$B,2,0)</f>
        <v>5.19</v>
      </c>
    </row>
    <row r="590" spans="1:12" x14ac:dyDescent="0.2">
      <c r="A590" s="3">
        <v>39624</v>
      </c>
      <c r="B590" s="2">
        <v>1933.86</v>
      </c>
      <c r="C590" s="2">
        <v>1951.49</v>
      </c>
      <c r="D590" s="2">
        <v>1910.21</v>
      </c>
      <c r="E590" s="2">
        <v>3091634130693</v>
      </c>
      <c r="F590" s="2">
        <v>12077465</v>
      </c>
      <c r="G590">
        <v>1107.23</v>
      </c>
      <c r="H590">
        <v>1118.9000000000001</v>
      </c>
      <c r="I590">
        <v>1094.3</v>
      </c>
      <c r="J590">
        <v>1402248514263</v>
      </c>
      <c r="K590">
        <v>0</v>
      </c>
      <c r="L590" s="2">
        <f>VLOOKUP(A590,[1]aaabonddata!$A:$B,2,0)</f>
        <v>5.18</v>
      </c>
    </row>
    <row r="591" spans="1:12" x14ac:dyDescent="0.2">
      <c r="A591" s="3">
        <v>39625</v>
      </c>
      <c r="B591" s="2">
        <v>1855.39</v>
      </c>
      <c r="C591" s="2">
        <v>1898.78</v>
      </c>
      <c r="D591" s="2">
        <v>1855.39</v>
      </c>
      <c r="E591" s="2">
        <v>2966186051086</v>
      </c>
      <c r="F591" s="2">
        <v>36588326</v>
      </c>
      <c r="G591">
        <v>1061.54</v>
      </c>
      <c r="H591">
        <v>1088.56</v>
      </c>
      <c r="I591">
        <v>1060.73</v>
      </c>
      <c r="J591">
        <v>1344379527752</v>
      </c>
      <c r="K591">
        <v>0</v>
      </c>
      <c r="L591" s="2">
        <f>VLOOKUP(A591,[1]aaabonddata!$A:$B,2,0)</f>
        <v>5.13</v>
      </c>
    </row>
    <row r="592" spans="1:12" x14ac:dyDescent="0.2">
      <c r="A592" s="3">
        <v>39626</v>
      </c>
      <c r="B592" s="2">
        <v>1855.72</v>
      </c>
      <c r="C592" s="2">
        <v>1865.6</v>
      </c>
      <c r="D592" s="2">
        <v>1829.3</v>
      </c>
      <c r="E592" s="2">
        <v>2966705945528</v>
      </c>
      <c r="F592" s="2">
        <v>0</v>
      </c>
      <c r="G592">
        <v>1059.8699999999999</v>
      </c>
      <c r="H592">
        <v>1066.58</v>
      </c>
      <c r="I592">
        <v>1043.76</v>
      </c>
      <c r="J592">
        <v>1342273851222</v>
      </c>
      <c r="K592">
        <v>0</v>
      </c>
      <c r="L592" s="2">
        <f>VLOOKUP(A592,[1]aaabonddata!$A:$B,2,0)</f>
        <v>5.1100000000000003</v>
      </c>
    </row>
    <row r="593" spans="1:12" x14ac:dyDescent="0.2">
      <c r="A593" s="3">
        <v>39629</v>
      </c>
      <c r="B593" s="2">
        <v>1837.09</v>
      </c>
      <c r="C593" s="2">
        <v>1863.32</v>
      </c>
      <c r="D593" s="2">
        <v>1837.09</v>
      </c>
      <c r="E593" s="2">
        <v>2936937555798</v>
      </c>
      <c r="F593" s="2">
        <v>0</v>
      </c>
      <c r="G593">
        <v>1048.95</v>
      </c>
      <c r="H593">
        <v>1065.3599999999999</v>
      </c>
      <c r="I593">
        <v>1048.8399999999999</v>
      </c>
      <c r="J593">
        <v>1328445373553</v>
      </c>
      <c r="K593">
        <v>0</v>
      </c>
      <c r="L593" s="2">
        <f>VLOOKUP(A593,[1]aaabonddata!$A:$B,2,0)</f>
        <v>5.07</v>
      </c>
    </row>
    <row r="594" spans="1:12" x14ac:dyDescent="0.2">
      <c r="A594" s="3">
        <v>39630</v>
      </c>
      <c r="B594" s="2">
        <v>1862.71</v>
      </c>
      <c r="C594" s="2">
        <v>1864.07</v>
      </c>
      <c r="D594" s="2">
        <v>1817.08</v>
      </c>
      <c r="E594" s="2">
        <v>2977895565135</v>
      </c>
      <c r="F594" s="2">
        <v>0</v>
      </c>
      <c r="G594">
        <v>1055.24</v>
      </c>
      <c r="H594">
        <v>1057.44</v>
      </c>
      <c r="I594">
        <v>1028.95</v>
      </c>
      <c r="J594">
        <v>1336399305145</v>
      </c>
      <c r="K594">
        <v>0</v>
      </c>
      <c r="L594" s="2">
        <f>VLOOKUP(A594,[1]aaabonddata!$A:$B,2,0)</f>
        <v>5.0999999999999996</v>
      </c>
    </row>
    <row r="595" spans="1:12" x14ac:dyDescent="0.2">
      <c r="A595" s="3">
        <v>39631</v>
      </c>
      <c r="B595" s="2">
        <v>1816.15</v>
      </c>
      <c r="C595" s="2">
        <v>1874.83</v>
      </c>
      <c r="D595" s="2">
        <v>1815.84</v>
      </c>
      <c r="E595" s="2">
        <v>2903050230748</v>
      </c>
      <c r="F595" s="2">
        <v>0</v>
      </c>
      <c r="G595">
        <v>1033.68</v>
      </c>
      <c r="H595">
        <v>1064.72</v>
      </c>
      <c r="I595">
        <v>1032.9000000000001</v>
      </c>
      <c r="J595">
        <v>1309106770220</v>
      </c>
      <c r="K595">
        <v>0</v>
      </c>
      <c r="L595" s="2">
        <f>VLOOKUP(A595,[1]aaabonddata!$A:$B,2,0)</f>
        <v>5.07</v>
      </c>
    </row>
    <row r="596" spans="1:12" x14ac:dyDescent="0.2">
      <c r="A596" s="3">
        <v>39632</v>
      </c>
      <c r="B596" s="2">
        <v>1816.35</v>
      </c>
      <c r="C596" s="2">
        <v>1832.21</v>
      </c>
      <c r="D596" s="2">
        <v>1801.66</v>
      </c>
      <c r="E596" s="2">
        <v>2903355318106</v>
      </c>
      <c r="F596" s="2">
        <v>0</v>
      </c>
      <c r="G596">
        <v>1025.29</v>
      </c>
      <c r="H596">
        <v>1035.02</v>
      </c>
      <c r="I596">
        <v>1018</v>
      </c>
      <c r="J596">
        <v>1298481416252</v>
      </c>
      <c r="K596">
        <v>0</v>
      </c>
      <c r="L596" s="2">
        <f>VLOOKUP(A596,[1]aaabonddata!$A:$B,2,0)</f>
        <v>5.0599999999999996</v>
      </c>
    </row>
    <row r="597" spans="1:12" x14ac:dyDescent="0.2">
      <c r="A597" s="3">
        <v>39636</v>
      </c>
      <c r="B597" s="2">
        <v>1826.93</v>
      </c>
      <c r="C597" s="2">
        <v>1848.29</v>
      </c>
      <c r="D597" s="2">
        <v>1799.49</v>
      </c>
      <c r="E597" s="2">
        <v>2920277737377</v>
      </c>
      <c r="F597" s="2">
        <v>167389720</v>
      </c>
      <c r="G597">
        <v>1030.81</v>
      </c>
      <c r="H597">
        <v>1048.1400000000001</v>
      </c>
      <c r="I597">
        <v>1014.23</v>
      </c>
      <c r="J597">
        <v>1305464209767</v>
      </c>
      <c r="K597">
        <v>0</v>
      </c>
      <c r="L597" s="2">
        <f>VLOOKUP(A597,[1]aaabonddata!$A:$B,2,0)</f>
        <v>5</v>
      </c>
    </row>
    <row r="598" spans="1:12" x14ac:dyDescent="0.2">
      <c r="A598" s="3">
        <v>39637</v>
      </c>
      <c r="B598" s="2">
        <v>1871.28</v>
      </c>
      <c r="C598" s="2">
        <v>1871.28</v>
      </c>
      <c r="D598" s="2">
        <v>1821.96</v>
      </c>
      <c r="E598" s="2">
        <v>2991166292268</v>
      </c>
      <c r="F598" s="2">
        <v>0</v>
      </c>
      <c r="G598">
        <v>1040.43</v>
      </c>
      <c r="H598">
        <v>1040.43</v>
      </c>
      <c r="I598">
        <v>1018.02</v>
      </c>
      <c r="J598">
        <v>1317647926413</v>
      </c>
      <c r="K598">
        <v>0</v>
      </c>
      <c r="L598" s="2">
        <f>VLOOKUP(A598,[1]aaabonddata!$A:$B,2,0)</f>
        <v>4.9800000000000004</v>
      </c>
    </row>
    <row r="599" spans="1:12" x14ac:dyDescent="0.2">
      <c r="A599" s="3">
        <v>39638</v>
      </c>
      <c r="B599" s="2">
        <v>1819.18</v>
      </c>
      <c r="C599" s="2">
        <v>1871.27</v>
      </c>
      <c r="D599" s="2">
        <v>1818.92</v>
      </c>
      <c r="E599" s="2">
        <v>2906881105311</v>
      </c>
      <c r="F599" s="2">
        <v>51657447</v>
      </c>
      <c r="G599">
        <v>1004.44</v>
      </c>
      <c r="H599">
        <v>1037.52</v>
      </c>
      <c r="I599">
        <v>1004.24</v>
      </c>
      <c r="J599">
        <v>1272069449181</v>
      </c>
      <c r="K599">
        <v>0</v>
      </c>
      <c r="L599" s="2">
        <f>VLOOKUP(A599,[1]aaabonddata!$A:$B,2,0)</f>
        <v>4.9400000000000004</v>
      </c>
    </row>
    <row r="600" spans="1:12" x14ac:dyDescent="0.2">
      <c r="A600" s="3">
        <v>39639</v>
      </c>
      <c r="B600" s="2">
        <v>1839.57</v>
      </c>
      <c r="C600" s="2">
        <v>1846.53</v>
      </c>
      <c r="D600" s="2">
        <v>1805.28</v>
      </c>
      <c r="E600" s="2">
        <v>2939467339026</v>
      </c>
      <c r="F600" s="2">
        <v>0</v>
      </c>
      <c r="G600">
        <v>1016.88</v>
      </c>
      <c r="H600">
        <v>1020.8</v>
      </c>
      <c r="I600">
        <v>996.67</v>
      </c>
      <c r="J600">
        <v>1287818722228</v>
      </c>
      <c r="K600">
        <v>0</v>
      </c>
      <c r="L600" s="2">
        <f>VLOOKUP(A600,[1]aaabonddata!$A:$B,2,0)</f>
        <v>4.95</v>
      </c>
    </row>
    <row r="601" spans="1:12" x14ac:dyDescent="0.2">
      <c r="A601" s="3">
        <v>39640</v>
      </c>
      <c r="B601" s="2">
        <v>1810.88</v>
      </c>
      <c r="C601" s="2">
        <v>1839.77</v>
      </c>
      <c r="D601" s="2">
        <v>1784.39</v>
      </c>
      <c r="E601" s="2">
        <v>2893620636362</v>
      </c>
      <c r="F601" s="2">
        <v>0</v>
      </c>
      <c r="G601">
        <v>997.06</v>
      </c>
      <c r="H601">
        <v>1013.98</v>
      </c>
      <c r="I601">
        <v>978.25</v>
      </c>
      <c r="J601">
        <v>1262724546942</v>
      </c>
      <c r="K601">
        <v>0</v>
      </c>
      <c r="L601" s="2">
        <f>VLOOKUP(A601,[1]aaabonddata!$A:$B,2,0)</f>
        <v>5.1100000000000003</v>
      </c>
    </row>
    <row r="602" spans="1:12" x14ac:dyDescent="0.2">
      <c r="A602" s="3">
        <v>39643</v>
      </c>
      <c r="B602" s="2">
        <v>1798.03</v>
      </c>
      <c r="C602" s="2">
        <v>1837.04</v>
      </c>
      <c r="D602" s="2">
        <v>1792.54</v>
      </c>
      <c r="E602" s="2">
        <v>2873088847017</v>
      </c>
      <c r="F602" s="2">
        <v>0</v>
      </c>
      <c r="G602">
        <v>983.28</v>
      </c>
      <c r="H602">
        <v>1008.98</v>
      </c>
      <c r="I602">
        <v>979.53</v>
      </c>
      <c r="J602">
        <v>1245276036743</v>
      </c>
      <c r="K602">
        <v>0</v>
      </c>
      <c r="L602" s="2">
        <f>VLOOKUP(A602,[1]aaabonddata!$A:$B,2,0)</f>
        <v>5.03</v>
      </c>
    </row>
    <row r="603" spans="1:12" x14ac:dyDescent="0.2">
      <c r="A603" s="3">
        <v>39644</v>
      </c>
      <c r="B603" s="2">
        <v>1798.35</v>
      </c>
      <c r="C603" s="2">
        <v>1826.11</v>
      </c>
      <c r="D603" s="2">
        <v>1761.08</v>
      </c>
      <c r="E603" s="2">
        <v>2873606210788</v>
      </c>
      <c r="F603" s="2">
        <v>0</v>
      </c>
      <c r="G603">
        <v>987.79</v>
      </c>
      <c r="H603">
        <v>1003.24</v>
      </c>
      <c r="I603">
        <v>963.29</v>
      </c>
      <c r="J603">
        <v>1250982417276</v>
      </c>
      <c r="K603">
        <v>0</v>
      </c>
      <c r="L603" s="2">
        <f>VLOOKUP(A603,[1]aaabonddata!$A:$B,2,0)</f>
        <v>4.99</v>
      </c>
    </row>
    <row r="604" spans="1:12" x14ac:dyDescent="0.2">
      <c r="A604" s="3">
        <v>39645</v>
      </c>
      <c r="B604" s="2">
        <v>1843.87</v>
      </c>
      <c r="C604" s="2">
        <v>1844.54</v>
      </c>
      <c r="D604" s="2">
        <v>1786.06</v>
      </c>
      <c r="E604" s="2">
        <v>2968079464554</v>
      </c>
      <c r="F604" s="2">
        <v>0</v>
      </c>
      <c r="G604">
        <v>1018.74</v>
      </c>
      <c r="H604">
        <v>1019.25</v>
      </c>
      <c r="I604">
        <v>982.21</v>
      </c>
      <c r="J604">
        <v>1290186244632</v>
      </c>
      <c r="K604">
        <v>0</v>
      </c>
      <c r="L604" s="2">
        <f>VLOOKUP(A604,[1]aaabonddata!$A:$B,2,0)</f>
        <v>5.0599999999999996</v>
      </c>
    </row>
    <row r="605" spans="1:12" x14ac:dyDescent="0.2">
      <c r="A605" s="3">
        <v>39646</v>
      </c>
      <c r="B605" s="2">
        <v>1853.47</v>
      </c>
      <c r="C605" s="2">
        <v>1862.99</v>
      </c>
      <c r="D605" s="2">
        <v>1829.7</v>
      </c>
      <c r="E605" s="2">
        <v>2983527215177</v>
      </c>
      <c r="F605" s="2">
        <v>0</v>
      </c>
      <c r="G605">
        <v>1035.93</v>
      </c>
      <c r="H605">
        <v>1041.83</v>
      </c>
      <c r="I605">
        <v>1015.29</v>
      </c>
      <c r="J605">
        <v>1311950546693</v>
      </c>
      <c r="K605">
        <v>0</v>
      </c>
      <c r="L605" s="2">
        <f>VLOOKUP(A605,[1]aaabonddata!$A:$B,2,0)</f>
        <v>5.17</v>
      </c>
    </row>
    <row r="606" spans="1:12" x14ac:dyDescent="0.2">
      <c r="A606" s="3">
        <v>39647</v>
      </c>
      <c r="B606" s="2">
        <v>1823.23</v>
      </c>
      <c r="C606" s="2">
        <v>1834.72</v>
      </c>
      <c r="D606" s="2">
        <v>1816.76</v>
      </c>
      <c r="E606" s="2">
        <v>2934843790547</v>
      </c>
      <c r="F606" s="2">
        <v>0</v>
      </c>
      <c r="G606">
        <v>1024.93</v>
      </c>
      <c r="H606">
        <v>1029.29</v>
      </c>
      <c r="I606">
        <v>1013.51</v>
      </c>
      <c r="J606">
        <v>1298018198549</v>
      </c>
      <c r="K606">
        <v>0</v>
      </c>
      <c r="L606" s="2">
        <f>VLOOKUP(A606,[1]aaabonddata!$A:$B,2,0)</f>
        <v>5.21</v>
      </c>
    </row>
    <row r="607" spans="1:12" x14ac:dyDescent="0.2">
      <c r="A607" s="3">
        <v>39650</v>
      </c>
      <c r="B607" s="2">
        <v>1819.76</v>
      </c>
      <c r="C607" s="2">
        <v>1837.53</v>
      </c>
      <c r="D607" s="2">
        <v>1809.8</v>
      </c>
      <c r="E607" s="2">
        <v>2940213488969</v>
      </c>
      <c r="F607" s="2">
        <v>0</v>
      </c>
      <c r="G607">
        <v>1013.95</v>
      </c>
      <c r="H607">
        <v>1031.22</v>
      </c>
      <c r="I607">
        <v>1010.22</v>
      </c>
      <c r="J607">
        <v>1284118662325</v>
      </c>
      <c r="K607">
        <v>0</v>
      </c>
      <c r="L607" s="2">
        <f>VLOOKUP(A607,[1]aaabonddata!$A:$B,2,0)</f>
        <v>5.21</v>
      </c>
    </row>
    <row r="608" spans="1:12" x14ac:dyDescent="0.2">
      <c r="A608" s="3">
        <v>39651</v>
      </c>
      <c r="B608" s="2">
        <v>1821.62</v>
      </c>
      <c r="C608" s="2">
        <v>1821.83</v>
      </c>
      <c r="D608" s="2">
        <v>1784.26</v>
      </c>
      <c r="E608" s="2">
        <v>2943209001977</v>
      </c>
      <c r="F608" s="2">
        <v>0</v>
      </c>
      <c r="G608">
        <v>1006.45</v>
      </c>
      <c r="H608">
        <v>1006.7</v>
      </c>
      <c r="I608">
        <v>991.69</v>
      </c>
      <c r="J608">
        <v>1274611004041</v>
      </c>
      <c r="K608">
        <v>0</v>
      </c>
      <c r="L608" s="2">
        <f>VLOOKUP(A608,[1]aaabonddata!$A:$B,2,0)</f>
        <v>5.25</v>
      </c>
    </row>
    <row r="609" spans="1:12" x14ac:dyDescent="0.2">
      <c r="A609" s="3">
        <v>39652</v>
      </c>
      <c r="B609" s="2">
        <v>1845.56</v>
      </c>
      <c r="C609" s="2">
        <v>1865.19</v>
      </c>
      <c r="D609" s="2">
        <v>1819.08</v>
      </c>
      <c r="E609" s="2">
        <v>2981899716437</v>
      </c>
      <c r="F609" s="2">
        <v>0</v>
      </c>
      <c r="G609">
        <v>1016.88</v>
      </c>
      <c r="H609">
        <v>1029.47</v>
      </c>
      <c r="I609">
        <v>1005.34</v>
      </c>
      <c r="J609">
        <v>1287818626546</v>
      </c>
      <c r="K609">
        <v>0</v>
      </c>
      <c r="L609" s="2">
        <f>VLOOKUP(A609,[1]aaabonddata!$A:$B,2,0)</f>
        <v>5.29</v>
      </c>
    </row>
    <row r="610" spans="1:12" x14ac:dyDescent="0.2">
      <c r="A610" s="3">
        <v>39653</v>
      </c>
      <c r="B610" s="2">
        <v>1816.98</v>
      </c>
      <c r="C610" s="2">
        <v>1854.97</v>
      </c>
      <c r="D610" s="2">
        <v>1816.84</v>
      </c>
      <c r="E610" s="2">
        <v>2935723686773</v>
      </c>
      <c r="F610" s="2">
        <v>0</v>
      </c>
      <c r="G610">
        <v>986.59</v>
      </c>
      <c r="H610">
        <v>1009.64</v>
      </c>
      <c r="I610">
        <v>986.07</v>
      </c>
      <c r="J610">
        <v>1249463069431</v>
      </c>
      <c r="K610">
        <v>0</v>
      </c>
      <c r="L610" s="2">
        <f>VLOOKUP(A610,[1]aaabonddata!$A:$B,2,0)</f>
        <v>5.13</v>
      </c>
    </row>
    <row r="611" spans="1:12" x14ac:dyDescent="0.2">
      <c r="A611" s="3">
        <v>39654</v>
      </c>
      <c r="B611" s="2">
        <v>1846.55</v>
      </c>
      <c r="C611" s="2">
        <v>1849.19</v>
      </c>
      <c r="D611" s="2">
        <v>1820.9</v>
      </c>
      <c r="E611" s="2">
        <v>2983491880716</v>
      </c>
      <c r="F611" s="2">
        <v>0</v>
      </c>
      <c r="G611">
        <v>1004.51</v>
      </c>
      <c r="H611">
        <v>1005.61</v>
      </c>
      <c r="I611">
        <v>986.48</v>
      </c>
      <c r="J611">
        <v>1272159205241</v>
      </c>
      <c r="K611">
        <v>0</v>
      </c>
      <c r="L611" s="2">
        <f>VLOOKUP(A611,[1]aaabonddata!$A:$B,2,0)</f>
        <v>5.21</v>
      </c>
    </row>
    <row r="612" spans="1:12" x14ac:dyDescent="0.2">
      <c r="A612" s="3">
        <v>39657</v>
      </c>
      <c r="B612" s="2">
        <v>1802.99</v>
      </c>
      <c r="C612" s="2">
        <v>1850.46</v>
      </c>
      <c r="D612" s="2">
        <v>1798.31</v>
      </c>
      <c r="E612" s="2">
        <v>2913120312051</v>
      </c>
      <c r="F612" s="2">
        <v>0</v>
      </c>
      <c r="G612">
        <v>985.07</v>
      </c>
      <c r="H612">
        <v>1006.85</v>
      </c>
      <c r="I612">
        <v>982.95</v>
      </c>
      <c r="J612">
        <v>1247542198893</v>
      </c>
      <c r="K612">
        <v>0</v>
      </c>
      <c r="L612" s="2">
        <f>VLOOKUP(A612,[1]aaabonddata!$A:$B,2,0)</f>
        <v>5.12</v>
      </c>
    </row>
    <row r="613" spans="1:12" x14ac:dyDescent="0.2">
      <c r="A613" s="3">
        <v>39658</v>
      </c>
      <c r="B613" s="2">
        <v>1845.55</v>
      </c>
      <c r="C613" s="2">
        <v>1851.31</v>
      </c>
      <c r="D613" s="2">
        <v>1812.97</v>
      </c>
      <c r="E613" s="2">
        <v>2981873092854</v>
      </c>
      <c r="F613" s="2">
        <v>0</v>
      </c>
      <c r="G613">
        <v>1010.31</v>
      </c>
      <c r="H613">
        <v>1011.99</v>
      </c>
      <c r="I613">
        <v>989.35</v>
      </c>
      <c r="J613">
        <v>1279500745850</v>
      </c>
      <c r="K613">
        <v>0</v>
      </c>
      <c r="L613" s="2">
        <f>VLOOKUP(A613,[1]aaabonddata!$A:$B,2,0)</f>
        <v>5.14</v>
      </c>
    </row>
    <row r="614" spans="1:12" x14ac:dyDescent="0.2">
      <c r="A614" s="3">
        <v>39659</v>
      </c>
      <c r="B614" s="2">
        <v>1852.8</v>
      </c>
      <c r="C614" s="2">
        <v>1862.97</v>
      </c>
      <c r="D614" s="2">
        <v>1825.64</v>
      </c>
      <c r="E614" s="2">
        <v>2993598926695</v>
      </c>
      <c r="F614" s="2">
        <v>206178007</v>
      </c>
      <c r="G614">
        <v>1014.16</v>
      </c>
      <c r="H614">
        <v>1022.09</v>
      </c>
      <c r="I614">
        <v>1001.8</v>
      </c>
      <c r="J614">
        <v>1284373867035</v>
      </c>
      <c r="K614">
        <v>0</v>
      </c>
      <c r="L614" s="2">
        <f>VLOOKUP(A614,[1]aaabonddata!$A:$B,2,0)</f>
        <v>5.15</v>
      </c>
    </row>
    <row r="615" spans="1:12" x14ac:dyDescent="0.2">
      <c r="A615" s="3">
        <v>39660</v>
      </c>
      <c r="B615" s="2">
        <v>1849.15</v>
      </c>
      <c r="C615" s="2">
        <v>1874.54</v>
      </c>
      <c r="D615" s="2">
        <v>1832.7</v>
      </c>
      <c r="E615" s="2">
        <v>2987700159717</v>
      </c>
      <c r="F615" s="2">
        <v>0</v>
      </c>
      <c r="G615">
        <v>1008.7</v>
      </c>
      <c r="H615">
        <v>1024.3399999999999</v>
      </c>
      <c r="I615">
        <v>1000.34</v>
      </c>
      <c r="J615">
        <v>1277467173501</v>
      </c>
      <c r="K615">
        <v>0</v>
      </c>
      <c r="L615" s="2">
        <f>VLOOKUP(A615,[1]aaabonddata!$A:$B,2,0)</f>
        <v>5.0999999999999996</v>
      </c>
    </row>
    <row r="616" spans="1:12" x14ac:dyDescent="0.2">
      <c r="A616" s="3">
        <v>39661</v>
      </c>
      <c r="B616" s="2">
        <v>1826.56</v>
      </c>
      <c r="C616" s="2">
        <v>1849.21</v>
      </c>
      <c r="D616" s="2">
        <v>1806.4</v>
      </c>
      <c r="E616" s="2">
        <v>2951202709070</v>
      </c>
      <c r="F616" s="2">
        <v>128771331</v>
      </c>
      <c r="G616">
        <v>1001.44</v>
      </c>
      <c r="H616">
        <v>1010.59</v>
      </c>
      <c r="I616">
        <v>986.15</v>
      </c>
      <c r="J616">
        <v>1268273755529</v>
      </c>
      <c r="K616">
        <v>0</v>
      </c>
      <c r="L616" s="2">
        <f>VLOOKUP(A616,[1]aaabonddata!$A:$B,2,0)</f>
        <v>5.07</v>
      </c>
    </row>
    <row r="617" spans="1:12" x14ac:dyDescent="0.2">
      <c r="A617" s="3">
        <v>39664</v>
      </c>
      <c r="B617" s="2">
        <v>1804.84</v>
      </c>
      <c r="C617" s="2">
        <v>1825.68</v>
      </c>
      <c r="D617" s="2">
        <v>1802.09</v>
      </c>
      <c r="E617" s="2">
        <v>2916112391505</v>
      </c>
      <c r="F617" s="2">
        <v>97425501</v>
      </c>
      <c r="G617">
        <v>995.06</v>
      </c>
      <c r="H617">
        <v>1004.01</v>
      </c>
      <c r="I617">
        <v>993.72</v>
      </c>
      <c r="J617">
        <v>1260186766274</v>
      </c>
      <c r="K617">
        <v>197515084</v>
      </c>
      <c r="L617" s="2">
        <f>VLOOKUP(A617,[1]aaabonddata!$A:$B,2,0)</f>
        <v>5.09</v>
      </c>
    </row>
    <row r="618" spans="1:12" x14ac:dyDescent="0.2">
      <c r="A618" s="3">
        <v>39665</v>
      </c>
      <c r="B618" s="2">
        <v>1869.76</v>
      </c>
      <c r="C618" s="2">
        <v>1869.76</v>
      </c>
      <c r="D618" s="2">
        <v>1823.97</v>
      </c>
      <c r="E618" s="2">
        <v>3020998978567</v>
      </c>
      <c r="F618" s="2">
        <v>625094112</v>
      </c>
      <c r="G618">
        <v>1024.94</v>
      </c>
      <c r="H618">
        <v>1024.99</v>
      </c>
      <c r="I618">
        <v>1000.48</v>
      </c>
      <c r="J618">
        <v>1298027650365</v>
      </c>
      <c r="K618">
        <v>609221635</v>
      </c>
      <c r="L618" s="2">
        <f>VLOOKUP(A618,[1]aaabonddata!$A:$B,2,0)</f>
        <v>5.1100000000000003</v>
      </c>
    </row>
    <row r="619" spans="1:12" x14ac:dyDescent="0.2">
      <c r="A619" s="3">
        <v>39666</v>
      </c>
      <c r="B619" s="2">
        <v>1895.21</v>
      </c>
      <c r="C619" s="2">
        <v>1902.87</v>
      </c>
      <c r="D619" s="2">
        <v>1853.41</v>
      </c>
      <c r="E619" s="2">
        <v>3062111387778</v>
      </c>
      <c r="F619" s="2">
        <v>68585430</v>
      </c>
      <c r="G619">
        <v>1042.7</v>
      </c>
      <c r="H619">
        <v>1047.18</v>
      </c>
      <c r="I619">
        <v>1016</v>
      </c>
      <c r="J619">
        <v>1320518610752</v>
      </c>
      <c r="K619">
        <v>0</v>
      </c>
      <c r="L619" s="2">
        <f>VLOOKUP(A619,[1]aaabonddata!$A:$B,2,0)</f>
        <v>5.14</v>
      </c>
    </row>
    <row r="620" spans="1:12" x14ac:dyDescent="0.2">
      <c r="A620" s="3">
        <v>39667</v>
      </c>
      <c r="B620" s="2">
        <v>1880.09</v>
      </c>
      <c r="C620" s="2">
        <v>1904.13</v>
      </c>
      <c r="D620" s="2">
        <v>1873.01</v>
      </c>
      <c r="E620" s="2">
        <v>3037684072296</v>
      </c>
      <c r="F620" s="2">
        <v>39601416</v>
      </c>
      <c r="G620">
        <v>1040.08</v>
      </c>
      <c r="H620">
        <v>1052.32</v>
      </c>
      <c r="I620">
        <v>1027.7</v>
      </c>
      <c r="J620">
        <v>1317208755966</v>
      </c>
      <c r="K620">
        <v>83408434</v>
      </c>
      <c r="L620" s="2">
        <f>VLOOKUP(A620,[1]aaabonddata!$A:$B,2,0)</f>
        <v>5.01</v>
      </c>
    </row>
    <row r="621" spans="1:12" x14ac:dyDescent="0.2">
      <c r="A621" s="3">
        <v>39668</v>
      </c>
      <c r="B621" s="2">
        <v>1926.23</v>
      </c>
      <c r="C621" s="2">
        <v>1928.52</v>
      </c>
      <c r="D621" s="2">
        <v>1877.13</v>
      </c>
      <c r="E621" s="2">
        <v>3112243625491</v>
      </c>
      <c r="F621" s="2">
        <v>0</v>
      </c>
      <c r="G621">
        <v>1060.3</v>
      </c>
      <c r="H621">
        <v>1062.5</v>
      </c>
      <c r="I621">
        <v>1035.53</v>
      </c>
      <c r="J621">
        <v>1342815580178</v>
      </c>
      <c r="K621">
        <v>0</v>
      </c>
      <c r="L621" s="2">
        <f>VLOOKUP(A621,[1]aaabonddata!$A:$B,2,0)</f>
        <v>5.04</v>
      </c>
    </row>
    <row r="622" spans="1:12" x14ac:dyDescent="0.2">
      <c r="A622" s="3">
        <v>39671</v>
      </c>
      <c r="B622" s="2">
        <v>1941.23</v>
      </c>
      <c r="C622" s="2">
        <v>1962.54</v>
      </c>
      <c r="D622" s="2">
        <v>1917.85</v>
      </c>
      <c r="E622" s="2">
        <v>3136472548135</v>
      </c>
      <c r="F622" s="2">
        <v>0</v>
      </c>
      <c r="G622">
        <v>1071.27</v>
      </c>
      <c r="H622">
        <v>1083.2</v>
      </c>
      <c r="I622">
        <v>1054.8</v>
      </c>
      <c r="J622">
        <v>1356707065189</v>
      </c>
      <c r="K622">
        <v>0</v>
      </c>
      <c r="L622" s="2">
        <f>VLOOKUP(A622,[1]aaabonddata!$A:$B,2,0)</f>
        <v>5.09</v>
      </c>
    </row>
    <row r="623" spans="1:12" x14ac:dyDescent="0.2">
      <c r="A623" s="3">
        <v>39672</v>
      </c>
      <c r="B623" s="2">
        <v>1941.07</v>
      </c>
      <c r="C623" s="2">
        <v>1957.4</v>
      </c>
      <c r="D623" s="2">
        <v>1932.47</v>
      </c>
      <c r="E623" s="2">
        <v>3136220726275</v>
      </c>
      <c r="F623" s="2">
        <v>79002565</v>
      </c>
      <c r="G623">
        <v>1069.29</v>
      </c>
      <c r="H623">
        <v>1077.29</v>
      </c>
      <c r="I623">
        <v>1064.67</v>
      </c>
      <c r="J623">
        <v>1354196168221</v>
      </c>
      <c r="K623">
        <v>122291159</v>
      </c>
      <c r="L623" s="2">
        <f>VLOOKUP(A623,[1]aaabonddata!$A:$B,2,0)</f>
        <v>5</v>
      </c>
    </row>
    <row r="624" spans="1:12" x14ac:dyDescent="0.2">
      <c r="A624" s="3">
        <v>39673</v>
      </c>
      <c r="B624" s="2">
        <v>1942.02</v>
      </c>
      <c r="C624" s="2">
        <v>1955.54</v>
      </c>
      <c r="D624" s="2">
        <v>1920.77</v>
      </c>
      <c r="E624" s="2">
        <v>3137742745855</v>
      </c>
      <c r="F624" s="2">
        <v>116971947</v>
      </c>
      <c r="G624">
        <v>1067.04</v>
      </c>
      <c r="H624">
        <v>1074.67</v>
      </c>
      <c r="I624">
        <v>1055.74</v>
      </c>
      <c r="J624">
        <v>1351355507706</v>
      </c>
      <c r="K624">
        <v>230284249</v>
      </c>
      <c r="L624" s="2">
        <f>VLOOKUP(A624,[1]aaabonddata!$A:$B,2,0)</f>
        <v>5.0599999999999996</v>
      </c>
    </row>
    <row r="625" spans="1:12" x14ac:dyDescent="0.2">
      <c r="A625" s="3">
        <v>39674</v>
      </c>
      <c r="B625" s="2">
        <v>1964.38</v>
      </c>
      <c r="C625" s="2">
        <v>1969.37</v>
      </c>
      <c r="D625" s="2">
        <v>1930.38</v>
      </c>
      <c r="E625" s="2">
        <v>3173868467476</v>
      </c>
      <c r="F625" s="2">
        <v>268754856</v>
      </c>
      <c r="G625">
        <v>1080.81</v>
      </c>
      <c r="H625">
        <v>1084.18</v>
      </c>
      <c r="I625">
        <v>1059.21</v>
      </c>
      <c r="J625">
        <v>1368782195799</v>
      </c>
      <c r="K625">
        <v>134840065</v>
      </c>
      <c r="L625" s="2">
        <f>VLOOKUP(A625,[1]aaabonddata!$A:$B,2,0)</f>
        <v>5</v>
      </c>
    </row>
    <row r="626" spans="1:12" x14ac:dyDescent="0.2">
      <c r="A626" s="3">
        <v>39675</v>
      </c>
      <c r="B626" s="2">
        <v>1957.56</v>
      </c>
      <c r="C626" s="2">
        <v>1973.56</v>
      </c>
      <c r="D626" s="2">
        <v>1950.11</v>
      </c>
      <c r="E626" s="2">
        <v>3162858052747</v>
      </c>
      <c r="F626" s="2">
        <v>0</v>
      </c>
      <c r="G626">
        <v>1081.6500000000001</v>
      </c>
      <c r="H626">
        <v>1089.45</v>
      </c>
      <c r="I626">
        <v>1074.67</v>
      </c>
      <c r="J626">
        <v>1369852513784</v>
      </c>
      <c r="K626">
        <v>0</v>
      </c>
      <c r="L626" s="2">
        <f>VLOOKUP(A626,[1]aaabonddata!$A:$B,2,0)</f>
        <v>4.97</v>
      </c>
    </row>
    <row r="627" spans="1:12" x14ac:dyDescent="0.2">
      <c r="A627" s="3">
        <v>39678</v>
      </c>
      <c r="B627" s="2">
        <v>1932.7</v>
      </c>
      <c r="C627" s="2">
        <v>1963.51</v>
      </c>
      <c r="D627" s="2">
        <v>1920.99</v>
      </c>
      <c r="E627" s="2">
        <v>3122689693329</v>
      </c>
      <c r="F627" s="2">
        <v>0</v>
      </c>
      <c r="G627">
        <v>1063.4000000000001</v>
      </c>
      <c r="H627">
        <v>1085.17</v>
      </c>
      <c r="I627">
        <v>1055.8800000000001</v>
      </c>
      <c r="J627">
        <v>1346741588698</v>
      </c>
      <c r="K627">
        <v>0</v>
      </c>
      <c r="L627" s="2">
        <f>VLOOKUP(A627,[1]aaabonddata!$A:$B,2,0)</f>
        <v>4.93</v>
      </c>
    </row>
    <row r="628" spans="1:12" x14ac:dyDescent="0.2">
      <c r="A628" s="3">
        <v>39679</v>
      </c>
      <c r="B628" s="2">
        <v>1908.68</v>
      </c>
      <c r="C628" s="2">
        <v>1933.13</v>
      </c>
      <c r="D628" s="2">
        <v>1900.41</v>
      </c>
      <c r="E628" s="2">
        <v>3083878187685</v>
      </c>
      <c r="F628" s="2">
        <v>662290153</v>
      </c>
      <c r="G628">
        <v>1048.8699999999999</v>
      </c>
      <c r="H628">
        <v>1062.47</v>
      </c>
      <c r="I628">
        <v>1044.3699999999999</v>
      </c>
      <c r="J628">
        <v>1328336636582</v>
      </c>
      <c r="K628">
        <v>154061355</v>
      </c>
      <c r="L628" s="2">
        <f>VLOOKUP(A628,[1]aaabonddata!$A:$B,2,0)</f>
        <v>4.97</v>
      </c>
    </row>
    <row r="629" spans="1:12" x14ac:dyDescent="0.2">
      <c r="A629" s="3">
        <v>39680</v>
      </c>
      <c r="B629" s="2">
        <v>1913.02</v>
      </c>
      <c r="C629" s="2">
        <v>1932.42</v>
      </c>
      <c r="D629" s="2">
        <v>1900.02</v>
      </c>
      <c r="E629" s="2">
        <v>3094896508594</v>
      </c>
      <c r="F629" s="2">
        <v>0</v>
      </c>
      <c r="G629">
        <v>1054.4100000000001</v>
      </c>
      <c r="H629">
        <v>1064.68</v>
      </c>
      <c r="I629">
        <v>1047.18</v>
      </c>
      <c r="J629">
        <v>1335353762214</v>
      </c>
      <c r="K629">
        <v>0</v>
      </c>
      <c r="L629" s="2">
        <f>VLOOKUP(A629,[1]aaabonddata!$A:$B,2,0)</f>
        <v>4.93</v>
      </c>
    </row>
    <row r="630" spans="1:12" x14ac:dyDescent="0.2">
      <c r="A630" s="3">
        <v>39681</v>
      </c>
      <c r="B630" s="2">
        <v>1906.74</v>
      </c>
      <c r="C630" s="2">
        <v>1913.39</v>
      </c>
      <c r="D630" s="2">
        <v>1886.24</v>
      </c>
      <c r="E630" s="2">
        <v>3079370610832</v>
      </c>
      <c r="F630" s="2">
        <v>0</v>
      </c>
      <c r="G630">
        <v>1050.24</v>
      </c>
      <c r="H630">
        <v>1053.1500000000001</v>
      </c>
      <c r="I630">
        <v>1040.5</v>
      </c>
      <c r="J630">
        <v>1330075318211</v>
      </c>
      <c r="K630">
        <v>0</v>
      </c>
      <c r="L630" s="2">
        <f>VLOOKUP(A630,[1]aaabonddata!$A:$B,2,0)</f>
        <v>4.9800000000000004</v>
      </c>
    </row>
    <row r="631" spans="1:12" x14ac:dyDescent="0.2">
      <c r="A631" s="3">
        <v>39682</v>
      </c>
      <c r="B631" s="2">
        <v>1931.47</v>
      </c>
      <c r="C631" s="2">
        <v>1937.76</v>
      </c>
      <c r="D631" s="2">
        <v>1915.36</v>
      </c>
      <c r="E631" s="2">
        <v>3119306088853</v>
      </c>
      <c r="F631" s="2">
        <v>0</v>
      </c>
      <c r="G631">
        <v>1064.2</v>
      </c>
      <c r="H631">
        <v>1067.4100000000001</v>
      </c>
      <c r="I631">
        <v>1055.19</v>
      </c>
      <c r="J631">
        <v>1347754196329</v>
      </c>
      <c r="K631">
        <v>0</v>
      </c>
      <c r="L631" s="2">
        <f>VLOOKUP(A631,[1]aaabonddata!$A:$B,2,0)</f>
        <v>5.03</v>
      </c>
    </row>
    <row r="632" spans="1:12" x14ac:dyDescent="0.2">
      <c r="A632" s="3">
        <v>39685</v>
      </c>
      <c r="B632" s="2">
        <v>1889.72</v>
      </c>
      <c r="C632" s="2">
        <v>1918.8</v>
      </c>
      <c r="D632" s="2">
        <v>1885.69</v>
      </c>
      <c r="E632" s="2">
        <v>3051877384678</v>
      </c>
      <c r="F632" s="2">
        <v>0</v>
      </c>
      <c r="G632">
        <v>1042.93</v>
      </c>
      <c r="H632">
        <v>1060.6400000000001</v>
      </c>
      <c r="I632">
        <v>1040.71</v>
      </c>
      <c r="J632">
        <v>1320812278211</v>
      </c>
      <c r="K632">
        <v>0</v>
      </c>
      <c r="L632" s="2">
        <f>VLOOKUP(A632,[1]aaabonddata!$A:$B,2,0)</f>
        <v>4.95</v>
      </c>
    </row>
    <row r="633" spans="1:12" x14ac:dyDescent="0.2">
      <c r="A633" s="3">
        <v>39686</v>
      </c>
      <c r="B633" s="2">
        <v>1886.32</v>
      </c>
      <c r="C633" s="2">
        <v>1901.09</v>
      </c>
      <c r="D633" s="2">
        <v>1874.81</v>
      </c>
      <c r="E633" s="2">
        <v>3046384567941</v>
      </c>
      <c r="F633" s="2">
        <v>0</v>
      </c>
      <c r="G633">
        <v>1034.0899999999999</v>
      </c>
      <c r="H633">
        <v>1042.06</v>
      </c>
      <c r="I633">
        <v>1027.68</v>
      </c>
      <c r="J633">
        <v>1309621979227</v>
      </c>
      <c r="K633">
        <v>0</v>
      </c>
      <c r="L633" s="2">
        <f>VLOOKUP(A633,[1]aaabonddata!$A:$B,2,0)</f>
        <v>4.96</v>
      </c>
    </row>
    <row r="634" spans="1:12" x14ac:dyDescent="0.2">
      <c r="A634" s="3">
        <v>39687</v>
      </c>
      <c r="B634" s="2">
        <v>1900.3</v>
      </c>
      <c r="C634" s="2">
        <v>1913.53</v>
      </c>
      <c r="D634" s="2">
        <v>1881.54</v>
      </c>
      <c r="E634" s="2">
        <v>3068962181948</v>
      </c>
      <c r="F634" s="2">
        <v>586739846</v>
      </c>
      <c r="G634">
        <v>1045.75</v>
      </c>
      <c r="H634">
        <v>1053.8</v>
      </c>
      <c r="I634">
        <v>1033.58</v>
      </c>
      <c r="J634">
        <v>1324387498461</v>
      </c>
      <c r="K634">
        <v>130679111</v>
      </c>
      <c r="L634" s="2">
        <f>VLOOKUP(A634,[1]aaabonddata!$A:$B,2,0)</f>
        <v>4.9400000000000004</v>
      </c>
    </row>
    <row r="635" spans="1:12" x14ac:dyDescent="0.2">
      <c r="A635" s="3">
        <v>39688</v>
      </c>
      <c r="B635" s="2">
        <v>1915.12</v>
      </c>
      <c r="C635" s="2">
        <v>1921.19</v>
      </c>
      <c r="D635" s="2">
        <v>1904.2</v>
      </c>
      <c r="E635" s="2">
        <v>3092898613689</v>
      </c>
      <c r="F635" s="2">
        <v>30233130</v>
      </c>
      <c r="G635">
        <v>1055.77</v>
      </c>
      <c r="H635">
        <v>1058.23</v>
      </c>
      <c r="I635">
        <v>1048.25</v>
      </c>
      <c r="J635">
        <v>1337077948660</v>
      </c>
      <c r="K635">
        <v>0</v>
      </c>
      <c r="L635" s="2">
        <f>VLOOKUP(A635,[1]aaabonddata!$A:$B,2,0)</f>
        <v>4.97</v>
      </c>
    </row>
    <row r="636" spans="1:12" x14ac:dyDescent="0.2">
      <c r="A636" s="3">
        <v>39689</v>
      </c>
      <c r="B636" s="2">
        <v>1872.54</v>
      </c>
      <c r="C636" s="2">
        <v>1899.56</v>
      </c>
      <c r="D636" s="2">
        <v>1866.81</v>
      </c>
      <c r="E636" s="2">
        <v>3024134201841</v>
      </c>
      <c r="F636" s="2">
        <v>0</v>
      </c>
      <c r="G636">
        <v>1026.79</v>
      </c>
      <c r="H636">
        <v>1042.58</v>
      </c>
      <c r="I636">
        <v>1021.14</v>
      </c>
      <c r="J636">
        <v>1300377795991</v>
      </c>
      <c r="K636">
        <v>0</v>
      </c>
      <c r="L636" s="2">
        <f>VLOOKUP(A636,[1]aaabonddata!$A:$B,2,0)</f>
        <v>4.97</v>
      </c>
    </row>
    <row r="637" spans="1:12" x14ac:dyDescent="0.2">
      <c r="A637" s="3">
        <v>39693</v>
      </c>
      <c r="B637" s="2">
        <v>1850.14</v>
      </c>
      <c r="C637" s="2">
        <v>1912.72</v>
      </c>
      <c r="D637" s="2">
        <v>1843.07</v>
      </c>
      <c r="E637" s="2">
        <v>2987948626408</v>
      </c>
      <c r="F637" s="2">
        <v>0</v>
      </c>
      <c r="G637">
        <v>1014.57</v>
      </c>
      <c r="H637">
        <v>1048.9100000000001</v>
      </c>
      <c r="I637">
        <v>1011.56</v>
      </c>
      <c r="J637">
        <v>1284895633961</v>
      </c>
      <c r="K637">
        <v>0</v>
      </c>
      <c r="L637" s="2">
        <f>VLOOKUP(A637,[1]aaabonddata!$A:$B,2,0)</f>
        <v>4.91</v>
      </c>
    </row>
    <row r="638" spans="1:12" x14ac:dyDescent="0.2">
      <c r="A638" s="3">
        <v>39694</v>
      </c>
      <c r="B638" s="2">
        <v>1833.09</v>
      </c>
      <c r="C638" s="2">
        <v>1854.42</v>
      </c>
      <c r="D638" s="2">
        <v>1820.48</v>
      </c>
      <c r="E638" s="2">
        <v>2960427652561</v>
      </c>
      <c r="F638" s="2">
        <v>104605515</v>
      </c>
      <c r="G638">
        <v>990.38</v>
      </c>
      <c r="H638">
        <v>1012.48</v>
      </c>
      <c r="I638">
        <v>985.46</v>
      </c>
      <c r="J638">
        <v>1254264279114</v>
      </c>
      <c r="K638">
        <v>0</v>
      </c>
      <c r="L638" s="2">
        <f>VLOOKUP(A638,[1]aaabonddata!$A:$B,2,0)</f>
        <v>4.87</v>
      </c>
    </row>
    <row r="639" spans="1:12" x14ac:dyDescent="0.2">
      <c r="A639" s="3">
        <v>39695</v>
      </c>
      <c r="B639" s="2">
        <v>1774.78</v>
      </c>
      <c r="C639" s="2">
        <v>1824.61</v>
      </c>
      <c r="D639" s="2">
        <v>1774.78</v>
      </c>
      <c r="E639" s="2">
        <v>2866249272463</v>
      </c>
      <c r="F639" s="2">
        <v>0</v>
      </c>
      <c r="G639">
        <v>954.11</v>
      </c>
      <c r="H639">
        <v>981.98</v>
      </c>
      <c r="I639">
        <v>954.11</v>
      </c>
      <c r="J639">
        <v>1208333766227</v>
      </c>
      <c r="K639">
        <v>0</v>
      </c>
      <c r="L639" s="2">
        <f>VLOOKUP(A639,[1]aaabonddata!$A:$B,2,0)</f>
        <v>4.84</v>
      </c>
    </row>
    <row r="640" spans="1:12" x14ac:dyDescent="0.2">
      <c r="A640" s="3">
        <v>39696</v>
      </c>
      <c r="B640" s="2">
        <v>1768.23</v>
      </c>
      <c r="C640" s="2">
        <v>1778.88</v>
      </c>
      <c r="D640" s="2">
        <v>1740.44</v>
      </c>
      <c r="E640" s="2">
        <v>2855680129728</v>
      </c>
      <c r="F640" s="2">
        <v>0</v>
      </c>
      <c r="G640">
        <v>961</v>
      </c>
      <c r="H640">
        <v>967.14</v>
      </c>
      <c r="I640">
        <v>944.14</v>
      </c>
      <c r="J640">
        <v>1217049857836</v>
      </c>
      <c r="K640">
        <v>0</v>
      </c>
      <c r="L640" s="2">
        <f>VLOOKUP(A640,[1]aaabonddata!$A:$B,2,0)</f>
        <v>4.87</v>
      </c>
    </row>
    <row r="641" spans="1:12" x14ac:dyDescent="0.2">
      <c r="A641" s="3">
        <v>39699</v>
      </c>
      <c r="B641" s="2">
        <v>1762.95</v>
      </c>
      <c r="C641" s="2">
        <v>1796.82</v>
      </c>
      <c r="D641" s="2">
        <v>1734.93</v>
      </c>
      <c r="E641" s="2">
        <v>2847150805282</v>
      </c>
      <c r="F641" s="2">
        <v>0</v>
      </c>
      <c r="G641">
        <v>960.94</v>
      </c>
      <c r="H641">
        <v>977.52</v>
      </c>
      <c r="I641">
        <v>945.2</v>
      </c>
      <c r="J641">
        <v>1216973935062</v>
      </c>
      <c r="K641">
        <v>0</v>
      </c>
      <c r="L641" s="2">
        <f>VLOOKUP(A641,[1]aaabonddata!$A:$B,2,0)</f>
        <v>4.87</v>
      </c>
    </row>
    <row r="642" spans="1:12" x14ac:dyDescent="0.2">
      <c r="A642" s="3">
        <v>39700</v>
      </c>
      <c r="B642" s="2">
        <v>1721.55</v>
      </c>
      <c r="C642" s="2">
        <v>1779.32</v>
      </c>
      <c r="D642" s="2">
        <v>1721.55</v>
      </c>
      <c r="E642" s="2">
        <v>2780280724127</v>
      </c>
      <c r="F642" s="2">
        <v>0</v>
      </c>
      <c r="G642">
        <v>931.92</v>
      </c>
      <c r="H642">
        <v>966.35</v>
      </c>
      <c r="I642">
        <v>931.48</v>
      </c>
      <c r="J642">
        <v>1180227028872</v>
      </c>
      <c r="K642">
        <v>0</v>
      </c>
      <c r="L642" s="2">
        <f>VLOOKUP(A642,[1]aaabonddata!$A:$B,2,0)</f>
        <v>4.8</v>
      </c>
    </row>
    <row r="643" spans="1:12" x14ac:dyDescent="0.2">
      <c r="A643" s="3">
        <v>39701</v>
      </c>
      <c r="B643" s="2">
        <v>1738.07</v>
      </c>
      <c r="C643" s="2">
        <v>1754.21</v>
      </c>
      <c r="D643" s="2">
        <v>1725.76</v>
      </c>
      <c r="E643" s="2">
        <v>2806971056335</v>
      </c>
      <c r="F643" s="2">
        <v>26888018</v>
      </c>
      <c r="G643">
        <v>939.31</v>
      </c>
      <c r="H643">
        <v>946.84</v>
      </c>
      <c r="I643">
        <v>933.42</v>
      </c>
      <c r="J643">
        <v>1189590692895</v>
      </c>
      <c r="K643">
        <v>0</v>
      </c>
      <c r="L643" s="2">
        <f>VLOOKUP(A643,[1]aaabonddata!$A:$B,2,0)</f>
        <v>4.84</v>
      </c>
    </row>
    <row r="644" spans="1:12" x14ac:dyDescent="0.2">
      <c r="A644" s="3">
        <v>39702</v>
      </c>
      <c r="B644" s="2">
        <v>1773.65</v>
      </c>
      <c r="C644" s="2">
        <v>1774.41</v>
      </c>
      <c r="D644" s="2">
        <v>1713.86</v>
      </c>
      <c r="E644" s="2">
        <v>2864427131373</v>
      </c>
      <c r="F644" s="2">
        <v>0</v>
      </c>
      <c r="G644">
        <v>950.37</v>
      </c>
      <c r="H644">
        <v>950.55</v>
      </c>
      <c r="I644">
        <v>921.5</v>
      </c>
      <c r="J644">
        <v>1203590816964</v>
      </c>
      <c r="K644">
        <v>0</v>
      </c>
      <c r="L644" s="2">
        <f>VLOOKUP(A644,[1]aaabonddata!$A:$B,2,0)</f>
        <v>4.8600000000000003</v>
      </c>
    </row>
    <row r="645" spans="1:12" x14ac:dyDescent="0.2">
      <c r="A645" s="3">
        <v>39703</v>
      </c>
      <c r="B645" s="2">
        <v>1767.13</v>
      </c>
      <c r="C645" s="2">
        <v>1775.47</v>
      </c>
      <c r="D645" s="2">
        <v>1743.71</v>
      </c>
      <c r="E645" s="2">
        <v>2853888205392</v>
      </c>
      <c r="F645" s="2">
        <v>0</v>
      </c>
      <c r="G645">
        <v>948.03</v>
      </c>
      <c r="H645">
        <v>951.68</v>
      </c>
      <c r="I645">
        <v>930.12</v>
      </c>
      <c r="J645">
        <v>1200624946762</v>
      </c>
      <c r="K645">
        <v>0</v>
      </c>
      <c r="L645" s="2">
        <f>VLOOKUP(A645,[1]aaabonddata!$A:$B,2,0)</f>
        <v>4.9800000000000004</v>
      </c>
    </row>
    <row r="646" spans="1:12" x14ac:dyDescent="0.2">
      <c r="A646" s="3">
        <v>39706</v>
      </c>
      <c r="B646" s="2">
        <v>1705.46</v>
      </c>
      <c r="C646" s="2">
        <v>1757.57</v>
      </c>
      <c r="D646" s="2">
        <v>1705.46</v>
      </c>
      <c r="E646" s="2">
        <v>2754292969335</v>
      </c>
      <c r="F646" s="2">
        <v>0</v>
      </c>
      <c r="G646">
        <v>912.46</v>
      </c>
      <c r="H646">
        <v>941.21</v>
      </c>
      <c r="I646">
        <v>912.46</v>
      </c>
      <c r="J646">
        <v>1155578252457</v>
      </c>
      <c r="K646">
        <v>0</v>
      </c>
      <c r="L646" s="2">
        <f>VLOOKUP(A646,[1]aaabonddata!$A:$B,2,0)</f>
        <v>4.99</v>
      </c>
    </row>
    <row r="647" spans="1:12" x14ac:dyDescent="0.2">
      <c r="A647" s="3">
        <v>39707</v>
      </c>
      <c r="B647" s="2">
        <v>1724.08</v>
      </c>
      <c r="C647" s="2">
        <v>1739.16</v>
      </c>
      <c r="D647" s="2">
        <v>1683.34</v>
      </c>
      <c r="E647" s="2">
        <v>2784372605072</v>
      </c>
      <c r="F647" s="2">
        <v>0</v>
      </c>
      <c r="G647">
        <v>918.84</v>
      </c>
      <c r="H647">
        <v>929.31</v>
      </c>
      <c r="I647">
        <v>898.06</v>
      </c>
      <c r="J647">
        <v>1163667248826</v>
      </c>
      <c r="K647">
        <v>0</v>
      </c>
      <c r="L647" s="2">
        <f>VLOOKUP(A647,[1]aaabonddata!$A:$B,2,0)</f>
        <v>5.38</v>
      </c>
    </row>
    <row r="648" spans="1:12" x14ac:dyDescent="0.2">
      <c r="A648" s="3">
        <v>39708</v>
      </c>
      <c r="B648" s="2">
        <v>1632.45</v>
      </c>
      <c r="C648" s="2">
        <v>1708.2</v>
      </c>
      <c r="D648" s="2">
        <v>1632.45</v>
      </c>
      <c r="E648" s="2">
        <v>2636385500342</v>
      </c>
      <c r="F648" s="2">
        <v>0</v>
      </c>
      <c r="G648">
        <v>885.25</v>
      </c>
      <c r="H648">
        <v>922.03</v>
      </c>
      <c r="I648">
        <v>885.25</v>
      </c>
      <c r="J648">
        <v>1121119834541</v>
      </c>
      <c r="K648">
        <v>0</v>
      </c>
      <c r="L648" s="2">
        <f>VLOOKUP(A648,[1]aaabonddata!$A:$B,2,0)</f>
        <v>5.54</v>
      </c>
    </row>
    <row r="649" spans="1:12" x14ac:dyDescent="0.2">
      <c r="A649" s="3">
        <v>39709</v>
      </c>
      <c r="B649" s="2">
        <v>1697.42</v>
      </c>
      <c r="C649" s="2">
        <v>1704.22</v>
      </c>
      <c r="D649" s="2">
        <v>1606.3</v>
      </c>
      <c r="E649" s="2">
        <v>2736663332904</v>
      </c>
      <c r="F649" s="2">
        <v>37073544</v>
      </c>
      <c r="G649">
        <v>926.77</v>
      </c>
      <c r="H649">
        <v>928.27</v>
      </c>
      <c r="I649">
        <v>873.79</v>
      </c>
      <c r="J649">
        <v>1173711021075</v>
      </c>
      <c r="K649">
        <v>61750334</v>
      </c>
      <c r="L649" s="2">
        <f>VLOOKUP(A649,[1]aaabonddata!$A:$B,2,0)</f>
        <v>5.94</v>
      </c>
    </row>
    <row r="650" spans="1:12" x14ac:dyDescent="0.2">
      <c r="A650" s="3">
        <v>39710</v>
      </c>
      <c r="B650" s="2">
        <v>1745.06</v>
      </c>
      <c r="C650" s="2">
        <v>1773.83</v>
      </c>
      <c r="D650" s="2">
        <v>1718.23</v>
      </c>
      <c r="E650" s="2">
        <v>2813471411840</v>
      </c>
      <c r="F650" s="2">
        <v>0</v>
      </c>
      <c r="G650">
        <v>956.06</v>
      </c>
      <c r="H650">
        <v>969.49</v>
      </c>
      <c r="I650">
        <v>933.51</v>
      </c>
      <c r="J650">
        <v>1210796343285</v>
      </c>
      <c r="K650">
        <v>0</v>
      </c>
      <c r="L650" s="2">
        <f>VLOOKUP(A650,[1]aaabonddata!$A:$B,2,0)</f>
        <v>6.02</v>
      </c>
    </row>
    <row r="651" spans="1:12" x14ac:dyDescent="0.2">
      <c r="A651" s="3">
        <v>39713</v>
      </c>
      <c r="B651" s="2">
        <v>1665.94</v>
      </c>
      <c r="C651" s="2">
        <v>1743.34</v>
      </c>
      <c r="D651" s="2">
        <v>1665.41</v>
      </c>
      <c r="E651" s="2">
        <v>2683514751126</v>
      </c>
      <c r="F651" s="2">
        <v>0</v>
      </c>
      <c r="G651">
        <v>911.41</v>
      </c>
      <c r="H651">
        <v>951.59</v>
      </c>
      <c r="I651">
        <v>911.38</v>
      </c>
      <c r="J651">
        <v>1202354908452</v>
      </c>
      <c r="K651">
        <v>0</v>
      </c>
      <c r="L651" s="2">
        <f>VLOOKUP(A651,[1]aaabonddata!$A:$B,2,0)</f>
        <v>5.89</v>
      </c>
    </row>
    <row r="652" spans="1:12" x14ac:dyDescent="0.2">
      <c r="A652" s="3">
        <v>39714</v>
      </c>
      <c r="B652" s="2">
        <v>1648.4</v>
      </c>
      <c r="C652" s="2">
        <v>1696.62</v>
      </c>
      <c r="D652" s="2">
        <v>1645.58</v>
      </c>
      <c r="E652" s="2">
        <v>2655259694887</v>
      </c>
      <c r="F652" s="2">
        <v>0</v>
      </c>
      <c r="G652">
        <v>900.3</v>
      </c>
      <c r="H652">
        <v>930.26</v>
      </c>
      <c r="I652">
        <v>897.85</v>
      </c>
      <c r="J652">
        <v>1187700747017</v>
      </c>
      <c r="K652">
        <v>0</v>
      </c>
      <c r="L652" s="2">
        <f>VLOOKUP(A652,[1]aaabonddata!$A:$B,2,0)</f>
        <v>5.95</v>
      </c>
    </row>
    <row r="653" spans="1:12" x14ac:dyDescent="0.2">
      <c r="A653" s="3">
        <v>39715</v>
      </c>
      <c r="B653" s="2">
        <v>1661.33</v>
      </c>
      <c r="C653" s="2">
        <v>1677.86</v>
      </c>
      <c r="D653" s="2">
        <v>1648.65</v>
      </c>
      <c r="E653" s="2">
        <v>2676090800977</v>
      </c>
      <c r="F653" s="2">
        <v>12062970</v>
      </c>
      <c r="G653">
        <v>908.16</v>
      </c>
      <c r="H653">
        <v>918.74</v>
      </c>
      <c r="I653">
        <v>901.84</v>
      </c>
      <c r="J653">
        <v>1198072767296</v>
      </c>
      <c r="K653">
        <v>0</v>
      </c>
      <c r="L653" s="2">
        <f>VLOOKUP(A653,[1]aaabonddata!$A:$B,2,0)</f>
        <v>5.85</v>
      </c>
    </row>
    <row r="654" spans="1:12" x14ac:dyDescent="0.2">
      <c r="A654" s="3">
        <v>39716</v>
      </c>
      <c r="B654" s="2">
        <v>1687.55</v>
      </c>
      <c r="C654" s="2">
        <v>1708.44</v>
      </c>
      <c r="D654" s="2">
        <v>1668.71</v>
      </c>
      <c r="E654" s="2">
        <v>2718320412600</v>
      </c>
      <c r="F654" s="2">
        <v>0</v>
      </c>
      <c r="G654">
        <v>919.85</v>
      </c>
      <c r="H654">
        <v>931.06</v>
      </c>
      <c r="I654">
        <v>909.91</v>
      </c>
      <c r="J654">
        <v>1213490684465</v>
      </c>
      <c r="K654">
        <v>0</v>
      </c>
      <c r="L654" s="2">
        <f>VLOOKUP(A654,[1]aaabonddata!$A:$B,2,0)</f>
        <v>6.17</v>
      </c>
    </row>
    <row r="655" spans="1:12" x14ac:dyDescent="0.2">
      <c r="A655" s="3">
        <v>39717</v>
      </c>
      <c r="B655" s="2">
        <v>1672.04</v>
      </c>
      <c r="C655" s="2">
        <v>1677.65</v>
      </c>
      <c r="D655" s="2">
        <v>1635.54</v>
      </c>
      <c r="E655" s="2">
        <v>2693342408076</v>
      </c>
      <c r="F655" s="2">
        <v>38835428</v>
      </c>
      <c r="G655">
        <v>910.52</v>
      </c>
      <c r="H655">
        <v>912.64</v>
      </c>
      <c r="I655">
        <v>892.85</v>
      </c>
      <c r="J655">
        <v>1201175961582</v>
      </c>
      <c r="K655">
        <v>0</v>
      </c>
      <c r="L655" s="2">
        <f>VLOOKUP(A655,[1]aaabonddata!$A:$B,2,0)</f>
        <v>6.34</v>
      </c>
    </row>
    <row r="656" spans="1:12" x14ac:dyDescent="0.2">
      <c r="A656" s="3">
        <v>39720</v>
      </c>
      <c r="B656" s="2">
        <v>1496.15</v>
      </c>
      <c r="C656" s="2">
        <v>1643.22</v>
      </c>
      <c r="D656" s="2">
        <v>1496.15</v>
      </c>
      <c r="E656" s="2">
        <v>2410012137682</v>
      </c>
      <c r="F656" s="2">
        <v>0</v>
      </c>
      <c r="G656">
        <v>820.44</v>
      </c>
      <c r="H656">
        <v>896.95</v>
      </c>
      <c r="I656">
        <v>820.44</v>
      </c>
      <c r="J656">
        <v>1082345359650</v>
      </c>
      <c r="K656">
        <v>0</v>
      </c>
      <c r="L656" s="2">
        <f>VLOOKUP(A656,[1]aaabonddata!$A:$B,2,0)</f>
        <v>6.19</v>
      </c>
    </row>
    <row r="657" spans="1:12" x14ac:dyDescent="0.2">
      <c r="A657" s="3">
        <v>39721</v>
      </c>
      <c r="B657" s="2">
        <v>1594.63</v>
      </c>
      <c r="C657" s="2">
        <v>1597.73</v>
      </c>
      <c r="D657" s="2">
        <v>1529.97</v>
      </c>
      <c r="E657" s="2">
        <v>2568639117619</v>
      </c>
      <c r="F657" s="2">
        <v>0</v>
      </c>
      <c r="G657">
        <v>875.9</v>
      </c>
      <c r="H657">
        <v>876.94</v>
      </c>
      <c r="I657">
        <v>834.98</v>
      </c>
      <c r="J657">
        <v>1155507472839</v>
      </c>
      <c r="K657">
        <v>0</v>
      </c>
      <c r="L657" s="2">
        <f>VLOOKUP(A657,[1]aaabonddata!$A:$B,2,0)</f>
        <v>6.45</v>
      </c>
    </row>
    <row r="658" spans="1:12" x14ac:dyDescent="0.2">
      <c r="A658" s="3">
        <v>39722</v>
      </c>
      <c r="B658" s="2">
        <v>1563.8</v>
      </c>
      <c r="C658" s="2">
        <v>1584.26</v>
      </c>
      <c r="D658" s="2">
        <v>1547.99</v>
      </c>
      <c r="E658" s="2">
        <v>2519546320734</v>
      </c>
      <c r="F658" s="2">
        <v>0</v>
      </c>
      <c r="G658">
        <v>858.36</v>
      </c>
      <c r="H658">
        <v>872.36</v>
      </c>
      <c r="I658">
        <v>848.99</v>
      </c>
      <c r="J658">
        <v>1132376009570</v>
      </c>
      <c r="K658">
        <v>0</v>
      </c>
      <c r="L658" s="2">
        <f>VLOOKUP(A658,[1]aaabonddata!$A:$B,2,0)</f>
        <v>6.54</v>
      </c>
    </row>
    <row r="659" spans="1:12" x14ac:dyDescent="0.2">
      <c r="A659" s="3">
        <v>39723</v>
      </c>
      <c r="B659" s="2">
        <v>1491.11</v>
      </c>
      <c r="C659" s="2">
        <v>1554.23</v>
      </c>
      <c r="D659" s="2">
        <v>1490.72</v>
      </c>
      <c r="E659" s="2">
        <v>2402437381701</v>
      </c>
      <c r="F659" s="2">
        <v>0</v>
      </c>
      <c r="G659">
        <v>814.72</v>
      </c>
      <c r="H659">
        <v>847.68</v>
      </c>
      <c r="I659">
        <v>814.06</v>
      </c>
      <c r="J659">
        <v>1074792704189</v>
      </c>
      <c r="K659">
        <v>0</v>
      </c>
      <c r="L659" s="2">
        <f>VLOOKUP(A659,[1]aaabonddata!$A:$B,2,0)</f>
        <v>6.38</v>
      </c>
    </row>
    <row r="660" spans="1:12" x14ac:dyDescent="0.2">
      <c r="A660" s="3">
        <v>39724</v>
      </c>
      <c r="B660" s="2">
        <v>1470.84</v>
      </c>
      <c r="C660" s="2">
        <v>1551.58</v>
      </c>
      <c r="D660" s="2">
        <v>1469</v>
      </c>
      <c r="E660" s="2">
        <v>2369775161279</v>
      </c>
      <c r="F660" s="2">
        <v>0</v>
      </c>
      <c r="G660">
        <v>794.01</v>
      </c>
      <c r="H660">
        <v>839.82</v>
      </c>
      <c r="I660">
        <v>793.3</v>
      </c>
      <c r="J660">
        <v>1047478257754</v>
      </c>
      <c r="K660">
        <v>0</v>
      </c>
      <c r="L660" s="2">
        <f>VLOOKUP(A660,[1]aaabonddata!$A:$B,2,0)</f>
        <v>6.38</v>
      </c>
    </row>
    <row r="661" spans="1:12" x14ac:dyDescent="0.2">
      <c r="A661" s="3">
        <v>39727</v>
      </c>
      <c r="B661" s="2">
        <v>1411.28</v>
      </c>
      <c r="C661" s="2">
        <v>1440.19</v>
      </c>
      <c r="D661" s="2">
        <v>1339.17</v>
      </c>
      <c r="E661" s="2">
        <v>2273806822084</v>
      </c>
      <c r="F661" s="2">
        <v>169260602</v>
      </c>
      <c r="G661">
        <v>764.5</v>
      </c>
      <c r="H661">
        <v>777.35</v>
      </c>
      <c r="I661">
        <v>725.44</v>
      </c>
      <c r="J661">
        <v>1008541136457</v>
      </c>
      <c r="K661">
        <v>0</v>
      </c>
      <c r="L661" s="2">
        <f>VLOOKUP(A661,[1]aaabonddata!$A:$B,2,0)</f>
        <v>6.28</v>
      </c>
    </row>
    <row r="662" spans="1:12" x14ac:dyDescent="0.2">
      <c r="A662" s="3">
        <v>39728</v>
      </c>
      <c r="B662" s="2">
        <v>1329.98</v>
      </c>
      <c r="C662" s="2">
        <v>1433.12</v>
      </c>
      <c r="D662" s="2">
        <v>1329.98</v>
      </c>
      <c r="E662" s="2">
        <v>2142827683660</v>
      </c>
      <c r="F662" s="2">
        <v>0</v>
      </c>
      <c r="G662">
        <v>713.86</v>
      </c>
      <c r="H662">
        <v>774.34</v>
      </c>
      <c r="I662">
        <v>713.86</v>
      </c>
      <c r="J662">
        <v>941744072665</v>
      </c>
      <c r="K662">
        <v>0</v>
      </c>
      <c r="L662" s="2">
        <f>VLOOKUP(A662,[1]aaabonddata!$A:$B,2,0)</f>
        <v>6.27</v>
      </c>
    </row>
    <row r="663" spans="1:12" x14ac:dyDescent="0.2">
      <c r="A663" s="3">
        <v>39729</v>
      </c>
      <c r="B663" s="2">
        <v>1330.61</v>
      </c>
      <c r="C663" s="2">
        <v>1386.34</v>
      </c>
      <c r="D663" s="2">
        <v>1295.98</v>
      </c>
      <c r="E663" s="2">
        <v>2143843048875</v>
      </c>
      <c r="F663" s="2">
        <v>0</v>
      </c>
      <c r="G663">
        <v>713.49</v>
      </c>
      <c r="H663">
        <v>745.61</v>
      </c>
      <c r="I663">
        <v>698.47</v>
      </c>
      <c r="J663">
        <v>941257336488</v>
      </c>
      <c r="K663">
        <v>0</v>
      </c>
      <c r="L663" s="2">
        <f>VLOOKUP(A663,[1]aaabonddata!$A:$B,2,0)</f>
        <v>6.52</v>
      </c>
    </row>
    <row r="664" spans="1:12" x14ac:dyDescent="0.2">
      <c r="A664" s="3">
        <v>39730</v>
      </c>
      <c r="B664" s="2">
        <v>1275.0999999999999</v>
      </c>
      <c r="C664" s="2">
        <v>1369.77</v>
      </c>
      <c r="D664" s="2">
        <v>1261.54</v>
      </c>
      <c r="E664" s="2">
        <v>2054400439566</v>
      </c>
      <c r="F664" s="2">
        <v>0</v>
      </c>
      <c r="G664">
        <v>689.45</v>
      </c>
      <c r="H664">
        <v>735.47</v>
      </c>
      <c r="I664">
        <v>682.55</v>
      </c>
      <c r="J664">
        <v>909533546785</v>
      </c>
      <c r="K664">
        <v>0</v>
      </c>
      <c r="L664" s="2">
        <f>VLOOKUP(A664,[1]aaabonddata!$A:$B,2,0)</f>
        <v>6.63</v>
      </c>
    </row>
    <row r="665" spans="1:12" x14ac:dyDescent="0.2">
      <c r="A665" s="3">
        <v>39731</v>
      </c>
      <c r="B665" s="2">
        <v>1269.8</v>
      </c>
      <c r="C665" s="2">
        <v>1317.48</v>
      </c>
      <c r="D665" s="2">
        <v>1196.1099999999999</v>
      </c>
      <c r="E665" s="2">
        <v>2045860460116</v>
      </c>
      <c r="F665" s="2">
        <v>0</v>
      </c>
      <c r="G665">
        <v>683.72</v>
      </c>
      <c r="H665">
        <v>709.53</v>
      </c>
      <c r="I665">
        <v>647.77</v>
      </c>
      <c r="J665">
        <v>901982303034</v>
      </c>
      <c r="K665">
        <v>0</v>
      </c>
      <c r="L665" s="2">
        <f>VLOOKUP(A665,[1]aaabonddata!$A:$B,2,0)</f>
        <v>6.95</v>
      </c>
    </row>
    <row r="666" spans="1:12" x14ac:dyDescent="0.2">
      <c r="A666" s="3">
        <v>39734</v>
      </c>
      <c r="B666" s="2">
        <v>1429.54</v>
      </c>
      <c r="C666" s="2">
        <v>1429.54</v>
      </c>
      <c r="D666" s="2">
        <v>1318.86</v>
      </c>
      <c r="E666" s="2">
        <v>2303225180306</v>
      </c>
      <c r="F666" s="2">
        <v>0</v>
      </c>
      <c r="G666">
        <v>769.41</v>
      </c>
      <c r="H666">
        <v>769.41</v>
      </c>
      <c r="I666">
        <v>711.95</v>
      </c>
      <c r="J666">
        <v>1015024214139</v>
      </c>
      <c r="K666">
        <v>0</v>
      </c>
      <c r="L666" s="2">
        <f>VLOOKUP(A666,[1]aaabonddata!$A:$B,2,0)</f>
        <v>6.95</v>
      </c>
    </row>
    <row r="667" spans="1:12" x14ac:dyDescent="0.2">
      <c r="A667" s="3">
        <v>39735</v>
      </c>
      <c r="B667" s="2">
        <v>1364.59</v>
      </c>
      <c r="C667" s="2">
        <v>1470.99</v>
      </c>
      <c r="D667" s="2">
        <v>1350.64</v>
      </c>
      <c r="E667" s="2">
        <v>2198587583281</v>
      </c>
      <c r="F667" s="2">
        <v>39463127</v>
      </c>
      <c r="G667">
        <v>735.45</v>
      </c>
      <c r="H667">
        <v>791.45</v>
      </c>
      <c r="I667">
        <v>727.3</v>
      </c>
      <c r="J667">
        <v>970218305217</v>
      </c>
      <c r="K667">
        <v>154268827</v>
      </c>
      <c r="L667" s="2">
        <f>VLOOKUP(A667,[1]aaabonddata!$A:$B,2,0)</f>
        <v>6.9</v>
      </c>
    </row>
    <row r="668" spans="1:12" x14ac:dyDescent="0.2">
      <c r="A668" s="3">
        <v>39736</v>
      </c>
      <c r="B668" s="2">
        <v>1244.23</v>
      </c>
      <c r="C668" s="2">
        <v>1356.15</v>
      </c>
      <c r="D668" s="2">
        <v>1244.23</v>
      </c>
      <c r="E668" s="2">
        <v>2004670386778</v>
      </c>
      <c r="F668" s="2">
        <v>0</v>
      </c>
      <c r="G668">
        <v>669.13</v>
      </c>
      <c r="H668">
        <v>725.09</v>
      </c>
      <c r="I668">
        <v>669.13</v>
      </c>
      <c r="J668">
        <v>882732961101</v>
      </c>
      <c r="K668">
        <v>0</v>
      </c>
      <c r="L668" s="2">
        <f>VLOOKUP(A668,[1]aaabonddata!$A:$B,2,0)</f>
        <v>6.74</v>
      </c>
    </row>
    <row r="669" spans="1:12" x14ac:dyDescent="0.2">
      <c r="A669" s="3">
        <v>39737</v>
      </c>
      <c r="B669" s="2">
        <v>1312.97</v>
      </c>
      <c r="C669" s="2">
        <v>1312.97</v>
      </c>
      <c r="D669" s="2">
        <v>1192.25</v>
      </c>
      <c r="E669" s="2">
        <v>2115411287057</v>
      </c>
      <c r="F669" s="2">
        <v>0</v>
      </c>
      <c r="G669">
        <v>704.13</v>
      </c>
      <c r="H669">
        <v>704.13</v>
      </c>
      <c r="I669">
        <v>639.71</v>
      </c>
      <c r="J669">
        <v>928907732961</v>
      </c>
      <c r="K669">
        <v>0</v>
      </c>
      <c r="L669" s="2">
        <f>VLOOKUP(A669,[1]aaabonddata!$A:$B,2,0)</f>
        <v>6.8</v>
      </c>
    </row>
    <row r="670" spans="1:12" x14ac:dyDescent="0.2">
      <c r="A670" s="3">
        <v>39738</v>
      </c>
      <c r="B670" s="2">
        <v>1311.72</v>
      </c>
      <c r="C670" s="2">
        <v>1367.89</v>
      </c>
      <c r="D670" s="2">
        <v>1278.95</v>
      </c>
      <c r="E670" s="2">
        <v>2113408138902</v>
      </c>
      <c r="F670" s="2">
        <v>0</v>
      </c>
      <c r="G670">
        <v>702.08</v>
      </c>
      <c r="H670">
        <v>731.83</v>
      </c>
      <c r="I670">
        <v>682.84</v>
      </c>
      <c r="J670">
        <v>926200599721</v>
      </c>
      <c r="K670">
        <v>0</v>
      </c>
      <c r="L670" s="2">
        <f>VLOOKUP(A670,[1]aaabonddata!$A:$B,2,0)</f>
        <v>6.91</v>
      </c>
    </row>
    <row r="671" spans="1:12" x14ac:dyDescent="0.2">
      <c r="A671" s="3">
        <v>39741</v>
      </c>
      <c r="B671" s="2">
        <v>1352.76</v>
      </c>
      <c r="C671" s="2">
        <v>1352.76</v>
      </c>
      <c r="D671" s="2">
        <v>1289.97</v>
      </c>
      <c r="E671" s="2">
        <v>2179521894904</v>
      </c>
      <c r="F671" s="2">
        <v>0</v>
      </c>
      <c r="G671">
        <v>726.8</v>
      </c>
      <c r="H671">
        <v>726.8</v>
      </c>
      <c r="I671">
        <v>695.79</v>
      </c>
      <c r="J671">
        <v>958816317443</v>
      </c>
      <c r="K671">
        <v>0</v>
      </c>
      <c r="L671" s="2">
        <f>VLOOKUP(A671,[1]aaabonddata!$A:$B,2,0)</f>
        <v>6.87</v>
      </c>
    </row>
    <row r="672" spans="1:12" x14ac:dyDescent="0.2">
      <c r="A672" s="3">
        <v>39742</v>
      </c>
      <c r="B672" s="2">
        <v>1283.43</v>
      </c>
      <c r="C672" s="2">
        <v>1351.61</v>
      </c>
      <c r="D672" s="2">
        <v>1281.73</v>
      </c>
      <c r="E672" s="2">
        <v>2067816783303</v>
      </c>
      <c r="F672" s="2">
        <v>0</v>
      </c>
      <c r="G672">
        <v>687.04</v>
      </c>
      <c r="H672">
        <v>719.88</v>
      </c>
      <c r="I672">
        <v>686.4</v>
      </c>
      <c r="J672">
        <v>906359827439</v>
      </c>
      <c r="K672">
        <v>0</v>
      </c>
      <c r="L672" s="2">
        <f>VLOOKUP(A672,[1]aaabonddata!$A:$B,2,0)</f>
        <v>6.66</v>
      </c>
    </row>
    <row r="673" spans="1:12" x14ac:dyDescent="0.2">
      <c r="A673" s="3">
        <v>39743</v>
      </c>
      <c r="B673" s="2">
        <v>1237.0899999999999</v>
      </c>
      <c r="C673" s="2">
        <v>1284.8499999999999</v>
      </c>
      <c r="D673" s="2">
        <v>1209.8399999999999</v>
      </c>
      <c r="E673" s="2">
        <v>1993154392860</v>
      </c>
      <c r="F673" s="2">
        <v>0</v>
      </c>
      <c r="G673">
        <v>656.35</v>
      </c>
      <c r="H673">
        <v>681.92</v>
      </c>
      <c r="I673">
        <v>641.12</v>
      </c>
      <c r="J673">
        <v>865878233462</v>
      </c>
      <c r="K673">
        <v>0</v>
      </c>
      <c r="L673" s="2">
        <f>VLOOKUP(A673,[1]aaabonddata!$A:$B,2,0)</f>
        <v>6.63</v>
      </c>
    </row>
    <row r="674" spans="1:12" x14ac:dyDescent="0.2">
      <c r="A674" s="3">
        <v>39744</v>
      </c>
      <c r="B674" s="2">
        <v>1239.1600000000001</v>
      </c>
      <c r="C674" s="2">
        <v>1264.04</v>
      </c>
      <c r="D674" s="2">
        <v>1177.17</v>
      </c>
      <c r="E674" s="2">
        <v>1996501908349</v>
      </c>
      <c r="F674" s="2">
        <v>0</v>
      </c>
      <c r="G674">
        <v>644.79</v>
      </c>
      <c r="H674">
        <v>659.91</v>
      </c>
      <c r="I674">
        <v>612.58000000000004</v>
      </c>
      <c r="J674">
        <v>850619636378</v>
      </c>
      <c r="K674">
        <v>0</v>
      </c>
      <c r="L674" s="2">
        <f>VLOOKUP(A674,[1]aaabonddata!$A:$B,2,0)</f>
        <v>6.62</v>
      </c>
    </row>
    <row r="675" spans="1:12" x14ac:dyDescent="0.2">
      <c r="A675" s="3">
        <v>39745</v>
      </c>
      <c r="B675" s="2">
        <v>1202.27</v>
      </c>
      <c r="C675" s="2">
        <v>1229</v>
      </c>
      <c r="D675" s="2">
        <v>1149.1199999999999</v>
      </c>
      <c r="E675" s="2">
        <v>1937060181971</v>
      </c>
      <c r="F675" s="2">
        <v>0</v>
      </c>
      <c r="G675">
        <v>627.33000000000004</v>
      </c>
      <c r="H675">
        <v>642.04</v>
      </c>
      <c r="I675">
        <v>593.77</v>
      </c>
      <c r="J675">
        <v>827586676934</v>
      </c>
      <c r="K675">
        <v>0</v>
      </c>
      <c r="L675" s="2">
        <f>VLOOKUP(A675,[1]aaabonddata!$A:$B,2,0)</f>
        <v>6.86</v>
      </c>
    </row>
    <row r="676" spans="1:12" x14ac:dyDescent="0.2">
      <c r="A676" s="3">
        <v>39748</v>
      </c>
      <c r="B676" s="2">
        <v>1169.78</v>
      </c>
      <c r="C676" s="2">
        <v>1227.46</v>
      </c>
      <c r="D676" s="2">
        <v>1167.7</v>
      </c>
      <c r="E676" s="2">
        <v>1884714313184</v>
      </c>
      <c r="F676" s="2">
        <v>0</v>
      </c>
      <c r="G676">
        <v>617.62</v>
      </c>
      <c r="H676">
        <v>646.19000000000005</v>
      </c>
      <c r="I676">
        <v>610.30999999999995</v>
      </c>
      <c r="J676">
        <v>814778579102</v>
      </c>
      <c r="K676">
        <v>0</v>
      </c>
      <c r="L676" s="2">
        <f>VLOOKUP(A676,[1]aaabonddata!$A:$B,2,0)</f>
        <v>6.91</v>
      </c>
    </row>
    <row r="677" spans="1:12" x14ac:dyDescent="0.2">
      <c r="A677" s="3">
        <v>39749</v>
      </c>
      <c r="B677" s="2">
        <v>1297.57</v>
      </c>
      <c r="C677" s="2">
        <v>1297.57</v>
      </c>
      <c r="D677" s="2">
        <v>1174.5899999999999</v>
      </c>
      <c r="E677" s="2">
        <v>2090605344500</v>
      </c>
      <c r="F677" s="2">
        <v>0</v>
      </c>
      <c r="G677">
        <v>682.8</v>
      </c>
      <c r="H677">
        <v>682.8</v>
      </c>
      <c r="I677">
        <v>618.67999999999995</v>
      </c>
      <c r="J677">
        <v>900771660981</v>
      </c>
      <c r="K677">
        <v>0</v>
      </c>
      <c r="L677" s="2">
        <f>VLOOKUP(A677,[1]aaabonddata!$A:$B,2,0)</f>
        <v>6.89</v>
      </c>
    </row>
    <row r="678" spans="1:12" x14ac:dyDescent="0.2">
      <c r="A678" s="3">
        <v>39750</v>
      </c>
      <c r="B678" s="2">
        <v>1302.1199999999999</v>
      </c>
      <c r="C678" s="2">
        <v>1343.84</v>
      </c>
      <c r="D678" s="2">
        <v>1272.19</v>
      </c>
      <c r="E678" s="2">
        <v>2097591936176</v>
      </c>
      <c r="F678" s="2">
        <v>206491523</v>
      </c>
      <c r="G678">
        <v>678.6</v>
      </c>
      <c r="H678">
        <v>698.69</v>
      </c>
      <c r="I678">
        <v>665.46</v>
      </c>
      <c r="J678">
        <v>895227243476</v>
      </c>
      <c r="K678">
        <v>0</v>
      </c>
      <c r="L678" s="2">
        <f>VLOOKUP(A678,[1]aaabonddata!$A:$B,2,0)</f>
        <v>6.88</v>
      </c>
    </row>
    <row r="679" spans="1:12" x14ac:dyDescent="0.2">
      <c r="A679" s="3">
        <v>39751</v>
      </c>
      <c r="B679" s="2">
        <v>1333.94</v>
      </c>
      <c r="C679" s="2">
        <v>1344.21</v>
      </c>
      <c r="D679" s="2">
        <v>1301</v>
      </c>
      <c r="E679" s="2">
        <v>2148851120630</v>
      </c>
      <c r="F679" s="2">
        <v>0</v>
      </c>
      <c r="G679">
        <v>692.67</v>
      </c>
      <c r="H679">
        <v>699.82</v>
      </c>
      <c r="I679">
        <v>675.69</v>
      </c>
      <c r="J679">
        <v>913787981343</v>
      </c>
      <c r="K679">
        <v>0</v>
      </c>
      <c r="L679" s="2">
        <f>VLOOKUP(A679,[1]aaabonddata!$A:$B,2,0)</f>
        <v>6.88</v>
      </c>
    </row>
    <row r="680" spans="1:12" x14ac:dyDescent="0.2">
      <c r="A680" s="3">
        <v>39752</v>
      </c>
      <c r="B680" s="2">
        <v>1334.78</v>
      </c>
      <c r="C680" s="2">
        <v>1358.75</v>
      </c>
      <c r="D680" s="2">
        <v>1306.02</v>
      </c>
      <c r="E680" s="2">
        <v>2150206210481</v>
      </c>
      <c r="F680" s="2">
        <v>0</v>
      </c>
      <c r="G680">
        <v>692.99</v>
      </c>
      <c r="H680">
        <v>704.55</v>
      </c>
      <c r="I680">
        <v>682.06</v>
      </c>
      <c r="J680">
        <v>914206465508</v>
      </c>
      <c r="K680">
        <v>0</v>
      </c>
      <c r="L680" s="2">
        <f>VLOOKUP(A680,[1]aaabonddata!$A:$B,2,0)</f>
        <v>6.95</v>
      </c>
    </row>
    <row r="681" spans="1:12" x14ac:dyDescent="0.2">
      <c r="A681" s="3">
        <v>39755</v>
      </c>
      <c r="B681" s="2">
        <v>1334.75</v>
      </c>
      <c r="C681" s="2">
        <v>1346.85</v>
      </c>
      <c r="D681" s="2">
        <v>1322.43</v>
      </c>
      <c r="E681" s="2">
        <v>2150154777312</v>
      </c>
      <c r="F681" s="2">
        <v>96443277</v>
      </c>
      <c r="G681">
        <v>692.21</v>
      </c>
      <c r="H681">
        <v>701.4</v>
      </c>
      <c r="I681">
        <v>686.4</v>
      </c>
      <c r="J681">
        <v>913186764051</v>
      </c>
      <c r="K681">
        <v>189828844</v>
      </c>
      <c r="L681" s="2">
        <f>VLOOKUP(A681,[1]aaabonddata!$A:$B,2,0)</f>
        <v>6.84</v>
      </c>
    </row>
    <row r="682" spans="1:12" x14ac:dyDescent="0.2">
      <c r="A682" s="3">
        <v>39756</v>
      </c>
      <c r="B682" s="2">
        <v>1378.4</v>
      </c>
      <c r="C682" s="2">
        <v>1382.65</v>
      </c>
      <c r="D682" s="2">
        <v>1342.3</v>
      </c>
      <c r="E682" s="2">
        <v>2220468904093</v>
      </c>
      <c r="F682" s="2">
        <v>0</v>
      </c>
      <c r="G682">
        <v>723.55</v>
      </c>
      <c r="H682">
        <v>723.59</v>
      </c>
      <c r="I682">
        <v>698.87</v>
      </c>
      <c r="J682">
        <v>954520985071</v>
      </c>
      <c r="K682">
        <v>0</v>
      </c>
      <c r="L682" s="2">
        <f>VLOOKUP(A682,[1]aaabonddata!$A:$B,2,0)</f>
        <v>6.67</v>
      </c>
    </row>
    <row r="683" spans="1:12" x14ac:dyDescent="0.2">
      <c r="A683" s="3">
        <v>39757</v>
      </c>
      <c r="B683" s="2">
        <v>1299.98</v>
      </c>
      <c r="C683" s="2">
        <v>1365.28</v>
      </c>
      <c r="D683" s="2">
        <v>1298.57</v>
      </c>
      <c r="E683" s="2">
        <v>2094147766863</v>
      </c>
      <c r="F683" s="2">
        <v>517710552</v>
      </c>
      <c r="G683">
        <v>687.02</v>
      </c>
      <c r="H683">
        <v>719.95</v>
      </c>
      <c r="I683">
        <v>686.3</v>
      </c>
      <c r="J683">
        <v>906332794740</v>
      </c>
      <c r="K683">
        <v>220499880</v>
      </c>
      <c r="L683" s="2">
        <f>VLOOKUP(A683,[1]aaabonddata!$A:$B,2,0)</f>
        <v>6.56</v>
      </c>
    </row>
    <row r="684" spans="1:12" x14ac:dyDescent="0.2">
      <c r="A684" s="3">
        <v>39758</v>
      </c>
      <c r="B684" s="2">
        <v>1241.97</v>
      </c>
      <c r="C684" s="2">
        <v>1294.73</v>
      </c>
      <c r="D684" s="2">
        <v>1235.8499999999999</v>
      </c>
      <c r="E684" s="2">
        <v>2000696925279</v>
      </c>
      <c r="F684" s="2">
        <v>39736321</v>
      </c>
      <c r="G684">
        <v>647.49</v>
      </c>
      <c r="H684">
        <v>684.01</v>
      </c>
      <c r="I684">
        <v>643.49</v>
      </c>
      <c r="J684">
        <v>854182465856</v>
      </c>
      <c r="K684">
        <v>78331883</v>
      </c>
      <c r="L684" s="2">
        <f>VLOOKUP(A684,[1]aaabonddata!$A:$B,2,0)</f>
        <v>6.55</v>
      </c>
    </row>
    <row r="685" spans="1:12" x14ac:dyDescent="0.2">
      <c r="A685" s="3">
        <v>39759</v>
      </c>
      <c r="B685" s="2">
        <v>1271.6199999999999</v>
      </c>
      <c r="C685" s="2">
        <v>1279.42</v>
      </c>
      <c r="D685" s="2">
        <v>1244.19</v>
      </c>
      <c r="E685" s="2">
        <v>2048469457607</v>
      </c>
      <c r="F685" s="2">
        <v>115575699</v>
      </c>
      <c r="G685">
        <v>663.41</v>
      </c>
      <c r="H685">
        <v>668.16</v>
      </c>
      <c r="I685">
        <v>649.87</v>
      </c>
      <c r="J685">
        <v>875187994656</v>
      </c>
      <c r="K685">
        <v>0</v>
      </c>
      <c r="L685" s="2">
        <f>VLOOKUP(A685,[1]aaabonddata!$A:$B,2,0)</f>
        <v>6.6</v>
      </c>
    </row>
    <row r="686" spans="1:12" x14ac:dyDescent="0.2">
      <c r="A686" s="3">
        <v>39762</v>
      </c>
      <c r="B686" s="2">
        <v>1251</v>
      </c>
      <c r="C686" s="2">
        <v>1298.0899999999999</v>
      </c>
      <c r="D686" s="2">
        <v>1237.1199999999999</v>
      </c>
      <c r="E686" s="2">
        <v>2018374011256</v>
      </c>
      <c r="F686" s="2">
        <v>78199120</v>
      </c>
      <c r="G686">
        <v>646.73</v>
      </c>
      <c r="H686">
        <v>678.99</v>
      </c>
      <c r="I686">
        <v>640.79</v>
      </c>
      <c r="J686">
        <v>853181368108</v>
      </c>
      <c r="K686">
        <v>113499064</v>
      </c>
      <c r="L686" s="2">
        <f>VLOOKUP(A686,[1]aaabonddata!$A:$B,2,0)</f>
        <v>6.49</v>
      </c>
    </row>
    <row r="687" spans="1:12" x14ac:dyDescent="0.2">
      <c r="A687" s="3">
        <v>39763</v>
      </c>
      <c r="B687" s="2">
        <v>1225.5899999999999</v>
      </c>
      <c r="C687" s="2">
        <v>1249.3499999999999</v>
      </c>
      <c r="D687" s="2">
        <v>1208.99</v>
      </c>
      <c r="E687" s="2">
        <v>1977376643096</v>
      </c>
      <c r="F687" s="2">
        <v>0</v>
      </c>
      <c r="G687">
        <v>630.4</v>
      </c>
      <c r="H687">
        <v>643.4</v>
      </c>
      <c r="I687">
        <v>621.97</v>
      </c>
      <c r="J687">
        <v>831636085299</v>
      </c>
      <c r="K687">
        <v>0</v>
      </c>
      <c r="L687" s="2">
        <f>VLOOKUP(A687,[1]aaabonddata!$A:$B,2,0)</f>
        <v>6.49</v>
      </c>
    </row>
    <row r="688" spans="1:12" x14ac:dyDescent="0.2">
      <c r="A688" s="3">
        <v>39764</v>
      </c>
      <c r="B688" s="2">
        <v>1165.3800000000001</v>
      </c>
      <c r="C688" s="2">
        <v>1210.98</v>
      </c>
      <c r="D688" s="2">
        <v>1164.93</v>
      </c>
      <c r="E688" s="2">
        <v>1879801216486</v>
      </c>
      <c r="F688" s="2">
        <v>283093356</v>
      </c>
      <c r="G688">
        <v>596.38</v>
      </c>
      <c r="H688">
        <v>623.80999999999995</v>
      </c>
      <c r="I688">
        <v>596.38</v>
      </c>
      <c r="J688">
        <v>786761349224</v>
      </c>
      <c r="K688">
        <v>592627837</v>
      </c>
      <c r="L688" s="2">
        <f>VLOOKUP(A688,[1]aaabonddata!$A:$B,2,0)</f>
        <v>6.31</v>
      </c>
    </row>
    <row r="689" spans="1:12" x14ac:dyDescent="0.2">
      <c r="A689" s="3">
        <v>39765</v>
      </c>
      <c r="B689" s="2">
        <v>1240.93</v>
      </c>
      <c r="C689" s="2">
        <v>1240.93</v>
      </c>
      <c r="D689" s="2">
        <v>1109.8900000000001</v>
      </c>
      <c r="E689" s="2">
        <v>2001671920392</v>
      </c>
      <c r="F689" s="2">
        <v>0</v>
      </c>
      <c r="G689">
        <v>636.79</v>
      </c>
      <c r="H689">
        <v>636.79</v>
      </c>
      <c r="I689">
        <v>563.77</v>
      </c>
      <c r="J689">
        <v>840072243702</v>
      </c>
      <c r="K689">
        <v>0</v>
      </c>
      <c r="L689" s="2">
        <f>VLOOKUP(A689,[1]aaabonddata!$A:$B,2,0)</f>
        <v>6.35</v>
      </c>
    </row>
    <row r="690" spans="1:12" x14ac:dyDescent="0.2">
      <c r="A690" s="3">
        <v>39769</v>
      </c>
      <c r="B690" s="2">
        <v>1151.96</v>
      </c>
      <c r="C690" s="2">
        <v>1187.98</v>
      </c>
      <c r="D690" s="2">
        <v>1149.2</v>
      </c>
      <c r="E690" s="2">
        <v>1858152067756</v>
      </c>
      <c r="F690" s="2">
        <v>0</v>
      </c>
      <c r="G690">
        <v>588.01</v>
      </c>
      <c r="H690">
        <v>607.20000000000005</v>
      </c>
      <c r="I690">
        <v>586.01</v>
      </c>
      <c r="J690">
        <v>775722608901</v>
      </c>
      <c r="K690">
        <v>0</v>
      </c>
      <c r="L690" s="2">
        <f>VLOOKUP(A690,[1]aaabonddata!$A:$B,2,0)</f>
        <v>6.26</v>
      </c>
    </row>
    <row r="691" spans="1:12" x14ac:dyDescent="0.2">
      <c r="A691" s="3">
        <v>39770</v>
      </c>
      <c r="B691" s="2">
        <v>1155.75</v>
      </c>
      <c r="C691" s="2">
        <v>1167.23</v>
      </c>
      <c r="D691" s="2">
        <v>1113.25</v>
      </c>
      <c r="E691" s="2">
        <v>1864268692650</v>
      </c>
      <c r="F691" s="2">
        <v>767326903</v>
      </c>
      <c r="G691">
        <v>587.66</v>
      </c>
      <c r="H691">
        <v>596.74</v>
      </c>
      <c r="I691">
        <v>566.82000000000005</v>
      </c>
      <c r="J691">
        <v>775252396540</v>
      </c>
      <c r="K691">
        <v>164518331</v>
      </c>
      <c r="L691" s="2">
        <f>VLOOKUP(A691,[1]aaabonddata!$A:$B,2,0)</f>
        <v>6.12</v>
      </c>
    </row>
    <row r="692" spans="1:12" x14ac:dyDescent="0.2">
      <c r="A692" s="3">
        <v>39771</v>
      </c>
      <c r="B692" s="2">
        <v>1087.5999999999999</v>
      </c>
      <c r="C692" s="2">
        <v>1168.53</v>
      </c>
      <c r="D692" s="2">
        <v>1087.5999999999999</v>
      </c>
      <c r="E692" s="2">
        <v>1752777305675</v>
      </c>
      <c r="F692" s="2">
        <v>0</v>
      </c>
      <c r="G692">
        <v>546.86</v>
      </c>
      <c r="H692">
        <v>592.75</v>
      </c>
      <c r="I692">
        <v>546.86</v>
      </c>
      <c r="J692">
        <v>721435479822</v>
      </c>
      <c r="K692">
        <v>0</v>
      </c>
      <c r="L692" s="2">
        <f>VLOOKUP(A692,[1]aaabonddata!$A:$B,2,0)</f>
        <v>6.11</v>
      </c>
    </row>
    <row r="693" spans="1:12" x14ac:dyDescent="0.2">
      <c r="A693" s="3">
        <v>39772</v>
      </c>
      <c r="B693" s="2">
        <v>1036.51</v>
      </c>
      <c r="C693" s="2">
        <v>1114.98</v>
      </c>
      <c r="D693" s="2">
        <v>1035.25</v>
      </c>
      <c r="E693" s="2">
        <v>1670434944418</v>
      </c>
      <c r="F693" s="2">
        <v>59145937</v>
      </c>
      <c r="G693">
        <v>525.91999999999996</v>
      </c>
      <c r="H693">
        <v>566.63</v>
      </c>
      <c r="I693">
        <v>525.65</v>
      </c>
      <c r="J693">
        <v>693808542627</v>
      </c>
      <c r="K693">
        <v>144141795</v>
      </c>
      <c r="L693" s="2">
        <f>VLOOKUP(A693,[1]aaabonddata!$A:$B,2,0)</f>
        <v>6.1</v>
      </c>
    </row>
    <row r="694" spans="1:12" x14ac:dyDescent="0.2">
      <c r="A694" s="3">
        <v>39773</v>
      </c>
      <c r="B694" s="2">
        <v>1085.57</v>
      </c>
      <c r="C694" s="2">
        <v>1085.57</v>
      </c>
      <c r="D694" s="2">
        <v>1018.86</v>
      </c>
      <c r="E694" s="2">
        <v>1749504026870</v>
      </c>
      <c r="F694" s="2">
        <v>0</v>
      </c>
      <c r="G694">
        <v>552.58000000000004</v>
      </c>
      <c r="H694">
        <v>552.58000000000004</v>
      </c>
      <c r="I694">
        <v>516.22</v>
      </c>
      <c r="J694">
        <v>728977950498</v>
      </c>
      <c r="K694">
        <v>0</v>
      </c>
      <c r="L694" s="2">
        <f>VLOOKUP(A694,[1]aaabonddata!$A:$B,2,0)</f>
        <v>6.28</v>
      </c>
    </row>
    <row r="695" spans="1:12" x14ac:dyDescent="0.2">
      <c r="A695" s="3">
        <v>39776</v>
      </c>
      <c r="B695" s="2">
        <v>1154.3399999999999</v>
      </c>
      <c r="C695" s="2">
        <v>1163.05</v>
      </c>
      <c r="D695" s="2">
        <v>1096.55</v>
      </c>
      <c r="E695" s="2">
        <v>1860326575322</v>
      </c>
      <c r="F695" s="2">
        <v>0</v>
      </c>
      <c r="G695">
        <v>589.07000000000005</v>
      </c>
      <c r="H695">
        <v>592.33000000000004</v>
      </c>
      <c r="I695">
        <v>555.59</v>
      </c>
      <c r="J695">
        <v>777120883503</v>
      </c>
      <c r="K695">
        <v>0</v>
      </c>
      <c r="L695" s="2">
        <f>VLOOKUP(A695,[1]aaabonddata!$A:$B,2,0)</f>
        <v>6.21</v>
      </c>
    </row>
    <row r="696" spans="1:12" x14ac:dyDescent="0.2">
      <c r="A696" s="3">
        <v>39777</v>
      </c>
      <c r="B696" s="2">
        <v>1142.58</v>
      </c>
      <c r="C696" s="2">
        <v>1164.5999999999999</v>
      </c>
      <c r="D696" s="2">
        <v>1118.28</v>
      </c>
      <c r="E696" s="2">
        <v>1841373655559</v>
      </c>
      <c r="F696" s="2">
        <v>0</v>
      </c>
      <c r="G696">
        <v>579.70000000000005</v>
      </c>
      <c r="H696">
        <v>592.49</v>
      </c>
      <c r="I696">
        <v>567.35</v>
      </c>
      <c r="J696">
        <v>764753791488</v>
      </c>
      <c r="K696">
        <v>0</v>
      </c>
      <c r="L696" s="2">
        <f>VLOOKUP(A696,[1]aaabonddata!$A:$B,2,0)</f>
        <v>6.05</v>
      </c>
    </row>
    <row r="697" spans="1:12" x14ac:dyDescent="0.2">
      <c r="A697" s="3">
        <v>39778</v>
      </c>
      <c r="B697" s="2">
        <v>1193.0899999999999</v>
      </c>
      <c r="C697" s="2">
        <v>1193.0899999999999</v>
      </c>
      <c r="D697" s="2">
        <v>1126.95</v>
      </c>
      <c r="E697" s="2">
        <v>1923554818494</v>
      </c>
      <c r="F697" s="2">
        <v>363247821</v>
      </c>
      <c r="G697">
        <v>612.76</v>
      </c>
      <c r="H697">
        <v>613.65</v>
      </c>
      <c r="I697">
        <v>572.64</v>
      </c>
      <c r="J697">
        <v>808373909527</v>
      </c>
      <c r="K697">
        <v>0</v>
      </c>
      <c r="L697" s="2">
        <f>VLOOKUP(A697,[1]aaabonddata!$A:$B,2,0)</f>
        <v>5.96</v>
      </c>
    </row>
    <row r="698" spans="1:12" x14ac:dyDescent="0.2">
      <c r="A698" s="3">
        <v>39780</v>
      </c>
      <c r="B698" s="2">
        <v>1185.75</v>
      </c>
      <c r="C698" s="2">
        <v>1185.99</v>
      </c>
      <c r="D698" s="2">
        <v>1171.82</v>
      </c>
      <c r="E698" s="2">
        <v>1911727298475</v>
      </c>
      <c r="F698" s="2">
        <v>37400324</v>
      </c>
      <c r="G698">
        <v>610.19000000000005</v>
      </c>
      <c r="H698">
        <v>610.19000000000005</v>
      </c>
      <c r="I698">
        <v>601.20000000000005</v>
      </c>
      <c r="J698">
        <v>804984000539</v>
      </c>
      <c r="K698">
        <v>58752456</v>
      </c>
      <c r="L698" s="2">
        <f>VLOOKUP(A698,[1]aaabonddata!$A:$B,2,0)</f>
        <v>5.95</v>
      </c>
    </row>
    <row r="699" spans="1:12" x14ac:dyDescent="0.2">
      <c r="A699" s="3">
        <v>39783</v>
      </c>
      <c r="B699" s="2">
        <v>1091.1600000000001</v>
      </c>
      <c r="C699" s="2">
        <v>1156.53</v>
      </c>
      <c r="D699" s="2">
        <v>1091.1600000000001</v>
      </c>
      <c r="E699" s="2">
        <v>1759214046773</v>
      </c>
      <c r="F699" s="2">
        <v>0</v>
      </c>
      <c r="G699">
        <v>558.17999999999995</v>
      </c>
      <c r="H699">
        <v>594.29999999999995</v>
      </c>
      <c r="I699">
        <v>558.17999999999995</v>
      </c>
      <c r="J699">
        <v>736368337736</v>
      </c>
      <c r="K699">
        <v>0</v>
      </c>
      <c r="L699" s="2">
        <f>VLOOKUP(A699,[1]aaabonddata!$A:$B,2,0)</f>
        <v>5.78</v>
      </c>
    </row>
    <row r="700" spans="1:12" x14ac:dyDescent="0.2">
      <c r="A700" s="3">
        <v>39784</v>
      </c>
      <c r="B700" s="2">
        <v>1130</v>
      </c>
      <c r="C700" s="2">
        <v>1132.93</v>
      </c>
      <c r="D700" s="2">
        <v>1091.04</v>
      </c>
      <c r="E700" s="2">
        <v>1821836864650</v>
      </c>
      <c r="F700" s="2">
        <v>0</v>
      </c>
      <c r="G700">
        <v>577.16999999999996</v>
      </c>
      <c r="H700">
        <v>579</v>
      </c>
      <c r="I700">
        <v>555.37</v>
      </c>
      <c r="J700">
        <v>761422419968</v>
      </c>
      <c r="K700">
        <v>0</v>
      </c>
      <c r="L700" s="2">
        <f>VLOOKUP(A700,[1]aaabonddata!$A:$B,2,0)</f>
        <v>5.76</v>
      </c>
    </row>
    <row r="701" spans="1:12" x14ac:dyDescent="0.2">
      <c r="A701" s="3">
        <v>39785</v>
      </c>
      <c r="B701" s="2">
        <v>1166.2</v>
      </c>
      <c r="C701" s="2">
        <v>1166.2</v>
      </c>
      <c r="D701" s="2">
        <v>1101.6300000000001</v>
      </c>
      <c r="E701" s="2">
        <v>1880127069763</v>
      </c>
      <c r="F701" s="2">
        <v>110498361</v>
      </c>
      <c r="G701">
        <v>599.51</v>
      </c>
      <c r="H701">
        <v>599.51</v>
      </c>
      <c r="I701">
        <v>562.35</v>
      </c>
      <c r="J701">
        <v>790890832595</v>
      </c>
      <c r="K701">
        <v>0</v>
      </c>
      <c r="L701" s="2">
        <f>VLOOKUP(A701,[1]aaabonddata!$A:$B,2,0)</f>
        <v>5.72</v>
      </c>
    </row>
    <row r="702" spans="1:12" x14ac:dyDescent="0.2">
      <c r="A702" s="3">
        <v>39786</v>
      </c>
      <c r="B702" s="2">
        <v>1127.75</v>
      </c>
      <c r="C702" s="2">
        <v>1168.6500000000001</v>
      </c>
      <c r="D702" s="2">
        <v>1110.6600000000001</v>
      </c>
      <c r="E702" s="2">
        <v>1818131820734</v>
      </c>
      <c r="F702" s="2">
        <v>0</v>
      </c>
      <c r="G702">
        <v>567.63</v>
      </c>
      <c r="H702">
        <v>594.66</v>
      </c>
      <c r="I702">
        <v>558.21</v>
      </c>
      <c r="J702">
        <v>748834025422</v>
      </c>
      <c r="K702">
        <v>0</v>
      </c>
      <c r="L702" s="2">
        <f>VLOOKUP(A702,[1]aaabonddata!$A:$B,2,0)</f>
        <v>5.64</v>
      </c>
    </row>
    <row r="703" spans="1:12" x14ac:dyDescent="0.2">
      <c r="A703" s="3">
        <v>39787</v>
      </c>
      <c r="B703" s="2">
        <v>1177.8699999999999</v>
      </c>
      <c r="C703" s="2">
        <v>1180.0899999999999</v>
      </c>
      <c r="D703" s="2">
        <v>1096.0899999999999</v>
      </c>
      <c r="E703" s="2">
        <v>1898936056271</v>
      </c>
      <c r="F703" s="2">
        <v>0</v>
      </c>
      <c r="G703">
        <v>597.16999999999996</v>
      </c>
      <c r="H703">
        <v>598</v>
      </c>
      <c r="I703">
        <v>550.59</v>
      </c>
      <c r="J703">
        <v>787804559433</v>
      </c>
      <c r="K703">
        <v>0</v>
      </c>
      <c r="L703" s="2">
        <f>VLOOKUP(A703,[1]aaabonddata!$A:$B,2,0)</f>
        <v>5.73</v>
      </c>
    </row>
    <row r="704" spans="1:12" x14ac:dyDescent="0.2">
      <c r="A704" s="3">
        <v>39790</v>
      </c>
      <c r="B704" s="2">
        <v>1225.06</v>
      </c>
      <c r="C704" s="2">
        <v>1237.18</v>
      </c>
      <c r="D704" s="2">
        <v>1196.9100000000001</v>
      </c>
      <c r="E704" s="2">
        <v>1975026371591</v>
      </c>
      <c r="F704" s="2">
        <v>0</v>
      </c>
      <c r="G704">
        <v>621.76</v>
      </c>
      <c r="H704">
        <v>627.80999999999995</v>
      </c>
      <c r="I704">
        <v>603.51</v>
      </c>
      <c r="J704">
        <v>820246646865</v>
      </c>
      <c r="K704">
        <v>0</v>
      </c>
      <c r="L704" s="2">
        <f>VLOOKUP(A704,[1]aaabonddata!$A:$B,2,0)</f>
        <v>5.78</v>
      </c>
    </row>
    <row r="705" spans="1:12" x14ac:dyDescent="0.2">
      <c r="A705" s="3">
        <v>39791</v>
      </c>
      <c r="B705" s="2">
        <v>1212.45</v>
      </c>
      <c r="C705" s="2">
        <v>1251.56</v>
      </c>
      <c r="D705" s="2">
        <v>1202.1400000000001</v>
      </c>
      <c r="E705" s="2">
        <v>1954694017087</v>
      </c>
      <c r="F705" s="2">
        <v>594813044</v>
      </c>
      <c r="G705">
        <v>629.66</v>
      </c>
      <c r="H705">
        <v>652.12</v>
      </c>
      <c r="I705">
        <v>608.73</v>
      </c>
      <c r="J705">
        <v>830667481724</v>
      </c>
      <c r="K705">
        <v>108951482</v>
      </c>
      <c r="L705" s="2">
        <f>VLOOKUP(A705,[1]aaabonddata!$A:$B,2,0)</f>
        <v>5.66</v>
      </c>
    </row>
    <row r="706" spans="1:12" x14ac:dyDescent="0.2">
      <c r="A706" s="3">
        <v>39792</v>
      </c>
      <c r="B706" s="2">
        <v>1222.3800000000001</v>
      </c>
      <c r="C706" s="2">
        <v>1236.53</v>
      </c>
      <c r="D706" s="2">
        <v>1203.72</v>
      </c>
      <c r="E706" s="2">
        <v>1970694832481</v>
      </c>
      <c r="F706" s="2">
        <v>26888920</v>
      </c>
      <c r="G706">
        <v>639.4</v>
      </c>
      <c r="H706">
        <v>651.09</v>
      </c>
      <c r="I706">
        <v>628.97</v>
      </c>
      <c r="J706">
        <v>843507260440</v>
      </c>
      <c r="K706">
        <v>0</v>
      </c>
      <c r="L706" s="2">
        <f>VLOOKUP(A706,[1]aaabonddata!$A:$B,2,0)</f>
        <v>5.65</v>
      </c>
    </row>
    <row r="707" spans="1:12" x14ac:dyDescent="0.2">
      <c r="A707" s="3">
        <v>39793</v>
      </c>
      <c r="B707" s="2">
        <v>1180.46</v>
      </c>
      <c r="C707" s="2">
        <v>1229.02</v>
      </c>
      <c r="D707" s="2">
        <v>1176.1099999999999</v>
      </c>
      <c r="E707" s="2">
        <v>1903113204487</v>
      </c>
      <c r="F707" s="2">
        <v>0</v>
      </c>
      <c r="G707">
        <v>616.62</v>
      </c>
      <c r="H707">
        <v>643.59</v>
      </c>
      <c r="I707">
        <v>612.87</v>
      </c>
      <c r="J707">
        <v>813458993775</v>
      </c>
      <c r="K707">
        <v>0</v>
      </c>
      <c r="L707" s="2">
        <f>VLOOKUP(A707,[1]aaabonddata!$A:$B,2,0)</f>
        <v>5.56</v>
      </c>
    </row>
    <row r="708" spans="1:12" x14ac:dyDescent="0.2">
      <c r="A708" s="3">
        <v>39794</v>
      </c>
      <c r="B708" s="2">
        <v>1206.6500000000001</v>
      </c>
      <c r="C708" s="2">
        <v>1212</v>
      </c>
      <c r="D708" s="2">
        <v>1157.1500000000001</v>
      </c>
      <c r="E708" s="2">
        <v>1945336285039</v>
      </c>
      <c r="F708" s="2">
        <v>0</v>
      </c>
      <c r="G708">
        <v>635.55999999999995</v>
      </c>
      <c r="H708">
        <v>637.55999999999995</v>
      </c>
      <c r="I708">
        <v>604.29999999999995</v>
      </c>
      <c r="J708">
        <v>838448526649</v>
      </c>
      <c r="K708">
        <v>0</v>
      </c>
      <c r="L708" s="2">
        <f>VLOOKUP(A708,[1]aaabonddata!$A:$B,2,0)</f>
        <v>5.52</v>
      </c>
    </row>
    <row r="709" spans="1:12" x14ac:dyDescent="0.2">
      <c r="A709" s="3">
        <v>39797</v>
      </c>
      <c r="B709" s="2">
        <v>1181.8699999999999</v>
      </c>
      <c r="C709" s="2">
        <v>1206.8800000000001</v>
      </c>
      <c r="D709" s="2">
        <v>1167.45</v>
      </c>
      <c r="E709" s="2">
        <v>1905386119432</v>
      </c>
      <c r="F709" s="2">
        <v>0</v>
      </c>
      <c r="G709">
        <v>622.14</v>
      </c>
      <c r="H709">
        <v>635.01</v>
      </c>
      <c r="I709">
        <v>612.61</v>
      </c>
      <c r="J709">
        <v>820737603381</v>
      </c>
      <c r="K709">
        <v>0</v>
      </c>
      <c r="L709" s="2">
        <f>VLOOKUP(A709,[1]aaabonddata!$A:$B,2,0)</f>
        <v>5.49</v>
      </c>
    </row>
    <row r="710" spans="1:12" x14ac:dyDescent="0.2">
      <c r="A710" s="3">
        <v>39798</v>
      </c>
      <c r="B710" s="2">
        <v>1243.49</v>
      </c>
      <c r="C710" s="2">
        <v>1244.81</v>
      </c>
      <c r="D710" s="2">
        <v>1194.6300000000001</v>
      </c>
      <c r="E710" s="2">
        <v>2004740256853</v>
      </c>
      <c r="F710" s="2">
        <v>0</v>
      </c>
      <c r="G710">
        <v>657.42</v>
      </c>
      <c r="H710">
        <v>658.99</v>
      </c>
      <c r="I710">
        <v>628.91999999999996</v>
      </c>
      <c r="J710">
        <v>867278857492</v>
      </c>
      <c r="K710">
        <v>0</v>
      </c>
      <c r="L710" s="2">
        <f>VLOOKUP(A710,[1]aaabonddata!$A:$B,2,0)</f>
        <v>5.34</v>
      </c>
    </row>
    <row r="711" spans="1:12" x14ac:dyDescent="0.2">
      <c r="A711" s="3">
        <v>39799</v>
      </c>
      <c r="B711" s="2">
        <v>1225.8599999999999</v>
      </c>
      <c r="C711" s="2">
        <v>1242.18</v>
      </c>
      <c r="D711" s="2">
        <v>1211.46</v>
      </c>
      <c r="E711" s="2">
        <v>1976313261766</v>
      </c>
      <c r="F711" s="2">
        <v>76502224</v>
      </c>
      <c r="G711">
        <v>654.54</v>
      </c>
      <c r="H711">
        <v>664.71</v>
      </c>
      <c r="I711">
        <v>642.16999999999996</v>
      </c>
      <c r="J711">
        <v>863479030367</v>
      </c>
      <c r="K711">
        <v>0</v>
      </c>
      <c r="L711" s="2">
        <f>VLOOKUP(A711,[1]aaabonddata!$A:$B,2,0)</f>
        <v>5.22</v>
      </c>
    </row>
    <row r="712" spans="1:12" x14ac:dyDescent="0.2">
      <c r="A712" s="3">
        <v>39800</v>
      </c>
      <c r="B712" s="2">
        <v>1204.69</v>
      </c>
      <c r="C712" s="2">
        <v>1234.1400000000001</v>
      </c>
      <c r="D712" s="2">
        <v>1192.7</v>
      </c>
      <c r="E712" s="2">
        <v>1942187273066</v>
      </c>
      <c r="F712" s="2">
        <v>0</v>
      </c>
      <c r="G712">
        <v>630.69000000000005</v>
      </c>
      <c r="H712">
        <v>656.24</v>
      </c>
      <c r="I712">
        <v>623.42999999999995</v>
      </c>
      <c r="J712">
        <v>832016598201</v>
      </c>
      <c r="K712">
        <v>0</v>
      </c>
      <c r="L712" s="2">
        <f>VLOOKUP(A712,[1]aaabonddata!$A:$B,2,0)</f>
        <v>5.04</v>
      </c>
    </row>
    <row r="713" spans="1:12" x14ac:dyDescent="0.2">
      <c r="A713" s="3">
        <v>39801</v>
      </c>
      <c r="B713" s="2">
        <v>1217.19</v>
      </c>
      <c r="C713" s="2">
        <v>1235.24</v>
      </c>
      <c r="D713" s="2">
        <v>1210.9100000000001</v>
      </c>
      <c r="E713" s="2">
        <v>1962328969400</v>
      </c>
      <c r="F713" s="2">
        <v>0</v>
      </c>
      <c r="G713">
        <v>640.75</v>
      </c>
      <c r="H713">
        <v>650.16999999999996</v>
      </c>
      <c r="I713">
        <v>637.66</v>
      </c>
      <c r="J713">
        <v>845294827915</v>
      </c>
      <c r="K713">
        <v>0</v>
      </c>
      <c r="L713" s="2">
        <f>VLOOKUP(A713,[1]aaabonddata!$A:$B,2,0)</f>
        <v>5.0599999999999996</v>
      </c>
    </row>
    <row r="714" spans="1:12" x14ac:dyDescent="0.2">
      <c r="A714" s="3">
        <v>39804</v>
      </c>
      <c r="B714" s="2">
        <v>1189.1500000000001</v>
      </c>
      <c r="C714" s="2">
        <v>1214.55</v>
      </c>
      <c r="D714" s="2">
        <v>1169.23</v>
      </c>
      <c r="E714" s="2">
        <v>1985099823050</v>
      </c>
      <c r="F714" s="2">
        <v>0</v>
      </c>
      <c r="G714">
        <v>622.59</v>
      </c>
      <c r="H714">
        <v>640.1</v>
      </c>
      <c r="I714">
        <v>610.97</v>
      </c>
      <c r="J714">
        <v>3789479066</v>
      </c>
      <c r="K714">
        <v>0</v>
      </c>
      <c r="L714" s="2">
        <f>VLOOKUP(A714,[1]aaabonddata!$A:$B,2,0)</f>
        <v>5.05</v>
      </c>
    </row>
    <row r="715" spans="1:12" x14ac:dyDescent="0.2">
      <c r="A715" s="3">
        <v>39805</v>
      </c>
      <c r="B715" s="2">
        <v>1183.19</v>
      </c>
      <c r="C715" s="2">
        <v>1204.6099999999999</v>
      </c>
      <c r="D715" s="2">
        <v>1175.8399999999999</v>
      </c>
      <c r="E715" s="2">
        <v>1975157814796</v>
      </c>
      <c r="F715" s="2">
        <v>0</v>
      </c>
      <c r="G715">
        <v>616.09</v>
      </c>
      <c r="H715">
        <v>629.84</v>
      </c>
      <c r="I715">
        <v>611.48</v>
      </c>
      <c r="J715">
        <v>3749926913</v>
      </c>
      <c r="K715">
        <v>0</v>
      </c>
      <c r="L715" s="2">
        <f>VLOOKUP(A715,[1]aaabonddata!$A:$B,2,0)</f>
        <v>5.07</v>
      </c>
    </row>
    <row r="716" spans="1:12" x14ac:dyDescent="0.2">
      <c r="A716" s="3">
        <v>39806</v>
      </c>
      <c r="B716" s="2">
        <v>1184.3</v>
      </c>
      <c r="C716" s="2">
        <v>1187.98</v>
      </c>
      <c r="D716" s="2">
        <v>1179.29</v>
      </c>
      <c r="E716" s="2">
        <v>1976998725213</v>
      </c>
      <c r="F716" s="2">
        <v>13429697</v>
      </c>
      <c r="G716">
        <v>616.26</v>
      </c>
      <c r="H716">
        <v>618.36</v>
      </c>
      <c r="I716">
        <v>613.54</v>
      </c>
      <c r="J716">
        <v>3750935348</v>
      </c>
      <c r="K716">
        <v>0</v>
      </c>
      <c r="L716" s="2">
        <f>VLOOKUP(A716,[1]aaabonddata!$A:$B,2,0)</f>
        <v>5.07</v>
      </c>
    </row>
    <row r="717" spans="1:12" x14ac:dyDescent="0.2">
      <c r="A717" s="3">
        <v>39808</v>
      </c>
      <c r="B717" s="2">
        <v>1185.44</v>
      </c>
      <c r="C717" s="2">
        <v>1190.53</v>
      </c>
      <c r="D717" s="2">
        <v>1178.68</v>
      </c>
      <c r="E717" s="2">
        <v>1978918350291</v>
      </c>
      <c r="F717" s="2">
        <v>0</v>
      </c>
      <c r="G717">
        <v>613.72</v>
      </c>
      <c r="H717">
        <v>616.62</v>
      </c>
      <c r="I717">
        <v>609.80999999999995</v>
      </c>
      <c r="J717">
        <v>3735489223</v>
      </c>
      <c r="K717">
        <v>0</v>
      </c>
      <c r="L717" s="2">
        <f>VLOOKUP(A717,[1]aaabonddata!$A:$B,2,0)</f>
        <v>5.04</v>
      </c>
    </row>
    <row r="718" spans="1:12" x14ac:dyDescent="0.2">
      <c r="A718" s="3">
        <v>39811</v>
      </c>
      <c r="B718" s="2">
        <v>1173.1500000000001</v>
      </c>
      <c r="C718" s="2">
        <v>1188.05</v>
      </c>
      <c r="D718" s="2">
        <v>1158.07</v>
      </c>
      <c r="E718" s="2">
        <v>1958395842856</v>
      </c>
      <c r="F718" s="2">
        <v>35193754</v>
      </c>
      <c r="G718">
        <v>609.29</v>
      </c>
      <c r="H718">
        <v>616.66</v>
      </c>
      <c r="I718">
        <v>600.35</v>
      </c>
      <c r="J718">
        <v>3708507627</v>
      </c>
      <c r="K718">
        <v>0</v>
      </c>
      <c r="L718" s="2">
        <f>VLOOKUP(A718,[1]aaabonddata!$A:$B,2,0)</f>
        <v>4.9400000000000004</v>
      </c>
    </row>
    <row r="719" spans="1:12" x14ac:dyDescent="0.2">
      <c r="A719" s="3">
        <v>39812</v>
      </c>
      <c r="B719" s="2">
        <v>1201.3399999999999</v>
      </c>
      <c r="C719" s="2">
        <v>1203.4100000000001</v>
      </c>
      <c r="D719" s="2">
        <v>1177.92</v>
      </c>
      <c r="E719" s="2">
        <v>2005445293867</v>
      </c>
      <c r="F719" s="2">
        <v>0</v>
      </c>
      <c r="G719">
        <v>627.38</v>
      </c>
      <c r="H719">
        <v>627.61</v>
      </c>
      <c r="I719">
        <v>612.20000000000005</v>
      </c>
      <c r="J719">
        <v>3818616945</v>
      </c>
      <c r="K719">
        <v>0</v>
      </c>
      <c r="L719" s="2">
        <f>VLOOKUP(A719,[1]aaabonddata!$A:$B,2,0)</f>
        <v>4.92</v>
      </c>
    </row>
    <row r="720" spans="1:12" x14ac:dyDescent="0.2">
      <c r="A720" s="3">
        <v>39813</v>
      </c>
      <c r="B720" s="2">
        <v>1211.6500000000001</v>
      </c>
      <c r="C720" s="2">
        <v>1223.46</v>
      </c>
      <c r="D720" s="2">
        <v>1199.53</v>
      </c>
      <c r="E720" s="2">
        <v>2022083059986</v>
      </c>
      <c r="F720" s="2">
        <v>0</v>
      </c>
      <c r="G720">
        <v>633.5</v>
      </c>
      <c r="H720">
        <v>639.85</v>
      </c>
      <c r="I720">
        <v>625.27</v>
      </c>
      <c r="J720">
        <v>3855894931</v>
      </c>
      <c r="K720">
        <v>0</v>
      </c>
      <c r="L720" s="2">
        <f>VLOOKUP(A720,[1]aaabonddata!$A:$B,2,0)</f>
        <v>5.07</v>
      </c>
    </row>
    <row r="721" spans="1:12" x14ac:dyDescent="0.2">
      <c r="A721" s="3">
        <v>39815</v>
      </c>
      <c r="B721" s="2">
        <v>1263.7</v>
      </c>
      <c r="C721" s="2">
        <v>1266.45</v>
      </c>
      <c r="D721" s="2">
        <v>1208.9100000000001</v>
      </c>
      <c r="E721" s="2">
        <v>2108945634004</v>
      </c>
      <c r="F721" s="2">
        <v>0</v>
      </c>
      <c r="G721">
        <v>664.19</v>
      </c>
      <c r="H721">
        <v>665.85</v>
      </c>
      <c r="I721">
        <v>631.97</v>
      </c>
      <c r="J721">
        <v>4042648975</v>
      </c>
      <c r="K721">
        <v>0</v>
      </c>
      <c r="L721" s="2">
        <f>VLOOKUP(A721,[1]aaabonddata!$A:$B,2,0)</f>
        <v>5.22</v>
      </c>
    </row>
    <row r="722" spans="1:12" x14ac:dyDescent="0.2">
      <c r="A722" s="3">
        <v>39818</v>
      </c>
      <c r="B722" s="2">
        <v>1262.52</v>
      </c>
      <c r="C722" s="2">
        <v>1274.1099999999999</v>
      </c>
      <c r="D722" s="2">
        <v>1244.8900000000001</v>
      </c>
      <c r="E722" s="2">
        <v>2106964064535</v>
      </c>
      <c r="F722" s="2">
        <v>169363391</v>
      </c>
      <c r="G722">
        <v>665.95</v>
      </c>
      <c r="H722">
        <v>672.94</v>
      </c>
      <c r="I722">
        <v>654.6</v>
      </c>
      <c r="J722">
        <v>4053388398</v>
      </c>
      <c r="K722">
        <v>0</v>
      </c>
      <c r="L722" s="2">
        <f>VLOOKUP(A722,[1]aaabonddata!$A:$B,2,0)</f>
        <v>5.19</v>
      </c>
    </row>
    <row r="723" spans="1:12" x14ac:dyDescent="0.2">
      <c r="A723" s="3">
        <v>39819</v>
      </c>
      <c r="B723" s="2">
        <v>1274.49</v>
      </c>
      <c r="C723" s="2">
        <v>1286.08</v>
      </c>
      <c r="D723" s="2">
        <v>1265.53</v>
      </c>
      <c r="E723" s="2">
        <v>2126940975868</v>
      </c>
      <c r="F723" s="2">
        <v>0</v>
      </c>
      <c r="G723">
        <v>687.13</v>
      </c>
      <c r="H723">
        <v>694.5</v>
      </c>
      <c r="I723">
        <v>670.08</v>
      </c>
      <c r="J723">
        <v>4182297132</v>
      </c>
      <c r="K723">
        <v>0</v>
      </c>
      <c r="L723" s="2">
        <f>VLOOKUP(A723,[1]aaabonddata!$A:$B,2,0)</f>
        <v>5.32</v>
      </c>
    </row>
    <row r="724" spans="1:12" x14ac:dyDescent="0.2">
      <c r="A724" s="3">
        <v>39820</v>
      </c>
      <c r="B724" s="2">
        <v>1238.5999999999999</v>
      </c>
      <c r="C724" s="2">
        <v>1256.3399999999999</v>
      </c>
      <c r="D724" s="2">
        <v>1228.32</v>
      </c>
      <c r="E724" s="2">
        <v>2067059403420</v>
      </c>
      <c r="F724" s="2">
        <v>0</v>
      </c>
      <c r="G724">
        <v>662.74</v>
      </c>
      <c r="H724">
        <v>673.99</v>
      </c>
      <c r="I724">
        <v>657.27</v>
      </c>
      <c r="J724">
        <v>4033834809</v>
      </c>
      <c r="K724">
        <v>0</v>
      </c>
      <c r="L724" s="2">
        <f>VLOOKUP(A724,[1]aaabonddata!$A:$B,2,0)</f>
        <v>5.29</v>
      </c>
    </row>
    <row r="725" spans="1:12" x14ac:dyDescent="0.2">
      <c r="A725" s="3">
        <v>39821</v>
      </c>
      <c r="B725" s="2">
        <v>1252.52</v>
      </c>
      <c r="C725" s="2">
        <v>1252.52</v>
      </c>
      <c r="D725" s="2">
        <v>1223.81</v>
      </c>
      <c r="E725" s="2">
        <v>2090274460767</v>
      </c>
      <c r="F725" s="2">
        <v>0</v>
      </c>
      <c r="G725">
        <v>665.1</v>
      </c>
      <c r="H725">
        <v>665.37</v>
      </c>
      <c r="I725">
        <v>648.54</v>
      </c>
      <c r="J725">
        <v>4048199594</v>
      </c>
      <c r="K725">
        <v>0</v>
      </c>
      <c r="L725" s="2">
        <f>VLOOKUP(A725,[1]aaabonddata!$A:$B,2,0)</f>
        <v>5.28</v>
      </c>
    </row>
    <row r="726" spans="1:12" x14ac:dyDescent="0.2">
      <c r="A726" s="3">
        <v>39822</v>
      </c>
      <c r="B726" s="2">
        <v>1223.01</v>
      </c>
      <c r="C726" s="2">
        <v>1252.95</v>
      </c>
      <c r="D726" s="2">
        <v>1217.5899999999999</v>
      </c>
      <c r="E726" s="2">
        <v>2041038583695</v>
      </c>
      <c r="F726" s="2">
        <v>0</v>
      </c>
      <c r="G726">
        <v>649.27</v>
      </c>
      <c r="H726">
        <v>665.4</v>
      </c>
      <c r="I726">
        <v>642.13</v>
      </c>
      <c r="J726">
        <v>3951857631</v>
      </c>
      <c r="K726">
        <v>0</v>
      </c>
      <c r="L726" s="2">
        <f>VLOOKUP(A726,[1]aaabonddata!$A:$B,2,0)</f>
        <v>5.23</v>
      </c>
    </row>
    <row r="727" spans="1:12" x14ac:dyDescent="0.2">
      <c r="A727" s="3">
        <v>39825</v>
      </c>
      <c r="B727" s="2">
        <v>1201.1300000000001</v>
      </c>
      <c r="C727" s="2">
        <v>1225.78</v>
      </c>
      <c r="D727" s="2">
        <v>1188.21</v>
      </c>
      <c r="E727" s="2">
        <v>2004526980636</v>
      </c>
      <c r="F727" s="2">
        <v>0</v>
      </c>
      <c r="G727">
        <v>630.13</v>
      </c>
      <c r="H727">
        <v>647.29</v>
      </c>
      <c r="I727">
        <v>622.98</v>
      </c>
      <c r="J727">
        <v>3835357494</v>
      </c>
      <c r="K727">
        <v>0</v>
      </c>
      <c r="L727" s="2">
        <f>VLOOKUP(A727,[1]aaabonddata!$A:$B,2,0)</f>
        <v>5.18</v>
      </c>
    </row>
    <row r="728" spans="1:12" x14ac:dyDescent="0.2">
      <c r="A728" s="3">
        <v>39826</v>
      </c>
      <c r="B728" s="2">
        <v>1202.6500000000001</v>
      </c>
      <c r="C728" s="2">
        <v>1219.05</v>
      </c>
      <c r="D728" s="2">
        <v>1186.95</v>
      </c>
      <c r="E728" s="2">
        <v>2007049350339</v>
      </c>
      <c r="F728" s="2">
        <v>0</v>
      </c>
      <c r="G728">
        <v>630.05999999999995</v>
      </c>
      <c r="H728">
        <v>642.38</v>
      </c>
      <c r="I728">
        <v>620.14</v>
      </c>
      <c r="J728">
        <v>3834934544</v>
      </c>
      <c r="K728">
        <v>0</v>
      </c>
      <c r="L728" s="2">
        <f>VLOOKUP(A728,[1]aaabonddata!$A:$B,2,0)</f>
        <v>5.12</v>
      </c>
    </row>
    <row r="729" spans="1:12" x14ac:dyDescent="0.2">
      <c r="A729" s="3">
        <v>39827</v>
      </c>
      <c r="B729" s="2">
        <v>1163.42</v>
      </c>
      <c r="C729" s="2">
        <v>1190.42</v>
      </c>
      <c r="D729" s="2">
        <v>1157.8900000000001</v>
      </c>
      <c r="E729" s="2">
        <v>1941335848776</v>
      </c>
      <c r="F729" s="2">
        <v>0</v>
      </c>
      <c r="G729">
        <v>608.5</v>
      </c>
      <c r="H729">
        <v>623.73</v>
      </c>
      <c r="I729">
        <v>605</v>
      </c>
      <c r="J729">
        <v>3703703952</v>
      </c>
      <c r="K729">
        <v>0</v>
      </c>
      <c r="L729" s="2">
        <f>VLOOKUP(A729,[1]aaabonddata!$A:$B,2,0)</f>
        <v>5.14</v>
      </c>
    </row>
    <row r="730" spans="1:12" x14ac:dyDescent="0.2">
      <c r="A730" s="3">
        <v>39828</v>
      </c>
      <c r="B730" s="2">
        <v>1183.52</v>
      </c>
      <c r="C730" s="2">
        <v>1192.45</v>
      </c>
      <c r="D730" s="2">
        <v>1141.74</v>
      </c>
      <c r="E730" s="2">
        <v>1974880938347</v>
      </c>
      <c r="F730" s="2">
        <v>0</v>
      </c>
      <c r="G730">
        <v>617.02</v>
      </c>
      <c r="H730">
        <v>623.74</v>
      </c>
      <c r="I730">
        <v>595.45000000000005</v>
      </c>
      <c r="J730">
        <v>3755575534</v>
      </c>
      <c r="K730">
        <v>0</v>
      </c>
      <c r="L730" s="2">
        <f>VLOOKUP(A730,[1]aaabonddata!$A:$B,2,0)</f>
        <v>5.2</v>
      </c>
    </row>
    <row r="731" spans="1:12" x14ac:dyDescent="0.2">
      <c r="A731" s="3">
        <v>39829</v>
      </c>
      <c r="B731" s="2">
        <v>1198.1400000000001</v>
      </c>
      <c r="C731" s="2">
        <v>1202.81</v>
      </c>
      <c r="D731" s="2">
        <v>1167.3399999999999</v>
      </c>
      <c r="E731" s="2">
        <v>1999274561525</v>
      </c>
      <c r="F731" s="2">
        <v>0</v>
      </c>
      <c r="G731">
        <v>627.71</v>
      </c>
      <c r="H731">
        <v>632.03</v>
      </c>
      <c r="I731">
        <v>607.86</v>
      </c>
      <c r="J731">
        <v>3820615989</v>
      </c>
      <c r="K731">
        <v>0</v>
      </c>
      <c r="L731" s="2">
        <f>VLOOKUP(A731,[1]aaabonddata!$A:$B,2,0)</f>
        <v>5.18</v>
      </c>
    </row>
    <row r="732" spans="1:12" x14ac:dyDescent="0.2">
      <c r="A732" s="3">
        <v>39833</v>
      </c>
      <c r="B732" s="2">
        <v>1136.6099999999999</v>
      </c>
      <c r="C732" s="2">
        <v>1195.8900000000001</v>
      </c>
      <c r="D732" s="2">
        <v>1136.6099999999999</v>
      </c>
      <c r="E732" s="2">
        <v>1915248406850</v>
      </c>
      <c r="F732" s="2">
        <v>0</v>
      </c>
      <c r="G732">
        <v>588.38</v>
      </c>
      <c r="H732">
        <v>626.24</v>
      </c>
      <c r="I732">
        <v>588.38</v>
      </c>
      <c r="J732">
        <v>3581218583</v>
      </c>
      <c r="K732">
        <v>0</v>
      </c>
      <c r="L732" s="2">
        <f>VLOOKUP(A732,[1]aaabonddata!$A:$B,2,0)</f>
        <v>5.25</v>
      </c>
    </row>
    <row r="733" spans="1:12" x14ac:dyDescent="0.2">
      <c r="A733" s="3">
        <v>39834</v>
      </c>
      <c r="B733" s="2">
        <v>1185.76</v>
      </c>
      <c r="C733" s="2">
        <v>1186.43</v>
      </c>
      <c r="D733" s="2">
        <v>1142.33</v>
      </c>
      <c r="E733" s="2">
        <v>1998065989239</v>
      </c>
      <c r="F733" s="2">
        <v>0</v>
      </c>
      <c r="G733">
        <v>614.4</v>
      </c>
      <c r="H733">
        <v>614.77</v>
      </c>
      <c r="I733">
        <v>589.44000000000005</v>
      </c>
      <c r="J733">
        <v>3739629674</v>
      </c>
      <c r="K733">
        <v>0</v>
      </c>
      <c r="L733" s="2">
        <f>VLOOKUP(A733,[1]aaabonddata!$A:$B,2,0)</f>
        <v>5.39</v>
      </c>
    </row>
    <row r="734" spans="1:12" x14ac:dyDescent="0.2">
      <c r="A734" s="3">
        <v>39835</v>
      </c>
      <c r="B734" s="2">
        <v>1168.08</v>
      </c>
      <c r="C734" s="2">
        <v>1187.71</v>
      </c>
      <c r="D734" s="2">
        <v>1149.31</v>
      </c>
      <c r="E734" s="2">
        <v>1968281998368</v>
      </c>
      <c r="F734" s="2">
        <v>0</v>
      </c>
      <c r="G734">
        <v>597.76</v>
      </c>
      <c r="H734">
        <v>609.19000000000005</v>
      </c>
      <c r="I734">
        <v>585.63</v>
      </c>
      <c r="J734">
        <v>3638316397</v>
      </c>
      <c r="K734">
        <v>0</v>
      </c>
      <c r="L734" s="2">
        <f>VLOOKUP(A734,[1]aaabonddata!$A:$B,2,0)</f>
        <v>5.39</v>
      </c>
    </row>
    <row r="735" spans="1:12" x14ac:dyDescent="0.2">
      <c r="A735" s="3">
        <v>39836</v>
      </c>
      <c r="B735" s="2">
        <v>1175.8900000000001</v>
      </c>
      <c r="C735" s="2">
        <v>1192.6400000000001</v>
      </c>
      <c r="D735" s="2">
        <v>1144.4100000000001</v>
      </c>
      <c r="E735" s="2">
        <v>1981440294348</v>
      </c>
      <c r="F735" s="2">
        <v>0</v>
      </c>
      <c r="G735">
        <v>612.69000000000005</v>
      </c>
      <c r="H735">
        <v>621.41999999999996</v>
      </c>
      <c r="I735">
        <v>585.76</v>
      </c>
      <c r="J735">
        <v>3729211770</v>
      </c>
      <c r="K735">
        <v>0</v>
      </c>
      <c r="L735" s="2">
        <f>VLOOKUP(A735,[1]aaabonddata!$A:$B,2,0)</f>
        <v>5.45</v>
      </c>
    </row>
    <row r="736" spans="1:12" x14ac:dyDescent="0.2">
      <c r="A736" s="3">
        <v>39839</v>
      </c>
      <c r="B736" s="2">
        <v>1184.56</v>
      </c>
      <c r="C736" s="2">
        <v>1202.94</v>
      </c>
      <c r="D736" s="2">
        <v>1169.21</v>
      </c>
      <c r="E736" s="2">
        <v>1996057828123</v>
      </c>
      <c r="F736" s="2">
        <v>0</v>
      </c>
      <c r="G736">
        <v>618.16</v>
      </c>
      <c r="H736">
        <v>629.19000000000005</v>
      </c>
      <c r="I736">
        <v>610.04999999999995</v>
      </c>
      <c r="J736">
        <v>3762487503</v>
      </c>
      <c r="K736">
        <v>0</v>
      </c>
      <c r="L736" s="2">
        <f>VLOOKUP(A736,[1]aaabonddata!$A:$B,2,0)</f>
        <v>5.45</v>
      </c>
    </row>
    <row r="737" spans="1:12" x14ac:dyDescent="0.2">
      <c r="A737" s="3">
        <v>39840</v>
      </c>
      <c r="B737" s="2">
        <v>1194.4100000000001</v>
      </c>
      <c r="C737" s="2">
        <v>1202.05</v>
      </c>
      <c r="D737" s="2">
        <v>1184.42</v>
      </c>
      <c r="E737" s="2">
        <v>2012652203311</v>
      </c>
      <c r="F737" s="2">
        <v>0</v>
      </c>
      <c r="G737">
        <v>632.73</v>
      </c>
      <c r="H737">
        <v>637.34</v>
      </c>
      <c r="I737">
        <v>620.23</v>
      </c>
      <c r="J737">
        <v>3851186287</v>
      </c>
      <c r="K737">
        <v>0</v>
      </c>
      <c r="L737" s="2">
        <f>VLOOKUP(A737,[1]aaabonddata!$A:$B,2,0)</f>
        <v>5.34</v>
      </c>
    </row>
    <row r="738" spans="1:12" x14ac:dyDescent="0.2">
      <c r="A738" s="3">
        <v>39841</v>
      </c>
      <c r="B738" s="2">
        <v>1235.9100000000001</v>
      </c>
      <c r="C738" s="2">
        <v>1245.98</v>
      </c>
      <c r="D738" s="2">
        <v>1213.24</v>
      </c>
      <c r="E738" s="2">
        <v>2082580946542</v>
      </c>
      <c r="F738" s="2">
        <v>199312108</v>
      </c>
      <c r="G738">
        <v>658.12</v>
      </c>
      <c r="H738">
        <v>663.88</v>
      </c>
      <c r="I738">
        <v>643.66</v>
      </c>
      <c r="J738">
        <v>4005730055</v>
      </c>
      <c r="K738">
        <v>0</v>
      </c>
      <c r="L738" s="2">
        <f>VLOOKUP(A738,[1]aaabonddata!$A:$B,2,0)</f>
        <v>5.39</v>
      </c>
    </row>
    <row r="739" spans="1:12" x14ac:dyDescent="0.2">
      <c r="A739" s="3">
        <v>39842</v>
      </c>
      <c r="B739" s="2">
        <v>1203.8499999999999</v>
      </c>
      <c r="C739" s="2">
        <v>1220.72</v>
      </c>
      <c r="D739" s="2">
        <v>1198.76</v>
      </c>
      <c r="E739" s="2">
        <v>2028550019983</v>
      </c>
      <c r="F739" s="2">
        <v>0</v>
      </c>
      <c r="G739">
        <v>634.39</v>
      </c>
      <c r="H739">
        <v>647</v>
      </c>
      <c r="I739">
        <v>631.94000000000005</v>
      </c>
      <c r="J739">
        <v>3861285670</v>
      </c>
      <c r="K739">
        <v>0</v>
      </c>
      <c r="L739" s="2">
        <f>VLOOKUP(A739,[1]aaabonddata!$A:$B,2,0)</f>
        <v>5.5</v>
      </c>
    </row>
    <row r="740" spans="1:12" x14ac:dyDescent="0.2">
      <c r="A740" s="3">
        <v>39843</v>
      </c>
      <c r="B740" s="2">
        <v>1180.25</v>
      </c>
      <c r="C740" s="2">
        <v>1216.46</v>
      </c>
      <c r="D740" s="2">
        <v>1176.82</v>
      </c>
      <c r="E740" s="2">
        <v>1988787604430</v>
      </c>
      <c r="F740" s="2">
        <v>0</v>
      </c>
      <c r="G740">
        <v>617.80999999999995</v>
      </c>
      <c r="H740">
        <v>640.82000000000005</v>
      </c>
      <c r="I740">
        <v>615.08000000000004</v>
      </c>
      <c r="J740">
        <v>3760361058</v>
      </c>
      <c r="K740">
        <v>0</v>
      </c>
      <c r="L740" s="2">
        <f>VLOOKUP(A740,[1]aaabonddata!$A:$B,2,0)</f>
        <v>5.49</v>
      </c>
    </row>
    <row r="741" spans="1:12" x14ac:dyDescent="0.2">
      <c r="A741" s="3">
        <v>39846</v>
      </c>
      <c r="B741" s="2">
        <v>1195.75</v>
      </c>
      <c r="C741" s="2">
        <v>1203.53</v>
      </c>
      <c r="D741" s="2">
        <v>1167.49</v>
      </c>
      <c r="E741" s="2">
        <v>2014898992656</v>
      </c>
      <c r="F741" s="2">
        <v>257390724</v>
      </c>
      <c r="G741">
        <v>625.16</v>
      </c>
      <c r="H741">
        <v>629.48</v>
      </c>
      <c r="I741">
        <v>608.99</v>
      </c>
      <c r="J741">
        <v>3805107926</v>
      </c>
      <c r="K741">
        <v>808781</v>
      </c>
      <c r="L741" s="2">
        <f>VLOOKUP(A741,[1]aaabonddata!$A:$B,2,0)</f>
        <v>5.59</v>
      </c>
    </row>
    <row r="742" spans="1:12" x14ac:dyDescent="0.2">
      <c r="A742" s="3">
        <v>39847</v>
      </c>
      <c r="B742" s="2">
        <v>1215.6600000000001</v>
      </c>
      <c r="C742" s="2">
        <v>1218.9100000000001</v>
      </c>
      <c r="D742" s="2">
        <v>1180.25</v>
      </c>
      <c r="E742" s="2">
        <v>2048457637859</v>
      </c>
      <c r="F742" s="2">
        <v>0</v>
      </c>
      <c r="G742">
        <v>634.77</v>
      </c>
      <c r="H742">
        <v>636.35</v>
      </c>
      <c r="I742">
        <v>614.1</v>
      </c>
      <c r="J742">
        <v>3863593576</v>
      </c>
      <c r="K742">
        <v>0</v>
      </c>
      <c r="L742" s="2">
        <f>VLOOKUP(A742,[1]aaabonddata!$A:$B,2,0)</f>
        <v>5.71</v>
      </c>
    </row>
    <row r="743" spans="1:12" x14ac:dyDescent="0.2">
      <c r="A743" s="3">
        <v>39848</v>
      </c>
      <c r="B743" s="2">
        <v>1215.43</v>
      </c>
      <c r="C743" s="2">
        <v>1243.68</v>
      </c>
      <c r="D743" s="2">
        <v>1210.98</v>
      </c>
      <c r="E743" s="2">
        <v>2048062172890</v>
      </c>
      <c r="F743" s="2">
        <v>539624525</v>
      </c>
      <c r="G743">
        <v>638.74</v>
      </c>
      <c r="H743">
        <v>655.14</v>
      </c>
      <c r="I743">
        <v>633.91999999999996</v>
      </c>
      <c r="J743">
        <v>3887760225</v>
      </c>
      <c r="K743">
        <v>1628869</v>
      </c>
      <c r="L743" s="2">
        <f>VLOOKUP(A743,[1]aaabonddata!$A:$B,2,0)</f>
        <v>5.76</v>
      </c>
    </row>
    <row r="744" spans="1:12" x14ac:dyDescent="0.2">
      <c r="A744" s="3">
        <v>39849</v>
      </c>
      <c r="B744" s="2">
        <v>1245.1099999999999</v>
      </c>
      <c r="C744" s="2">
        <v>1250.1400000000001</v>
      </c>
      <c r="D744" s="2">
        <v>1199.53</v>
      </c>
      <c r="E744" s="2">
        <v>2098082406271</v>
      </c>
      <c r="F744" s="2">
        <v>0</v>
      </c>
      <c r="G744">
        <v>659.73</v>
      </c>
      <c r="H744">
        <v>664.39</v>
      </c>
      <c r="I744">
        <v>629.16999999999996</v>
      </c>
      <c r="J744">
        <v>4015547295</v>
      </c>
      <c r="K744">
        <v>0</v>
      </c>
      <c r="L744" s="2">
        <f>VLOOKUP(A744,[1]aaabonddata!$A:$B,2,0)</f>
        <v>5.72</v>
      </c>
    </row>
    <row r="745" spans="1:12" x14ac:dyDescent="0.2">
      <c r="A745" s="3">
        <v>39850</v>
      </c>
      <c r="B745" s="2">
        <v>1277.49</v>
      </c>
      <c r="C745" s="2">
        <v>1280.4000000000001</v>
      </c>
      <c r="D745" s="2">
        <v>1243.8599999999999</v>
      </c>
      <c r="E745" s="2">
        <v>2152643582883</v>
      </c>
      <c r="F745" s="2">
        <v>39280947</v>
      </c>
      <c r="G745">
        <v>680.88</v>
      </c>
      <c r="H745">
        <v>683.04</v>
      </c>
      <c r="I745">
        <v>657.78</v>
      </c>
      <c r="J745">
        <v>4144273575</v>
      </c>
      <c r="K745">
        <v>304136</v>
      </c>
      <c r="L745" s="2">
        <f>VLOOKUP(A745,[1]aaabonddata!$A:$B,2,0)</f>
        <v>5.76</v>
      </c>
    </row>
    <row r="746" spans="1:12" x14ac:dyDescent="0.2">
      <c r="A746" s="3">
        <v>39853</v>
      </c>
      <c r="B746" s="2">
        <v>1281.6500000000001</v>
      </c>
      <c r="C746" s="2">
        <v>1286.81</v>
      </c>
      <c r="D746" s="2">
        <v>1267.8599999999999</v>
      </c>
      <c r="E746" s="2">
        <v>2159653985171</v>
      </c>
      <c r="F746" s="2">
        <v>0</v>
      </c>
      <c r="G746">
        <v>682.28</v>
      </c>
      <c r="H746">
        <v>686.34</v>
      </c>
      <c r="I746">
        <v>674.13</v>
      </c>
      <c r="J746">
        <v>4152796332</v>
      </c>
      <c r="K746">
        <v>0</v>
      </c>
      <c r="L746" s="2">
        <f>VLOOKUP(A746,[1]aaabonddata!$A:$B,2,0)</f>
        <v>5.79</v>
      </c>
    </row>
    <row r="747" spans="1:12" x14ac:dyDescent="0.2">
      <c r="A747" s="3">
        <v>39854</v>
      </c>
      <c r="B747" s="2">
        <v>1229.29</v>
      </c>
      <c r="C747" s="2">
        <v>1286.9000000000001</v>
      </c>
      <c r="D747" s="2">
        <v>1223.54</v>
      </c>
      <c r="E747" s="2">
        <v>2071421575781</v>
      </c>
      <c r="F747" s="2">
        <v>104219741</v>
      </c>
      <c r="G747">
        <v>648.65</v>
      </c>
      <c r="H747">
        <v>686.57</v>
      </c>
      <c r="I747">
        <v>645.88</v>
      </c>
      <c r="J747">
        <v>3948068995</v>
      </c>
      <c r="K747">
        <v>592300</v>
      </c>
      <c r="L747" s="2">
        <f>VLOOKUP(A747,[1]aaabonddata!$A:$B,2,0)</f>
        <v>5.6</v>
      </c>
    </row>
    <row r="748" spans="1:12" x14ac:dyDescent="0.2">
      <c r="A748" s="3">
        <v>39855</v>
      </c>
      <c r="B748" s="2">
        <v>1227.05</v>
      </c>
      <c r="C748" s="2">
        <v>1239.92</v>
      </c>
      <c r="D748" s="2">
        <v>1208.53</v>
      </c>
      <c r="E748" s="2">
        <v>2073835871500</v>
      </c>
      <c r="F748" s="2">
        <v>380445558</v>
      </c>
      <c r="G748">
        <v>645.44000000000005</v>
      </c>
      <c r="H748">
        <v>654.61</v>
      </c>
      <c r="I748">
        <v>634.09</v>
      </c>
      <c r="J748">
        <v>3928561366</v>
      </c>
      <c r="K748">
        <v>2723284</v>
      </c>
      <c r="L748" s="2">
        <f>VLOOKUP(A748,[1]aaabonddata!$A:$B,2,0)</f>
        <v>5.5</v>
      </c>
    </row>
    <row r="749" spans="1:12" x14ac:dyDescent="0.2">
      <c r="A749" s="3">
        <v>39856</v>
      </c>
      <c r="B749" s="2">
        <v>1242.81</v>
      </c>
      <c r="C749" s="2">
        <v>1243.5899999999999</v>
      </c>
      <c r="D749" s="2">
        <v>1204.3800000000001</v>
      </c>
      <c r="E749" s="2">
        <v>2100466528690</v>
      </c>
      <c r="F749" s="2">
        <v>37402704</v>
      </c>
      <c r="G749">
        <v>655.83</v>
      </c>
      <c r="H749">
        <v>656.81</v>
      </c>
      <c r="I749">
        <v>630.52</v>
      </c>
      <c r="J749">
        <v>3991762005</v>
      </c>
      <c r="K749">
        <v>220628</v>
      </c>
      <c r="L749" s="2">
        <f>VLOOKUP(A749,[1]aaabonddata!$A:$B,2,0)</f>
        <v>5.47</v>
      </c>
    </row>
    <row r="750" spans="1:12" x14ac:dyDescent="0.2">
      <c r="A750" s="3">
        <v>39857</v>
      </c>
      <c r="B750" s="2">
        <v>1236.8499999999999</v>
      </c>
      <c r="C750" s="2">
        <v>1250.1099999999999</v>
      </c>
      <c r="D750" s="2">
        <v>1231.6300000000001</v>
      </c>
      <c r="E750" s="2">
        <v>2090409645927</v>
      </c>
      <c r="F750" s="2">
        <v>0</v>
      </c>
      <c r="G750">
        <v>654.5</v>
      </c>
      <c r="H750">
        <v>661.02</v>
      </c>
      <c r="I750">
        <v>649.44000000000005</v>
      </c>
      <c r="J750">
        <v>3983676145</v>
      </c>
      <c r="K750">
        <v>0</v>
      </c>
      <c r="L750" s="2">
        <f>VLOOKUP(A750,[1]aaabonddata!$A:$B,2,0)</f>
        <v>5.59</v>
      </c>
    </row>
    <row r="751" spans="1:12" x14ac:dyDescent="0.2">
      <c r="A751" s="3">
        <v>39861</v>
      </c>
      <c r="B751" s="2">
        <v>1187.04</v>
      </c>
      <c r="C751" s="2">
        <v>1204.54</v>
      </c>
      <c r="D751" s="2">
        <v>1180.43</v>
      </c>
      <c r="E751" s="2">
        <v>2006221418521</v>
      </c>
      <c r="F751" s="2">
        <v>885052167</v>
      </c>
      <c r="G751">
        <v>622.17999999999995</v>
      </c>
      <c r="H751">
        <v>633.67999999999995</v>
      </c>
      <c r="I751">
        <v>621.04999999999995</v>
      </c>
      <c r="J751">
        <v>3786957903</v>
      </c>
      <c r="K751">
        <v>679916</v>
      </c>
      <c r="L751" s="2">
        <f>VLOOKUP(A751,[1]aaabonddata!$A:$B,2,0)</f>
        <v>5.42</v>
      </c>
    </row>
    <row r="752" spans="1:12" x14ac:dyDescent="0.2">
      <c r="A752" s="3">
        <v>39862</v>
      </c>
      <c r="B752" s="2">
        <v>1188.77</v>
      </c>
      <c r="C752" s="2">
        <v>1204.56</v>
      </c>
      <c r="D752" s="2">
        <v>1172.94</v>
      </c>
      <c r="E752" s="2">
        <v>2009146007788</v>
      </c>
      <c r="F752" s="2">
        <v>144354222</v>
      </c>
      <c r="G752">
        <v>623.94000000000005</v>
      </c>
      <c r="H752">
        <v>635.58000000000004</v>
      </c>
      <c r="I752">
        <v>615.07000000000005</v>
      </c>
      <c r="J752">
        <v>3797691257</v>
      </c>
      <c r="K752">
        <v>1624695</v>
      </c>
      <c r="L752" s="2">
        <f>VLOOKUP(A752,[1]aaabonddata!$A:$B,2,0)</f>
        <v>5.56</v>
      </c>
    </row>
    <row r="753" spans="1:12" x14ac:dyDescent="0.2">
      <c r="A753" s="3">
        <v>39863</v>
      </c>
      <c r="B753" s="2">
        <v>1167.8900000000001</v>
      </c>
      <c r="C753" s="2">
        <v>1201.94</v>
      </c>
      <c r="D753" s="2">
        <v>1166.52</v>
      </c>
      <c r="E753" s="2">
        <v>1973857124174</v>
      </c>
      <c r="F753" s="2">
        <v>0</v>
      </c>
      <c r="G753">
        <v>604.87</v>
      </c>
      <c r="H753">
        <v>630.92999999999995</v>
      </c>
      <c r="I753">
        <v>604.35</v>
      </c>
      <c r="J753">
        <v>3681598950</v>
      </c>
      <c r="K753">
        <v>0</v>
      </c>
      <c r="L753" s="2">
        <f>VLOOKUP(A753,[1]aaabonddata!$A:$B,2,0)</f>
        <v>5.68</v>
      </c>
    </row>
    <row r="754" spans="1:12" x14ac:dyDescent="0.2">
      <c r="A754" s="3">
        <v>39864</v>
      </c>
      <c r="B754" s="2">
        <v>1172.71</v>
      </c>
      <c r="C754" s="2">
        <v>1183.3599999999999</v>
      </c>
      <c r="D754" s="2">
        <v>1153.18</v>
      </c>
      <c r="E754" s="2">
        <v>1982001505726</v>
      </c>
      <c r="F754" s="2">
        <v>0</v>
      </c>
      <c r="G754">
        <v>608.46</v>
      </c>
      <c r="H754">
        <v>614.53</v>
      </c>
      <c r="I754">
        <v>596.53</v>
      </c>
      <c r="J754">
        <v>3703485494</v>
      </c>
      <c r="K754">
        <v>0</v>
      </c>
      <c r="L754" s="2">
        <f>VLOOKUP(A754,[1]aaabonddata!$A:$B,2,0)</f>
        <v>5.66</v>
      </c>
    </row>
    <row r="755" spans="1:12" x14ac:dyDescent="0.2">
      <c r="A755" s="3">
        <v>39867</v>
      </c>
      <c r="B755" s="2">
        <v>1128.97</v>
      </c>
      <c r="C755" s="2">
        <v>1180.0999999999999</v>
      </c>
      <c r="D755" s="2">
        <v>1126.58</v>
      </c>
      <c r="E755" s="2">
        <v>1908067864501</v>
      </c>
      <c r="F755" s="2">
        <v>159057547</v>
      </c>
      <c r="G755">
        <v>582.67999999999995</v>
      </c>
      <c r="H755">
        <v>612.16</v>
      </c>
      <c r="I755">
        <v>581.37</v>
      </c>
      <c r="J755">
        <v>3546529700</v>
      </c>
      <c r="K755">
        <v>0</v>
      </c>
      <c r="L755" s="2">
        <f>VLOOKUP(A755,[1]aaabonddata!$A:$B,2,0)</f>
        <v>5.68</v>
      </c>
    </row>
    <row r="756" spans="1:12" x14ac:dyDescent="0.2">
      <c r="A756" s="3">
        <v>39868</v>
      </c>
      <c r="B756" s="2">
        <v>1171.45</v>
      </c>
      <c r="C756" s="2">
        <v>1176.56</v>
      </c>
      <c r="D756" s="2">
        <v>1136.1400000000001</v>
      </c>
      <c r="E756" s="2">
        <v>1979872889213</v>
      </c>
      <c r="F756" s="2">
        <v>0</v>
      </c>
      <c r="G756">
        <v>609.66999999999996</v>
      </c>
      <c r="H756">
        <v>612.66</v>
      </c>
      <c r="I756">
        <v>587.79999999999995</v>
      </c>
      <c r="J756">
        <v>3710797645</v>
      </c>
      <c r="K756">
        <v>0</v>
      </c>
      <c r="L756" s="2">
        <f>VLOOKUP(A756,[1]aaabonddata!$A:$B,2,0)</f>
        <v>5.83</v>
      </c>
    </row>
    <row r="757" spans="1:12" x14ac:dyDescent="0.2">
      <c r="A757" s="3">
        <v>39869</v>
      </c>
      <c r="B757" s="2">
        <v>1160.83</v>
      </c>
      <c r="C757" s="2">
        <v>1183.93</v>
      </c>
      <c r="D757" s="2">
        <v>1142.83</v>
      </c>
      <c r="E757" s="2">
        <v>1962632553396</v>
      </c>
      <c r="F757" s="2">
        <v>600072434</v>
      </c>
      <c r="G757">
        <v>614.46</v>
      </c>
      <c r="H757">
        <v>626.84</v>
      </c>
      <c r="I757">
        <v>596.77</v>
      </c>
      <c r="J757">
        <v>3739998115</v>
      </c>
      <c r="K757">
        <v>456751</v>
      </c>
      <c r="L757" s="2">
        <f>VLOOKUP(A757,[1]aaabonddata!$A:$B,2,0)</f>
        <v>6.04</v>
      </c>
    </row>
    <row r="758" spans="1:12" x14ac:dyDescent="0.2">
      <c r="A758" s="3">
        <v>39870</v>
      </c>
      <c r="B758" s="2">
        <v>1127.0999999999999</v>
      </c>
      <c r="C758" s="2">
        <v>1174.77</v>
      </c>
      <c r="D758" s="2">
        <v>1127.0999999999999</v>
      </c>
      <c r="E758" s="2">
        <v>1905604200162</v>
      </c>
      <c r="F758" s="2">
        <v>90447150</v>
      </c>
      <c r="G758">
        <v>603.57000000000005</v>
      </c>
      <c r="H758">
        <v>629.02</v>
      </c>
      <c r="I758">
        <v>602.61</v>
      </c>
      <c r="J758">
        <v>3673709246</v>
      </c>
      <c r="K758">
        <v>697999</v>
      </c>
      <c r="L758" s="2">
        <f>VLOOKUP(A758,[1]aaabonddata!$A:$B,2,0)</f>
        <v>6.05</v>
      </c>
    </row>
    <row r="759" spans="1:12" x14ac:dyDescent="0.2">
      <c r="A759" s="3">
        <v>39871</v>
      </c>
      <c r="B759" s="2">
        <v>1116.99</v>
      </c>
      <c r="C759" s="2">
        <v>1135.45</v>
      </c>
      <c r="D759" s="2">
        <v>1112.1199999999999</v>
      </c>
      <c r="E759" s="2">
        <v>1888497195877</v>
      </c>
      <c r="F759" s="2">
        <v>0</v>
      </c>
      <c r="G759">
        <v>603.54999999999995</v>
      </c>
      <c r="H759">
        <v>615.24</v>
      </c>
      <c r="I759">
        <v>595.9</v>
      </c>
      <c r="J759">
        <v>3673553413</v>
      </c>
      <c r="K759">
        <v>0</v>
      </c>
      <c r="L759" s="2">
        <f>VLOOKUP(A759,[1]aaabonddata!$A:$B,2,0)</f>
        <v>6.1</v>
      </c>
    </row>
    <row r="760" spans="1:12" x14ac:dyDescent="0.2">
      <c r="A760" s="3">
        <v>39874</v>
      </c>
      <c r="B760" s="2">
        <v>1076.67</v>
      </c>
      <c r="C760" s="2">
        <v>1116.22</v>
      </c>
      <c r="D760" s="2">
        <v>1074.79</v>
      </c>
      <c r="E760" s="2">
        <v>1820336773962</v>
      </c>
      <c r="F760" s="2">
        <v>0</v>
      </c>
      <c r="G760">
        <v>576.35</v>
      </c>
      <c r="H760">
        <v>604</v>
      </c>
      <c r="I760">
        <v>575.11</v>
      </c>
      <c r="J760">
        <v>3508033664</v>
      </c>
      <c r="K760">
        <v>0</v>
      </c>
      <c r="L760" s="2">
        <f>VLOOKUP(A760,[1]aaabonddata!$A:$B,2,0)</f>
        <v>6.13</v>
      </c>
    </row>
    <row r="761" spans="1:12" x14ac:dyDescent="0.2">
      <c r="A761" s="3">
        <v>39875</v>
      </c>
      <c r="B761" s="2">
        <v>1080.67</v>
      </c>
      <c r="C761" s="2">
        <v>1102.0999999999999</v>
      </c>
      <c r="D761" s="2">
        <v>1072.42</v>
      </c>
      <c r="E761" s="2">
        <v>1827100219356</v>
      </c>
      <c r="F761" s="2">
        <v>32975892</v>
      </c>
      <c r="G761">
        <v>583.61</v>
      </c>
      <c r="H761">
        <v>594.35</v>
      </c>
      <c r="I761">
        <v>576.02</v>
      </c>
      <c r="J761">
        <v>3552189750</v>
      </c>
      <c r="K761">
        <v>0</v>
      </c>
      <c r="L761" s="2">
        <f>VLOOKUP(A761,[1]aaabonddata!$A:$B,2,0)</f>
        <v>6.52</v>
      </c>
    </row>
    <row r="762" spans="1:12" x14ac:dyDescent="0.2">
      <c r="A762" s="3">
        <v>39876</v>
      </c>
      <c r="B762" s="2">
        <v>1110.3</v>
      </c>
      <c r="C762" s="2">
        <v>1124.67</v>
      </c>
      <c r="D762" s="2">
        <v>1093.42</v>
      </c>
      <c r="E762" s="2">
        <v>1877187313844</v>
      </c>
      <c r="F762" s="2">
        <v>75390802</v>
      </c>
      <c r="G762">
        <v>603.89</v>
      </c>
      <c r="H762">
        <v>612.1</v>
      </c>
      <c r="I762">
        <v>593.62</v>
      </c>
      <c r="J762">
        <v>3675612439</v>
      </c>
      <c r="K762">
        <v>0</v>
      </c>
      <c r="L762" s="2">
        <f>VLOOKUP(A762,[1]aaabonddata!$A:$B,2,0)</f>
        <v>8.1300000000000008</v>
      </c>
    </row>
    <row r="763" spans="1:12" x14ac:dyDescent="0.2">
      <c r="A763" s="3">
        <v>39877</v>
      </c>
      <c r="B763" s="2">
        <v>1074.52</v>
      </c>
      <c r="C763" s="2">
        <v>1105.53</v>
      </c>
      <c r="D763" s="2">
        <v>1072.51</v>
      </c>
      <c r="E763" s="2">
        <v>1816698251957</v>
      </c>
      <c r="F763" s="2">
        <v>0</v>
      </c>
      <c r="G763">
        <v>585.12</v>
      </c>
      <c r="H763">
        <v>605.34</v>
      </c>
      <c r="I763">
        <v>584.70000000000005</v>
      </c>
      <c r="J763">
        <v>3561418995</v>
      </c>
      <c r="K763">
        <v>0</v>
      </c>
      <c r="L763" s="2">
        <f>VLOOKUP(A763,[1]aaabonddata!$A:$B,2,0)</f>
        <v>8.14</v>
      </c>
    </row>
    <row r="764" spans="1:12" x14ac:dyDescent="0.2">
      <c r="A764" s="3">
        <v>39878</v>
      </c>
      <c r="B764" s="2">
        <v>1064.7</v>
      </c>
      <c r="C764" s="2">
        <v>1088.04</v>
      </c>
      <c r="D764" s="2">
        <v>1043.5999999999999</v>
      </c>
      <c r="E764" s="2">
        <v>1800093794388</v>
      </c>
      <c r="F764" s="2">
        <v>0</v>
      </c>
      <c r="G764">
        <v>582.39</v>
      </c>
      <c r="H764">
        <v>599.78</v>
      </c>
      <c r="I764">
        <v>571.23</v>
      </c>
      <c r="J764">
        <v>3544766901</v>
      </c>
      <c r="K764">
        <v>0</v>
      </c>
      <c r="L764" s="2">
        <f>VLOOKUP(A764,[1]aaabonddata!$A:$B,2,0)</f>
        <v>8.16</v>
      </c>
    </row>
    <row r="765" spans="1:12" x14ac:dyDescent="0.2">
      <c r="A765" s="3">
        <v>39881</v>
      </c>
      <c r="B765" s="2">
        <v>1043.8699999999999</v>
      </c>
      <c r="C765" s="2">
        <v>1087.4000000000001</v>
      </c>
      <c r="D765" s="2">
        <v>1040.4100000000001</v>
      </c>
      <c r="E765" s="2">
        <v>1764872027662</v>
      </c>
      <c r="F765" s="2">
        <v>159917558</v>
      </c>
      <c r="G765">
        <v>568.16999999999996</v>
      </c>
      <c r="H765">
        <v>596.91999999999996</v>
      </c>
      <c r="I765">
        <v>566.66999999999996</v>
      </c>
      <c r="J765">
        <v>3458229194</v>
      </c>
      <c r="K765">
        <v>0</v>
      </c>
      <c r="L765" s="2">
        <f>VLOOKUP(A765,[1]aaabonddata!$A:$B,2,0)</f>
        <v>8.25</v>
      </c>
    </row>
    <row r="766" spans="1:12" x14ac:dyDescent="0.2">
      <c r="A766" s="3">
        <v>39882</v>
      </c>
      <c r="B766" s="2">
        <v>1112.44</v>
      </c>
      <c r="C766" s="2">
        <v>1112.44</v>
      </c>
      <c r="D766" s="2">
        <v>1060.42</v>
      </c>
      <c r="E766" s="2">
        <v>1880814184953</v>
      </c>
      <c r="F766" s="2">
        <v>0</v>
      </c>
      <c r="G766">
        <v>610.52</v>
      </c>
      <c r="H766">
        <v>610.52</v>
      </c>
      <c r="I766">
        <v>578.32000000000005</v>
      </c>
      <c r="J766">
        <v>3715998092</v>
      </c>
      <c r="K766">
        <v>0</v>
      </c>
      <c r="L766" s="2">
        <f>VLOOKUP(A766,[1]aaabonddata!$A:$B,2,0)</f>
        <v>8.1</v>
      </c>
    </row>
    <row r="767" spans="1:12" x14ac:dyDescent="0.2">
      <c r="A767" s="3">
        <v>39883</v>
      </c>
      <c r="B767" s="2">
        <v>1125.95</v>
      </c>
      <c r="C767" s="2">
        <v>1135.4000000000001</v>
      </c>
      <c r="D767" s="2">
        <v>1106.72</v>
      </c>
      <c r="E767" s="2">
        <v>1903657633117</v>
      </c>
      <c r="F767" s="2">
        <v>249405519</v>
      </c>
      <c r="G767">
        <v>623.26</v>
      </c>
      <c r="H767">
        <v>627.92999999999995</v>
      </c>
      <c r="I767">
        <v>607.13</v>
      </c>
      <c r="J767">
        <v>3793556062</v>
      </c>
      <c r="K767">
        <v>0</v>
      </c>
      <c r="L767" s="2">
        <f>VLOOKUP(A767,[1]aaabonddata!$A:$B,2,0)</f>
        <v>8.0399999999999991</v>
      </c>
    </row>
    <row r="768" spans="1:12" x14ac:dyDescent="0.2">
      <c r="A768" s="3">
        <v>39884</v>
      </c>
      <c r="B768" s="2">
        <v>1164.71</v>
      </c>
      <c r="C768" s="2">
        <v>1167.19</v>
      </c>
      <c r="D768" s="2">
        <v>1113.67</v>
      </c>
      <c r="E768" s="2">
        <v>1969189488955</v>
      </c>
      <c r="F768" s="2">
        <v>0</v>
      </c>
      <c r="G768">
        <v>643.38</v>
      </c>
      <c r="H768">
        <v>644.38</v>
      </c>
      <c r="I768">
        <v>617.13</v>
      </c>
      <c r="J768">
        <v>3915977450</v>
      </c>
      <c r="K768">
        <v>0</v>
      </c>
      <c r="L768" s="2">
        <f>VLOOKUP(A768,[1]aaabonddata!$A:$B,2,0)</f>
        <v>7.55</v>
      </c>
    </row>
    <row r="769" spans="1:12" x14ac:dyDescent="0.2">
      <c r="A769" s="3">
        <v>39885</v>
      </c>
      <c r="B769" s="2">
        <v>1168.52</v>
      </c>
      <c r="C769" s="2">
        <v>1170.48</v>
      </c>
      <c r="D769" s="2">
        <v>1149.5899999999999</v>
      </c>
      <c r="E769" s="2">
        <v>1975631813863</v>
      </c>
      <c r="F769" s="2">
        <v>0</v>
      </c>
      <c r="G769">
        <v>646.73</v>
      </c>
      <c r="H769">
        <v>649.25</v>
      </c>
      <c r="I769">
        <v>635.98</v>
      </c>
      <c r="J769">
        <v>3936364217</v>
      </c>
      <c r="K769">
        <v>0</v>
      </c>
      <c r="L769" s="2">
        <f>VLOOKUP(A769,[1]aaabonddata!$A:$B,2,0)</f>
        <v>7.41</v>
      </c>
    </row>
    <row r="770" spans="1:12" x14ac:dyDescent="0.2">
      <c r="A770" s="3">
        <v>39888</v>
      </c>
      <c r="B770" s="2">
        <v>1145.45</v>
      </c>
      <c r="C770" s="2">
        <v>1177.33</v>
      </c>
      <c r="D770" s="2">
        <v>1144.21</v>
      </c>
      <c r="E770" s="2">
        <v>1936626310536</v>
      </c>
      <c r="F770" s="2">
        <v>0</v>
      </c>
      <c r="G770">
        <v>630.67999999999995</v>
      </c>
      <c r="H770">
        <v>651.36</v>
      </c>
      <c r="I770">
        <v>629.54</v>
      </c>
      <c r="J770">
        <v>3838695300</v>
      </c>
      <c r="K770">
        <v>0</v>
      </c>
      <c r="L770" s="2">
        <f>VLOOKUP(A770,[1]aaabonddata!$A:$B,2,0)</f>
        <v>6.95</v>
      </c>
    </row>
    <row r="771" spans="1:12" x14ac:dyDescent="0.2">
      <c r="A771" s="3">
        <v>39889</v>
      </c>
      <c r="B771" s="2">
        <v>1192.17</v>
      </c>
      <c r="C771" s="2">
        <v>1192.17</v>
      </c>
      <c r="D771" s="2">
        <v>1148.8</v>
      </c>
      <c r="E771" s="2">
        <v>2015609456889</v>
      </c>
      <c r="F771" s="2">
        <v>0</v>
      </c>
      <c r="G771">
        <v>656.97</v>
      </c>
      <c r="H771">
        <v>656.97</v>
      </c>
      <c r="I771">
        <v>629.14</v>
      </c>
      <c r="J771">
        <v>3998700849</v>
      </c>
      <c r="K771">
        <v>0</v>
      </c>
      <c r="L771" s="2">
        <f>VLOOKUP(A771,[1]aaabonddata!$A:$B,2,0)</f>
        <v>6.82</v>
      </c>
    </row>
    <row r="772" spans="1:12" x14ac:dyDescent="0.2">
      <c r="A772" s="3">
        <v>39890</v>
      </c>
      <c r="B772" s="2">
        <v>1206.96</v>
      </c>
      <c r="C772" s="2">
        <v>1225.1600000000001</v>
      </c>
      <c r="D772" s="2">
        <v>1180.3399999999999</v>
      </c>
      <c r="E772" s="2">
        <v>2040608641323</v>
      </c>
      <c r="F772" s="2">
        <v>0</v>
      </c>
      <c r="G772">
        <v>687.23</v>
      </c>
      <c r="H772">
        <v>695.59</v>
      </c>
      <c r="I772">
        <v>664.31</v>
      </c>
      <c r="J772">
        <v>4182878402</v>
      </c>
      <c r="K772">
        <v>0</v>
      </c>
      <c r="L772" s="2">
        <f>VLOOKUP(A772,[1]aaabonddata!$A:$B,2,0)</f>
        <v>6.36</v>
      </c>
    </row>
    <row r="773" spans="1:12" x14ac:dyDescent="0.2">
      <c r="A773" s="3">
        <v>39891</v>
      </c>
      <c r="B773" s="2">
        <v>1204.21</v>
      </c>
      <c r="C773" s="2">
        <v>1220.48</v>
      </c>
      <c r="D773" s="2">
        <v>1196.2</v>
      </c>
      <c r="E773" s="2">
        <v>2035962037378</v>
      </c>
      <c r="F773" s="2">
        <v>0</v>
      </c>
      <c r="G773">
        <v>686.4</v>
      </c>
      <c r="H773">
        <v>695.25</v>
      </c>
      <c r="I773">
        <v>682.94</v>
      </c>
      <c r="J773">
        <v>4177856224</v>
      </c>
      <c r="K773">
        <v>0</v>
      </c>
      <c r="L773" s="2">
        <f>VLOOKUP(A773,[1]aaabonddata!$A:$B,2,0)</f>
        <v>6.37</v>
      </c>
    </row>
    <row r="774" spans="1:12" x14ac:dyDescent="0.2">
      <c r="A774" s="3">
        <v>39892</v>
      </c>
      <c r="B774" s="2">
        <v>1187.18</v>
      </c>
      <c r="C774" s="2">
        <v>1220.5</v>
      </c>
      <c r="D774" s="2">
        <v>1178.52</v>
      </c>
      <c r="E774" s="2">
        <v>2007177173600</v>
      </c>
      <c r="F774" s="2">
        <v>0</v>
      </c>
      <c r="G774">
        <v>666.75</v>
      </c>
      <c r="H774">
        <v>693.41</v>
      </c>
      <c r="I774">
        <v>659.95</v>
      </c>
      <c r="J774">
        <v>4058259710</v>
      </c>
      <c r="K774">
        <v>0</v>
      </c>
      <c r="L774" s="2">
        <f>VLOOKUP(A774,[1]aaabonddata!$A:$B,2,0)</f>
        <v>6.35</v>
      </c>
    </row>
    <row r="775" spans="1:12" x14ac:dyDescent="0.2">
      <c r="A775" s="3">
        <v>39895</v>
      </c>
      <c r="B775" s="2">
        <v>1259.81</v>
      </c>
      <c r="C775" s="2">
        <v>1259.81</v>
      </c>
      <c r="D775" s="2">
        <v>1203.8499999999999</v>
      </c>
      <c r="E775" s="2">
        <v>2124118734624</v>
      </c>
      <c r="F775" s="2">
        <v>0</v>
      </c>
      <c r="G775">
        <v>709.38</v>
      </c>
      <c r="H775">
        <v>709.38</v>
      </c>
      <c r="I775">
        <v>678.93</v>
      </c>
      <c r="J775">
        <v>4149337386</v>
      </c>
      <c r="K775">
        <v>0</v>
      </c>
      <c r="L775" s="2">
        <f>VLOOKUP(A775,[1]aaabonddata!$A:$B,2,0)</f>
        <v>6.34</v>
      </c>
    </row>
    <row r="776" spans="1:12" x14ac:dyDescent="0.2">
      <c r="A776" s="3">
        <v>39896</v>
      </c>
      <c r="B776" s="2">
        <v>1234.3399999999999</v>
      </c>
      <c r="C776" s="2">
        <v>1255.0999999999999</v>
      </c>
      <c r="D776" s="2">
        <v>1232.74</v>
      </c>
      <c r="E776" s="2">
        <v>2081181766765</v>
      </c>
      <c r="F776" s="2">
        <v>13398012</v>
      </c>
      <c r="G776">
        <v>695.03</v>
      </c>
      <c r="H776">
        <v>706.3</v>
      </c>
      <c r="I776">
        <v>692.49</v>
      </c>
      <c r="J776">
        <v>4065395580</v>
      </c>
      <c r="K776">
        <v>0</v>
      </c>
      <c r="L776" s="2">
        <f>VLOOKUP(A776,[1]aaabonddata!$A:$B,2,0)</f>
        <v>6.27</v>
      </c>
    </row>
    <row r="777" spans="1:12" x14ac:dyDescent="0.2">
      <c r="A777" s="3">
        <v>39897</v>
      </c>
      <c r="B777" s="2">
        <v>1236.6600000000001</v>
      </c>
      <c r="C777" s="2">
        <v>1261.4100000000001</v>
      </c>
      <c r="D777" s="2">
        <v>1206.52</v>
      </c>
      <c r="E777" s="2">
        <v>2085097172239</v>
      </c>
      <c r="F777" s="2">
        <v>74260340</v>
      </c>
      <c r="G777">
        <v>698.08</v>
      </c>
      <c r="H777">
        <v>713.87</v>
      </c>
      <c r="I777">
        <v>681.13</v>
      </c>
      <c r="J777">
        <v>4083255149</v>
      </c>
      <c r="K777">
        <v>0</v>
      </c>
      <c r="L777" s="2">
        <f>VLOOKUP(A777,[1]aaabonddata!$A:$B,2,0)</f>
        <v>6.32</v>
      </c>
    </row>
    <row r="778" spans="1:12" x14ac:dyDescent="0.2">
      <c r="A778" s="3">
        <v>39898</v>
      </c>
      <c r="B778" s="2">
        <v>1281.3</v>
      </c>
      <c r="C778" s="2">
        <v>1281.3</v>
      </c>
      <c r="D778" s="2">
        <v>1250.1400000000001</v>
      </c>
      <c r="E778" s="2">
        <v>2160352462121</v>
      </c>
      <c r="F778" s="2">
        <v>0</v>
      </c>
      <c r="G778">
        <v>728.76</v>
      </c>
      <c r="H778">
        <v>728.76</v>
      </c>
      <c r="I778">
        <v>706.36</v>
      </c>
      <c r="J778">
        <v>4262710239</v>
      </c>
      <c r="K778">
        <v>0</v>
      </c>
      <c r="L778" s="2">
        <f>VLOOKUP(A778,[1]aaabonddata!$A:$B,2,0)</f>
        <v>6.24</v>
      </c>
    </row>
    <row r="779" spans="1:12" x14ac:dyDescent="0.2">
      <c r="A779" s="3">
        <v>39899</v>
      </c>
      <c r="B779" s="2">
        <v>1251.47</v>
      </c>
      <c r="C779" s="2">
        <v>1267.27</v>
      </c>
      <c r="D779" s="2">
        <v>1248.8699999999999</v>
      </c>
      <c r="E779" s="2">
        <v>2110054491116</v>
      </c>
      <c r="F779" s="2">
        <v>35252231</v>
      </c>
      <c r="G779">
        <v>704.92</v>
      </c>
      <c r="H779">
        <v>716.88</v>
      </c>
      <c r="I779">
        <v>703.26</v>
      </c>
      <c r="J779">
        <v>4123232362</v>
      </c>
      <c r="K779">
        <v>0</v>
      </c>
      <c r="L779" s="2">
        <f>VLOOKUP(A779,[1]aaabonddata!$A:$B,2,0)</f>
        <v>6.24</v>
      </c>
    </row>
    <row r="780" spans="1:12" x14ac:dyDescent="0.2">
      <c r="A780" s="3">
        <v>39902</v>
      </c>
      <c r="B780" s="2">
        <v>1220.81</v>
      </c>
      <c r="C780" s="2">
        <v>1231.48</v>
      </c>
      <c r="D780" s="2">
        <v>1204.96</v>
      </c>
      <c r="E780" s="2">
        <v>2058372545113</v>
      </c>
      <c r="F780" s="2">
        <v>0</v>
      </c>
      <c r="G780">
        <v>682.3</v>
      </c>
      <c r="H780">
        <v>692.11</v>
      </c>
      <c r="I780">
        <v>673.08</v>
      </c>
      <c r="J780">
        <v>3990949454</v>
      </c>
      <c r="K780">
        <v>0</v>
      </c>
      <c r="L780" s="2">
        <f>VLOOKUP(A780,[1]aaabonddata!$A:$B,2,0)</f>
        <v>6.22</v>
      </c>
    </row>
    <row r="781" spans="1:12" x14ac:dyDescent="0.2">
      <c r="A781" s="3">
        <v>39903</v>
      </c>
      <c r="B781" s="2">
        <v>1237.01</v>
      </c>
      <c r="C781" s="2">
        <v>1258.08</v>
      </c>
      <c r="D781" s="2">
        <v>1231.52</v>
      </c>
      <c r="E781" s="2">
        <v>2085675614305</v>
      </c>
      <c r="F781" s="2">
        <v>0</v>
      </c>
      <c r="G781">
        <v>692.71</v>
      </c>
      <c r="H781">
        <v>705.87</v>
      </c>
      <c r="I781">
        <v>688.62</v>
      </c>
      <c r="J781">
        <v>4051810683</v>
      </c>
      <c r="K781">
        <v>0</v>
      </c>
      <c r="L781" s="2">
        <f>VLOOKUP(A781,[1]aaabonddata!$A:$B,2,0)</f>
        <v>4.72</v>
      </c>
    </row>
    <row r="782" spans="1:12" x14ac:dyDescent="0.2">
      <c r="A782" s="3">
        <v>39904</v>
      </c>
      <c r="B782" s="2">
        <v>1252.51</v>
      </c>
      <c r="C782" s="2">
        <v>1255.03</v>
      </c>
      <c r="D782" s="2">
        <v>1211.5999999999999</v>
      </c>
      <c r="E782" s="2">
        <v>2112905015676</v>
      </c>
      <c r="F782" s="2">
        <v>0</v>
      </c>
      <c r="G782">
        <v>707.7</v>
      </c>
      <c r="H782">
        <v>708.82</v>
      </c>
      <c r="I782">
        <v>679.55</v>
      </c>
      <c r="J782">
        <v>4139491694</v>
      </c>
      <c r="K782">
        <v>0</v>
      </c>
      <c r="L782" s="2">
        <f>VLOOKUP(A782,[1]aaabonddata!$A:$B,2,0)</f>
        <v>4.68</v>
      </c>
    </row>
    <row r="783" spans="1:12" x14ac:dyDescent="0.2">
      <c r="A783" s="3">
        <v>39905</v>
      </c>
      <c r="B783" s="2">
        <v>1294.3</v>
      </c>
      <c r="C783" s="2">
        <v>1311.67</v>
      </c>
      <c r="D783" s="2">
        <v>1269.9100000000001</v>
      </c>
      <c r="E783" s="2">
        <v>2183406772685</v>
      </c>
      <c r="F783" s="2">
        <v>0</v>
      </c>
      <c r="G783">
        <v>734.54</v>
      </c>
      <c r="H783">
        <v>747.59</v>
      </c>
      <c r="I783">
        <v>721.11</v>
      </c>
      <c r="J783">
        <v>4296477897</v>
      </c>
      <c r="K783">
        <v>0</v>
      </c>
      <c r="L783" s="2">
        <f>VLOOKUP(A783,[1]aaabonddata!$A:$B,2,0)</f>
        <v>4.7699999999999996</v>
      </c>
    </row>
    <row r="784" spans="1:12" x14ac:dyDescent="0.2">
      <c r="A784" s="3">
        <v>39906</v>
      </c>
      <c r="B784" s="2">
        <v>1316.16</v>
      </c>
      <c r="C784" s="2">
        <v>1316.71</v>
      </c>
      <c r="D784" s="2">
        <v>1294.1600000000001</v>
      </c>
      <c r="E784" s="2">
        <v>2220283029548</v>
      </c>
      <c r="F784" s="2">
        <v>0</v>
      </c>
      <c r="G784">
        <v>751.46</v>
      </c>
      <c r="H784">
        <v>751.46</v>
      </c>
      <c r="I784">
        <v>730.98</v>
      </c>
      <c r="J784">
        <v>4395483140</v>
      </c>
      <c r="K784">
        <v>0</v>
      </c>
      <c r="L784" s="2">
        <f>VLOOKUP(A784,[1]aaabonddata!$A:$B,2,0)</f>
        <v>4.91</v>
      </c>
    </row>
    <row r="785" spans="1:12" x14ac:dyDescent="0.2">
      <c r="A785" s="3">
        <v>39909</v>
      </c>
      <c r="B785" s="2">
        <v>1313.1</v>
      </c>
      <c r="C785" s="2">
        <v>1313.95</v>
      </c>
      <c r="D785" s="2">
        <v>1286.95</v>
      </c>
      <c r="E785" s="2">
        <v>2215120456912</v>
      </c>
      <c r="F785" s="2">
        <v>380603718</v>
      </c>
      <c r="G785">
        <v>740.79</v>
      </c>
      <c r="H785">
        <v>741.95</v>
      </c>
      <c r="I785">
        <v>725.71</v>
      </c>
      <c r="J785">
        <v>4333039778</v>
      </c>
      <c r="K785">
        <v>292397</v>
      </c>
      <c r="L785" s="2">
        <f>VLOOKUP(A785,[1]aaabonddata!$A:$B,2,0)</f>
        <v>4.93</v>
      </c>
    </row>
    <row r="786" spans="1:12" x14ac:dyDescent="0.2">
      <c r="A786" s="3">
        <v>39910</v>
      </c>
      <c r="B786" s="2">
        <v>1275.42</v>
      </c>
      <c r="C786" s="2">
        <v>1296.3499999999999</v>
      </c>
      <c r="D786" s="2">
        <v>1268.79</v>
      </c>
      <c r="E786" s="2">
        <v>2151552886758</v>
      </c>
      <c r="F786" s="2">
        <v>0</v>
      </c>
      <c r="G786">
        <v>717.4</v>
      </c>
      <c r="H786">
        <v>730.06</v>
      </c>
      <c r="I786">
        <v>713.01</v>
      </c>
      <c r="J786">
        <v>4196232205</v>
      </c>
      <c r="K786">
        <v>0</v>
      </c>
      <c r="L786" s="2">
        <f>VLOOKUP(A786,[1]aaabonddata!$A:$B,2,0)</f>
        <v>4.91</v>
      </c>
    </row>
    <row r="787" spans="1:12" x14ac:dyDescent="0.2">
      <c r="A787" s="3">
        <v>39911</v>
      </c>
      <c r="B787" s="2">
        <v>1300.75</v>
      </c>
      <c r="C787" s="2">
        <v>1306.5</v>
      </c>
      <c r="D787" s="2">
        <v>1280.29</v>
      </c>
      <c r="E787" s="2">
        <v>2194286997684</v>
      </c>
      <c r="F787" s="2">
        <v>0</v>
      </c>
      <c r="G787">
        <v>739.2</v>
      </c>
      <c r="H787">
        <v>743.49</v>
      </c>
      <c r="I787">
        <v>721.48</v>
      </c>
      <c r="J787">
        <v>4323785154</v>
      </c>
      <c r="K787">
        <v>0</v>
      </c>
      <c r="L787" s="2">
        <f>VLOOKUP(A787,[1]aaabonddata!$A:$B,2,0)</f>
        <v>4.8499999999999996</v>
      </c>
    </row>
    <row r="788" spans="1:12" x14ac:dyDescent="0.2">
      <c r="A788" s="3">
        <v>39912</v>
      </c>
      <c r="B788" s="2">
        <v>1340.28</v>
      </c>
      <c r="C788" s="2">
        <v>1341.77</v>
      </c>
      <c r="D788" s="2">
        <v>1319.28</v>
      </c>
      <c r="E788" s="2">
        <v>2260964905763</v>
      </c>
      <c r="F788" s="2">
        <v>0</v>
      </c>
      <c r="G788">
        <v>766.65</v>
      </c>
      <c r="H788">
        <v>768.34</v>
      </c>
      <c r="I788">
        <v>751.57</v>
      </c>
      <c r="J788">
        <v>4484325804</v>
      </c>
      <c r="K788">
        <v>0</v>
      </c>
      <c r="L788" s="2">
        <f>VLOOKUP(A788,[1]aaabonddata!$A:$B,2,0)</f>
        <v>4.8899999999999997</v>
      </c>
    </row>
    <row r="789" spans="1:12" x14ac:dyDescent="0.2">
      <c r="A789" s="3">
        <v>39916</v>
      </c>
      <c r="B789" s="2">
        <v>1336.67</v>
      </c>
      <c r="C789" s="2">
        <v>1344.48</v>
      </c>
      <c r="D789" s="2">
        <v>1322.94</v>
      </c>
      <c r="E789" s="2">
        <v>2254878008938</v>
      </c>
      <c r="F789" s="2">
        <v>0</v>
      </c>
      <c r="G789">
        <v>759.61</v>
      </c>
      <c r="H789">
        <v>764.68</v>
      </c>
      <c r="I789">
        <v>747.91</v>
      </c>
      <c r="J789">
        <v>4443143580</v>
      </c>
      <c r="K789">
        <v>0</v>
      </c>
      <c r="L789" s="2">
        <f>VLOOKUP(A789,[1]aaabonddata!$A:$B,2,0)</f>
        <v>4.8</v>
      </c>
    </row>
    <row r="790" spans="1:12" x14ac:dyDescent="0.2">
      <c r="A790" s="3">
        <v>39917</v>
      </c>
      <c r="B790" s="2">
        <v>1322.31</v>
      </c>
      <c r="C790" s="2">
        <v>1336.35</v>
      </c>
      <c r="D790" s="2">
        <v>1312.37</v>
      </c>
      <c r="E790" s="2">
        <v>2230648881146</v>
      </c>
      <c r="F790" s="2">
        <v>0</v>
      </c>
      <c r="G790">
        <v>755.64</v>
      </c>
      <c r="H790">
        <v>765.51</v>
      </c>
      <c r="I790">
        <v>746.68</v>
      </c>
      <c r="J790">
        <v>4419949824</v>
      </c>
      <c r="K790">
        <v>0</v>
      </c>
      <c r="L790" s="2">
        <f>VLOOKUP(A790,[1]aaabonddata!$A:$B,2,0)</f>
        <v>4.72</v>
      </c>
    </row>
    <row r="791" spans="1:12" x14ac:dyDescent="0.2">
      <c r="A791" s="3">
        <v>39918</v>
      </c>
      <c r="B791" s="2">
        <v>1316.51</v>
      </c>
      <c r="C791" s="2">
        <v>1317.93</v>
      </c>
      <c r="D791" s="2">
        <v>1295.0999999999999</v>
      </c>
      <c r="E791" s="2">
        <v>2220876196268</v>
      </c>
      <c r="F791" s="2">
        <v>0</v>
      </c>
      <c r="G791">
        <v>747.81</v>
      </c>
      <c r="H791">
        <v>748.54</v>
      </c>
      <c r="I791">
        <v>734.38</v>
      </c>
      <c r="J791">
        <v>4374126874</v>
      </c>
      <c r="K791">
        <v>0</v>
      </c>
      <c r="L791" s="2">
        <f>VLOOKUP(A791,[1]aaabonddata!$A:$B,2,0)</f>
        <v>4.7</v>
      </c>
    </row>
    <row r="792" spans="1:12" x14ac:dyDescent="0.2">
      <c r="A792" s="3">
        <v>39919</v>
      </c>
      <c r="B792" s="2">
        <v>1352.98</v>
      </c>
      <c r="C792" s="2">
        <v>1358.71</v>
      </c>
      <c r="D792" s="2">
        <v>1322.22</v>
      </c>
      <c r="E792" s="2">
        <v>2282393951877</v>
      </c>
      <c r="F792" s="2">
        <v>0</v>
      </c>
      <c r="G792">
        <v>773.39</v>
      </c>
      <c r="H792">
        <v>776.39</v>
      </c>
      <c r="I792">
        <v>750.62</v>
      </c>
      <c r="J792">
        <v>4523772207</v>
      </c>
      <c r="K792">
        <v>0</v>
      </c>
      <c r="L792" s="2">
        <f>VLOOKUP(A792,[1]aaabonddata!$A:$B,2,0)</f>
        <v>4.76</v>
      </c>
    </row>
    <row r="793" spans="1:12" x14ac:dyDescent="0.2">
      <c r="A793" s="3">
        <v>39920</v>
      </c>
      <c r="B793" s="2">
        <v>1353.92</v>
      </c>
      <c r="C793" s="2">
        <v>1361.68</v>
      </c>
      <c r="D793" s="2">
        <v>1339.13</v>
      </c>
      <c r="E793" s="2">
        <v>2283974532056</v>
      </c>
      <c r="F793" s="2">
        <v>0</v>
      </c>
      <c r="G793">
        <v>776.37</v>
      </c>
      <c r="H793">
        <v>779.89</v>
      </c>
      <c r="I793">
        <v>762.67</v>
      </c>
      <c r="J793">
        <v>4541174690</v>
      </c>
      <c r="K793">
        <v>0</v>
      </c>
      <c r="L793" s="2">
        <f>VLOOKUP(A793,[1]aaabonddata!$A:$B,2,0)</f>
        <v>4.82</v>
      </c>
    </row>
    <row r="794" spans="1:12" x14ac:dyDescent="0.2">
      <c r="A794" s="3">
        <v>39923</v>
      </c>
      <c r="B794" s="2">
        <v>1309.3699999999999</v>
      </c>
      <c r="C794" s="2">
        <v>1333.72</v>
      </c>
      <c r="D794" s="2">
        <v>1303.8499999999999</v>
      </c>
      <c r="E794" s="2">
        <v>2208823545992</v>
      </c>
      <c r="F794" s="2">
        <v>0</v>
      </c>
      <c r="G794">
        <v>749.6</v>
      </c>
      <c r="H794">
        <v>765.6</v>
      </c>
      <c r="I794">
        <v>747.61</v>
      </c>
      <c r="J794">
        <v>4384586207</v>
      </c>
      <c r="K794">
        <v>0</v>
      </c>
      <c r="L794" s="2">
        <f>VLOOKUP(A794,[1]aaabonddata!$A:$B,2,0)</f>
        <v>4.7300000000000004</v>
      </c>
    </row>
    <row r="795" spans="1:12" x14ac:dyDescent="0.2">
      <c r="A795" s="3">
        <v>39924</v>
      </c>
      <c r="B795" s="2">
        <v>1329.06</v>
      </c>
      <c r="C795" s="2">
        <v>1330.67</v>
      </c>
      <c r="D795" s="2">
        <v>1303.73</v>
      </c>
      <c r="E795" s="2">
        <v>2242033880636</v>
      </c>
      <c r="F795" s="2">
        <v>0</v>
      </c>
      <c r="G795">
        <v>759.93</v>
      </c>
      <c r="H795">
        <v>763.02</v>
      </c>
      <c r="I795">
        <v>746.09</v>
      </c>
      <c r="J795">
        <v>4445032325</v>
      </c>
      <c r="K795">
        <v>0</v>
      </c>
      <c r="L795" s="2">
        <f>VLOOKUP(A795,[1]aaabonddata!$A:$B,2,0)</f>
        <v>4.71</v>
      </c>
    </row>
    <row r="796" spans="1:12" x14ac:dyDescent="0.2">
      <c r="A796" s="3">
        <v>39925</v>
      </c>
      <c r="B796" s="2">
        <v>1335.72</v>
      </c>
      <c r="C796" s="2">
        <v>1362.84</v>
      </c>
      <c r="D796" s="2">
        <v>1317.51</v>
      </c>
      <c r="E796" s="2">
        <v>2253275112306</v>
      </c>
      <c r="F796" s="2">
        <v>0</v>
      </c>
      <c r="G796">
        <v>771.46</v>
      </c>
      <c r="H796">
        <v>789.13</v>
      </c>
      <c r="I796">
        <v>747</v>
      </c>
      <c r="J796">
        <v>4512465069</v>
      </c>
      <c r="K796">
        <v>0</v>
      </c>
      <c r="L796" s="2">
        <f>VLOOKUP(A796,[1]aaabonddata!$A:$B,2,0)</f>
        <v>4.75</v>
      </c>
    </row>
    <row r="797" spans="1:12" x14ac:dyDescent="0.2">
      <c r="A797" s="3">
        <v>39926</v>
      </c>
      <c r="B797" s="2">
        <v>1344.41</v>
      </c>
      <c r="C797" s="2">
        <v>1345.67</v>
      </c>
      <c r="D797" s="2">
        <v>1321.42</v>
      </c>
      <c r="E797" s="2">
        <v>2267940280575</v>
      </c>
      <c r="F797" s="2">
        <v>0</v>
      </c>
      <c r="G797">
        <v>767.28</v>
      </c>
      <c r="H797">
        <v>769.85</v>
      </c>
      <c r="I797">
        <v>751.11</v>
      </c>
      <c r="J797">
        <v>4487988378</v>
      </c>
      <c r="K797">
        <v>0</v>
      </c>
      <c r="L797" s="2">
        <f>VLOOKUP(A797,[1]aaabonddata!$A:$B,2,0)</f>
        <v>4.72</v>
      </c>
    </row>
    <row r="798" spans="1:12" x14ac:dyDescent="0.2">
      <c r="A798" s="3">
        <v>39927</v>
      </c>
      <c r="B798" s="2">
        <v>1373.28</v>
      </c>
      <c r="C798" s="2">
        <v>1379.38</v>
      </c>
      <c r="D798" s="2">
        <v>1345.03</v>
      </c>
      <c r="E798" s="2">
        <v>2316632290775</v>
      </c>
      <c r="F798" s="2">
        <v>0</v>
      </c>
      <c r="G798">
        <v>789.68</v>
      </c>
      <c r="H798">
        <v>791.99</v>
      </c>
      <c r="I798">
        <v>766.29</v>
      </c>
      <c r="J798">
        <v>4619006962</v>
      </c>
      <c r="K798">
        <v>0</v>
      </c>
      <c r="L798" s="2">
        <f>VLOOKUP(A798,[1]aaabonddata!$A:$B,2,0)</f>
        <v>4.7300000000000004</v>
      </c>
    </row>
    <row r="799" spans="1:12" x14ac:dyDescent="0.2">
      <c r="A799" s="3">
        <v>39930</v>
      </c>
      <c r="B799" s="2">
        <v>1369.94</v>
      </c>
      <c r="C799" s="2">
        <v>1384.85</v>
      </c>
      <c r="D799" s="2">
        <v>1357.39</v>
      </c>
      <c r="E799" s="2">
        <v>2310996361715</v>
      </c>
      <c r="F799" s="2">
        <v>0</v>
      </c>
      <c r="G799">
        <v>780.09</v>
      </c>
      <c r="H799">
        <v>793.44</v>
      </c>
      <c r="I799">
        <v>774.3</v>
      </c>
      <c r="J799">
        <v>4562911811</v>
      </c>
      <c r="K799">
        <v>0</v>
      </c>
      <c r="L799" s="2">
        <f>VLOOKUP(A799,[1]aaabonddata!$A:$B,2,0)</f>
        <v>4.67</v>
      </c>
    </row>
    <row r="800" spans="1:12" x14ac:dyDescent="0.2">
      <c r="A800" s="3">
        <v>39931</v>
      </c>
      <c r="B800" s="2">
        <v>1361.92</v>
      </c>
      <c r="C800" s="2">
        <v>1378.56</v>
      </c>
      <c r="D800" s="2">
        <v>1355.99</v>
      </c>
      <c r="E800" s="2">
        <v>2297467436396</v>
      </c>
      <c r="F800" s="2">
        <v>0</v>
      </c>
      <c r="G800">
        <v>772.14</v>
      </c>
      <c r="H800">
        <v>780.17</v>
      </c>
      <c r="I800">
        <v>767.94</v>
      </c>
      <c r="J800">
        <v>4516419840</v>
      </c>
      <c r="K800">
        <v>0</v>
      </c>
      <c r="L800" s="2">
        <f>VLOOKUP(A800,[1]aaabonddata!$A:$B,2,0)</f>
        <v>4.7300000000000004</v>
      </c>
    </row>
    <row r="801" spans="1:12" x14ac:dyDescent="0.2">
      <c r="A801" s="3">
        <v>39932</v>
      </c>
      <c r="B801" s="2">
        <v>1382.38</v>
      </c>
      <c r="C801" s="2">
        <v>1398.36</v>
      </c>
      <c r="D801" s="2">
        <v>1370.52</v>
      </c>
      <c r="E801" s="2">
        <v>2331981855128</v>
      </c>
      <c r="F801" s="2">
        <v>199325348</v>
      </c>
      <c r="G801">
        <v>786.97</v>
      </c>
      <c r="H801">
        <v>797.2</v>
      </c>
      <c r="I801">
        <v>776.26</v>
      </c>
      <c r="J801">
        <v>4603155615</v>
      </c>
      <c r="K801">
        <v>0</v>
      </c>
      <c r="L801" s="2">
        <f>VLOOKUP(A801,[1]aaabonddata!$A:$B,2,0)</f>
        <v>4.7699999999999996</v>
      </c>
    </row>
    <row r="802" spans="1:12" x14ac:dyDescent="0.2">
      <c r="A802" s="3">
        <v>39933</v>
      </c>
      <c r="B802" s="2">
        <v>1394.33</v>
      </c>
      <c r="C802" s="2">
        <v>1418.77</v>
      </c>
      <c r="D802" s="2">
        <v>1384.37</v>
      </c>
      <c r="E802" s="2">
        <v>2352149006624</v>
      </c>
      <c r="F802" s="2">
        <v>0</v>
      </c>
      <c r="G802">
        <v>805.86</v>
      </c>
      <c r="H802">
        <v>817.25</v>
      </c>
      <c r="I802">
        <v>795.94</v>
      </c>
      <c r="J802">
        <v>4713697959</v>
      </c>
      <c r="K802">
        <v>0</v>
      </c>
      <c r="L802" s="2">
        <f>VLOOKUP(A802,[1]aaabonddata!$A:$B,2,0)</f>
        <v>4.75</v>
      </c>
    </row>
    <row r="803" spans="1:12" x14ac:dyDescent="0.2">
      <c r="A803" s="3">
        <v>39934</v>
      </c>
      <c r="B803" s="2">
        <v>1396.62</v>
      </c>
      <c r="C803" s="2">
        <v>1403.89</v>
      </c>
      <c r="D803" s="2">
        <v>1382.9</v>
      </c>
      <c r="E803" s="2">
        <v>2356002344074</v>
      </c>
      <c r="F803" s="2">
        <v>0</v>
      </c>
      <c r="G803">
        <v>812.79</v>
      </c>
      <c r="H803">
        <v>818.03</v>
      </c>
      <c r="I803">
        <v>800.82</v>
      </c>
      <c r="J803">
        <v>4754237124</v>
      </c>
      <c r="K803">
        <v>0</v>
      </c>
      <c r="L803" s="2">
        <f>VLOOKUP(A803,[1]aaabonddata!$A:$B,2,0)</f>
        <v>4.76</v>
      </c>
    </row>
    <row r="804" spans="1:12" x14ac:dyDescent="0.2">
      <c r="A804" s="3">
        <v>39937</v>
      </c>
      <c r="B804" s="2">
        <v>1427.96</v>
      </c>
      <c r="C804" s="2">
        <v>1428.02</v>
      </c>
      <c r="D804" s="2">
        <v>1403.47</v>
      </c>
      <c r="E804" s="2">
        <v>2408872511878</v>
      </c>
      <c r="F804" s="2">
        <v>0</v>
      </c>
      <c r="G804">
        <v>837.21</v>
      </c>
      <c r="H804">
        <v>837.39</v>
      </c>
      <c r="I804">
        <v>819.44</v>
      </c>
      <c r="J804">
        <v>4897027922</v>
      </c>
      <c r="K804">
        <v>0</v>
      </c>
      <c r="L804" s="2">
        <f>VLOOKUP(A804,[1]aaabonddata!$A:$B,2,0)</f>
        <v>4.7699999999999996</v>
      </c>
    </row>
    <row r="805" spans="1:12" x14ac:dyDescent="0.2">
      <c r="A805" s="3">
        <v>39938</v>
      </c>
      <c r="B805" s="2">
        <v>1423.81</v>
      </c>
      <c r="C805" s="2">
        <v>1425.05</v>
      </c>
      <c r="D805" s="2">
        <v>1408.29</v>
      </c>
      <c r="E805" s="2">
        <v>2401882779723</v>
      </c>
      <c r="F805" s="2">
        <v>512185359</v>
      </c>
      <c r="G805">
        <v>829.89</v>
      </c>
      <c r="H805">
        <v>835.52</v>
      </c>
      <c r="I805">
        <v>820.96</v>
      </c>
      <c r="J805">
        <v>4854235565</v>
      </c>
      <c r="K805">
        <v>955631</v>
      </c>
      <c r="L805" s="2">
        <f>VLOOKUP(A805,[1]aaabonddata!$A:$B,2,0)</f>
        <v>4.7699999999999996</v>
      </c>
    </row>
    <row r="806" spans="1:12" x14ac:dyDescent="0.2">
      <c r="A806" s="3">
        <v>39939</v>
      </c>
      <c r="B806" s="2">
        <v>1423.85</v>
      </c>
      <c r="C806" s="2">
        <v>1435.8</v>
      </c>
      <c r="D806" s="2">
        <v>1401.1</v>
      </c>
      <c r="E806" s="2">
        <v>2401939415779</v>
      </c>
      <c r="F806" s="2">
        <v>0</v>
      </c>
      <c r="G806">
        <v>831.12</v>
      </c>
      <c r="H806">
        <v>838.06</v>
      </c>
      <c r="I806">
        <v>813.4</v>
      </c>
      <c r="J806">
        <v>4861430194</v>
      </c>
      <c r="K806">
        <v>0</v>
      </c>
      <c r="L806" s="2">
        <f>VLOOKUP(A806,[1]aaabonddata!$A:$B,2,0)</f>
        <v>4.7699999999999996</v>
      </c>
    </row>
    <row r="807" spans="1:12" x14ac:dyDescent="0.2">
      <c r="A807" s="3">
        <v>39940</v>
      </c>
      <c r="B807" s="2">
        <v>1389.83</v>
      </c>
      <c r="C807" s="2">
        <v>1431.36</v>
      </c>
      <c r="D807" s="2">
        <v>1377.55</v>
      </c>
      <c r="E807" s="2">
        <v>2344551379653</v>
      </c>
      <c r="F807" s="2">
        <v>38742204</v>
      </c>
      <c r="G807">
        <v>794.33</v>
      </c>
      <c r="H807">
        <v>833.76</v>
      </c>
      <c r="I807">
        <v>786.8</v>
      </c>
      <c r="J807">
        <v>4646238089</v>
      </c>
      <c r="K807">
        <v>290023</v>
      </c>
      <c r="L807" s="2">
        <f>VLOOKUP(A807,[1]aaabonddata!$A:$B,2,0)</f>
        <v>4.88</v>
      </c>
    </row>
    <row r="808" spans="1:12" x14ac:dyDescent="0.2">
      <c r="A808" s="3">
        <v>39941</v>
      </c>
      <c r="B808" s="2">
        <v>1394.16</v>
      </c>
      <c r="C808" s="2">
        <v>1411.27</v>
      </c>
      <c r="D808" s="2">
        <v>1377.06</v>
      </c>
      <c r="E808" s="2">
        <v>2351860098421</v>
      </c>
      <c r="F808" s="2">
        <v>155554166</v>
      </c>
      <c r="G808">
        <v>790.93</v>
      </c>
      <c r="H808">
        <v>803.08</v>
      </c>
      <c r="I808">
        <v>779.39</v>
      </c>
      <c r="J808">
        <v>4626327256</v>
      </c>
      <c r="K808">
        <v>0</v>
      </c>
      <c r="L808" s="2">
        <f>VLOOKUP(A808,[1]aaabonddata!$A:$B,2,0)</f>
        <v>4.87</v>
      </c>
    </row>
    <row r="809" spans="1:12" x14ac:dyDescent="0.2">
      <c r="A809" s="3">
        <v>39944</v>
      </c>
      <c r="B809" s="2">
        <v>1395.79</v>
      </c>
      <c r="C809" s="2">
        <v>1410.43</v>
      </c>
      <c r="D809" s="2">
        <v>1369.36</v>
      </c>
      <c r="E809" s="2">
        <v>2354608035462</v>
      </c>
      <c r="F809" s="2">
        <v>95627267</v>
      </c>
      <c r="G809">
        <v>790.88</v>
      </c>
      <c r="H809">
        <v>799.98</v>
      </c>
      <c r="I809">
        <v>774.05</v>
      </c>
      <c r="J809">
        <v>4626070762</v>
      </c>
      <c r="K809">
        <v>725388</v>
      </c>
      <c r="L809" s="2">
        <f>VLOOKUP(A809,[1]aaabonddata!$A:$B,2,0)</f>
        <v>4.7699999999999996</v>
      </c>
    </row>
    <row r="810" spans="1:12" x14ac:dyDescent="0.2">
      <c r="A810" s="3">
        <v>39945</v>
      </c>
      <c r="B810" s="2">
        <v>1377.4</v>
      </c>
      <c r="C810" s="2">
        <v>1402.14</v>
      </c>
      <c r="D810" s="2">
        <v>1362.08</v>
      </c>
      <c r="E810" s="2">
        <v>2323592035262</v>
      </c>
      <c r="F810" s="2">
        <v>77481539</v>
      </c>
      <c r="G810">
        <v>781.32</v>
      </c>
      <c r="H810">
        <v>795.67</v>
      </c>
      <c r="I810">
        <v>769.8</v>
      </c>
      <c r="J810">
        <v>4570127311</v>
      </c>
      <c r="K810">
        <v>587659</v>
      </c>
      <c r="L810" s="2">
        <f>VLOOKUP(A810,[1]aaabonddata!$A:$B,2,0)</f>
        <v>4.7300000000000004</v>
      </c>
    </row>
    <row r="811" spans="1:12" x14ac:dyDescent="0.2">
      <c r="A811" s="3">
        <v>39946</v>
      </c>
      <c r="B811" s="2">
        <v>1339.83</v>
      </c>
      <c r="C811" s="2">
        <v>1365.33</v>
      </c>
      <c r="D811" s="2">
        <v>1339.82</v>
      </c>
      <c r="E811" s="2">
        <v>2260531261380</v>
      </c>
      <c r="F811" s="2">
        <v>283728627</v>
      </c>
      <c r="G811">
        <v>758.72</v>
      </c>
      <c r="H811">
        <v>774.53</v>
      </c>
      <c r="I811">
        <v>757.18</v>
      </c>
      <c r="J811">
        <v>4437963488</v>
      </c>
      <c r="K811">
        <v>1744878</v>
      </c>
      <c r="L811" s="2">
        <f>VLOOKUP(A811,[1]aaabonddata!$A:$B,2,0)</f>
        <v>4.66</v>
      </c>
    </row>
    <row r="812" spans="1:12" x14ac:dyDescent="0.2">
      <c r="A812" s="3">
        <v>39947</v>
      </c>
      <c r="B812" s="2">
        <v>1359.67</v>
      </c>
      <c r="C812" s="2">
        <v>1369.31</v>
      </c>
      <c r="D812" s="2">
        <v>1344.77</v>
      </c>
      <c r="E812" s="2">
        <v>2294008229035</v>
      </c>
      <c r="F812" s="2">
        <v>0</v>
      </c>
      <c r="G812">
        <v>773.81</v>
      </c>
      <c r="H812">
        <v>778.89</v>
      </c>
      <c r="I812">
        <v>762.74</v>
      </c>
      <c r="J812">
        <v>4526212587</v>
      </c>
      <c r="K812">
        <v>0</v>
      </c>
      <c r="L812" s="2">
        <f>VLOOKUP(A812,[1]aaabonddata!$A:$B,2,0)</f>
        <v>4.6500000000000004</v>
      </c>
    </row>
    <row r="813" spans="1:12" x14ac:dyDescent="0.2">
      <c r="A813" s="3">
        <v>39948</v>
      </c>
      <c r="B813" s="2">
        <v>1355.11</v>
      </c>
      <c r="C813" s="2">
        <v>1374.1</v>
      </c>
      <c r="D813" s="2">
        <v>1351.13</v>
      </c>
      <c r="E813" s="2">
        <v>2286313845004</v>
      </c>
      <c r="F813" s="2">
        <v>137484284</v>
      </c>
      <c r="G813">
        <v>773.37</v>
      </c>
      <c r="H813">
        <v>784.89</v>
      </c>
      <c r="I813">
        <v>768.38</v>
      </c>
      <c r="J813">
        <v>4523648172</v>
      </c>
      <c r="K813">
        <v>0</v>
      </c>
      <c r="L813" s="2">
        <f>VLOOKUP(A813,[1]aaabonddata!$A:$B,2,0)</f>
        <v>4.67</v>
      </c>
    </row>
    <row r="814" spans="1:12" x14ac:dyDescent="0.2">
      <c r="A814" s="3">
        <v>39951</v>
      </c>
      <c r="B814" s="2">
        <v>1392.73</v>
      </c>
      <c r="C814" s="2">
        <v>1392.73</v>
      </c>
      <c r="D814" s="2">
        <v>1357.42</v>
      </c>
      <c r="E814" s="2">
        <v>2349785141025</v>
      </c>
      <c r="F814" s="2">
        <v>0</v>
      </c>
      <c r="G814">
        <v>796.8</v>
      </c>
      <c r="H814">
        <v>796.8</v>
      </c>
      <c r="I814">
        <v>778.82</v>
      </c>
      <c r="J814">
        <v>4660681471</v>
      </c>
      <c r="K814">
        <v>0</v>
      </c>
      <c r="L814" s="2">
        <f>VLOOKUP(A814,[1]aaabonddata!$A:$B,2,0)</f>
        <v>4.75</v>
      </c>
    </row>
    <row r="815" spans="1:12" x14ac:dyDescent="0.2">
      <c r="A815" s="3">
        <v>39952</v>
      </c>
      <c r="B815" s="2">
        <v>1398.05</v>
      </c>
      <c r="C815" s="2">
        <v>1410.74</v>
      </c>
      <c r="D815" s="2">
        <v>1379.88</v>
      </c>
      <c r="E815" s="2">
        <v>2358758835259</v>
      </c>
      <c r="F815" s="2">
        <v>843596616</v>
      </c>
      <c r="G815">
        <v>805.31</v>
      </c>
      <c r="H815">
        <v>814.67</v>
      </c>
      <c r="I815">
        <v>788.95</v>
      </c>
      <c r="J815">
        <v>4710473774</v>
      </c>
      <c r="K815">
        <v>2441896</v>
      </c>
      <c r="L815" s="2">
        <f>VLOOKUP(A815,[1]aaabonddata!$A:$B,2,0)</f>
        <v>4.6500000000000004</v>
      </c>
    </row>
    <row r="816" spans="1:12" x14ac:dyDescent="0.2">
      <c r="A816" s="3">
        <v>39953</v>
      </c>
      <c r="B816" s="2">
        <v>1393.72</v>
      </c>
      <c r="C816" s="2">
        <v>1423.13</v>
      </c>
      <c r="D816" s="2">
        <v>1388.81</v>
      </c>
      <c r="E816" s="2">
        <v>2351880024173</v>
      </c>
      <c r="F816" s="2">
        <v>112438012</v>
      </c>
      <c r="G816">
        <v>801.63</v>
      </c>
      <c r="H816">
        <v>822.92</v>
      </c>
      <c r="I816">
        <v>798.46</v>
      </c>
      <c r="J816">
        <v>4688922338</v>
      </c>
      <c r="K816">
        <v>1520912</v>
      </c>
      <c r="L816" s="2">
        <f>VLOOKUP(A816,[1]aaabonddata!$A:$B,2,0)</f>
        <v>4.59</v>
      </c>
    </row>
    <row r="817" spans="1:12" x14ac:dyDescent="0.2">
      <c r="A817" s="3">
        <v>39954</v>
      </c>
      <c r="B817" s="2">
        <v>1367.39</v>
      </c>
      <c r="C817" s="2">
        <v>1391</v>
      </c>
      <c r="D817" s="2">
        <v>1353.53</v>
      </c>
      <c r="E817" s="2">
        <v>2307445935899</v>
      </c>
      <c r="F817" s="2">
        <v>0</v>
      </c>
      <c r="G817">
        <v>792.16</v>
      </c>
      <c r="H817">
        <v>802.53</v>
      </c>
      <c r="I817">
        <v>783.2</v>
      </c>
      <c r="J817">
        <v>4633553251</v>
      </c>
      <c r="K817">
        <v>0</v>
      </c>
      <c r="L817" s="2">
        <f>VLOOKUP(A817,[1]aaabonddata!$A:$B,2,0)</f>
        <v>4.67</v>
      </c>
    </row>
    <row r="818" spans="1:12" x14ac:dyDescent="0.2">
      <c r="A818" s="3">
        <v>39955</v>
      </c>
      <c r="B818" s="2">
        <v>1363.17</v>
      </c>
      <c r="C818" s="2">
        <v>1379.88</v>
      </c>
      <c r="D818" s="2">
        <v>1353.59</v>
      </c>
      <c r="E818" s="2">
        <v>2300319181823</v>
      </c>
      <c r="F818" s="2">
        <v>0</v>
      </c>
      <c r="G818">
        <v>794.5</v>
      </c>
      <c r="H818">
        <v>803.89</v>
      </c>
      <c r="I818">
        <v>785.76</v>
      </c>
      <c r="J818">
        <v>4647254577</v>
      </c>
      <c r="K818">
        <v>0</v>
      </c>
      <c r="L818" s="2">
        <f>VLOOKUP(A818,[1]aaabonddata!$A:$B,2,0)</f>
        <v>4.6399999999999997</v>
      </c>
    </row>
    <row r="819" spans="1:12" x14ac:dyDescent="0.2">
      <c r="A819" s="3">
        <v>39959</v>
      </c>
      <c r="B819" s="2">
        <v>1412.61</v>
      </c>
      <c r="C819" s="2">
        <v>1414.44</v>
      </c>
      <c r="D819" s="2">
        <v>1350.95</v>
      </c>
      <c r="E819" s="2">
        <v>2383752488377</v>
      </c>
      <c r="F819" s="2">
        <v>0</v>
      </c>
      <c r="G819">
        <v>824.59</v>
      </c>
      <c r="H819">
        <v>825.08</v>
      </c>
      <c r="I819">
        <v>785.95</v>
      </c>
      <c r="J819">
        <v>4823207819</v>
      </c>
      <c r="K819">
        <v>0</v>
      </c>
      <c r="L819" s="2">
        <f>VLOOKUP(A819,[1]aaabonddata!$A:$B,2,0)</f>
        <v>4.68</v>
      </c>
    </row>
    <row r="820" spans="1:12" x14ac:dyDescent="0.2">
      <c r="A820" s="3">
        <v>39960</v>
      </c>
      <c r="B820" s="2">
        <v>1401.88</v>
      </c>
      <c r="C820" s="2">
        <v>1428.81</v>
      </c>
      <c r="D820" s="2">
        <v>1398.42</v>
      </c>
      <c r="E820" s="2">
        <v>2365650591264</v>
      </c>
      <c r="F820" s="2">
        <v>672702370</v>
      </c>
      <c r="G820">
        <v>818.6</v>
      </c>
      <c r="H820">
        <v>836.79</v>
      </c>
      <c r="I820">
        <v>817.49</v>
      </c>
      <c r="J820">
        <v>4788215456</v>
      </c>
      <c r="K820">
        <v>709498</v>
      </c>
      <c r="L820" s="2">
        <f>VLOOKUP(A820,[1]aaabonddata!$A:$B,2,0)</f>
        <v>4.8</v>
      </c>
    </row>
    <row r="821" spans="1:12" x14ac:dyDescent="0.2">
      <c r="A821" s="3">
        <v>39961</v>
      </c>
      <c r="B821" s="2">
        <v>1420.31</v>
      </c>
      <c r="C821" s="2">
        <v>1423.81</v>
      </c>
      <c r="D821" s="2">
        <v>1389.76</v>
      </c>
      <c r="E821" s="2">
        <v>2396755396206</v>
      </c>
      <c r="F821" s="2">
        <v>106270348</v>
      </c>
      <c r="G821">
        <v>831.37</v>
      </c>
      <c r="H821">
        <v>833.28</v>
      </c>
      <c r="I821">
        <v>810.45</v>
      </c>
      <c r="J821">
        <v>4862902262</v>
      </c>
      <c r="K821">
        <v>0</v>
      </c>
      <c r="L821" s="2">
        <f>VLOOKUP(A821,[1]aaabonddata!$A:$B,2,0)</f>
        <v>4.8</v>
      </c>
    </row>
    <row r="822" spans="1:12" x14ac:dyDescent="0.2">
      <c r="A822" s="3">
        <v>39962</v>
      </c>
      <c r="B822" s="2">
        <v>1435.57</v>
      </c>
      <c r="C822" s="2">
        <v>1435.57</v>
      </c>
      <c r="D822" s="2">
        <v>1411.68</v>
      </c>
      <c r="E822" s="2">
        <v>2422493690071</v>
      </c>
      <c r="F822" s="2">
        <v>0</v>
      </c>
      <c r="G822">
        <v>839.23</v>
      </c>
      <c r="H822">
        <v>839.23</v>
      </c>
      <c r="I822">
        <v>824.82</v>
      </c>
      <c r="J822">
        <v>4908840856</v>
      </c>
      <c r="K822">
        <v>0</v>
      </c>
      <c r="L822" s="2">
        <f>VLOOKUP(A822,[1]aaabonddata!$A:$B,2,0)</f>
        <v>4.5599999999999996</v>
      </c>
    </row>
    <row r="823" spans="1:12" x14ac:dyDescent="0.2">
      <c r="A823" s="3">
        <v>39965</v>
      </c>
      <c r="B823" s="2">
        <v>1477.12</v>
      </c>
      <c r="C823" s="2">
        <v>1482.19</v>
      </c>
      <c r="D823" s="2">
        <v>1446.97</v>
      </c>
      <c r="E823" s="2">
        <v>2492611170426</v>
      </c>
      <c r="F823" s="2">
        <v>0</v>
      </c>
      <c r="G823">
        <v>872.51</v>
      </c>
      <c r="H823">
        <v>875.87</v>
      </c>
      <c r="I823">
        <v>848.61</v>
      </c>
      <c r="J823">
        <v>5103507704</v>
      </c>
      <c r="K823">
        <v>0</v>
      </c>
      <c r="L823" s="2">
        <f>VLOOKUP(A823,[1]aaabonddata!$A:$B,2,0)</f>
        <v>4.5999999999999996</v>
      </c>
    </row>
    <row r="824" spans="1:12" x14ac:dyDescent="0.2">
      <c r="A824" s="3">
        <v>39966</v>
      </c>
      <c r="B824" s="2">
        <v>1480.31</v>
      </c>
      <c r="C824" s="2">
        <v>1493.8</v>
      </c>
      <c r="D824" s="2">
        <v>1466.28</v>
      </c>
      <c r="E824" s="2">
        <v>2497993694138</v>
      </c>
      <c r="F824" s="2">
        <v>0</v>
      </c>
      <c r="G824">
        <v>858.76</v>
      </c>
      <c r="H824">
        <v>873.47</v>
      </c>
      <c r="I824">
        <v>853.5</v>
      </c>
      <c r="J824">
        <v>5023074008</v>
      </c>
      <c r="K824">
        <v>0</v>
      </c>
      <c r="L824" s="2">
        <f>VLOOKUP(A824,[1]aaabonddata!$A:$B,2,0)</f>
        <v>4.5199999999999996</v>
      </c>
    </row>
    <row r="825" spans="1:12" x14ac:dyDescent="0.2">
      <c r="A825" s="3">
        <v>39967</v>
      </c>
      <c r="B825" s="2">
        <v>1475.44</v>
      </c>
      <c r="C825" s="2">
        <v>1476.98</v>
      </c>
      <c r="D825" s="2">
        <v>1459.59</v>
      </c>
      <c r="E825" s="2">
        <v>2490314632932</v>
      </c>
      <c r="F825" s="2">
        <v>161266889</v>
      </c>
      <c r="G825">
        <v>848.47</v>
      </c>
      <c r="H825">
        <v>852.83</v>
      </c>
      <c r="I825">
        <v>837.85</v>
      </c>
      <c r="J825">
        <v>4962912631</v>
      </c>
      <c r="K825">
        <v>962147</v>
      </c>
      <c r="L825" s="2">
        <f>VLOOKUP(A825,[1]aaabonddata!$A:$B,2,0)</f>
        <v>4.46</v>
      </c>
    </row>
    <row r="826" spans="1:12" x14ac:dyDescent="0.2">
      <c r="A826" s="3">
        <v>39968</v>
      </c>
      <c r="B826" s="2">
        <v>1492.74</v>
      </c>
      <c r="C826" s="2">
        <v>1493.66</v>
      </c>
      <c r="D826" s="2">
        <v>1476.28</v>
      </c>
      <c r="E826" s="2">
        <v>2519499862221</v>
      </c>
      <c r="F826" s="2">
        <v>27038142</v>
      </c>
      <c r="G826">
        <v>863.03</v>
      </c>
      <c r="H826">
        <v>863.76</v>
      </c>
      <c r="I826">
        <v>848.87</v>
      </c>
      <c r="J826">
        <v>5048102145</v>
      </c>
      <c r="K826">
        <v>0</v>
      </c>
      <c r="L826" s="2">
        <f>VLOOKUP(A826,[1]aaabonddata!$A:$B,2,0)</f>
        <v>4.58</v>
      </c>
    </row>
    <row r="827" spans="1:12" x14ac:dyDescent="0.2">
      <c r="A827" s="3">
        <v>39969</v>
      </c>
      <c r="B827" s="2">
        <v>1493.21</v>
      </c>
      <c r="C827" s="2">
        <v>1505.77</v>
      </c>
      <c r="D827" s="2">
        <v>1479.22</v>
      </c>
      <c r="E827" s="2">
        <v>2520307195953</v>
      </c>
      <c r="F827" s="2">
        <v>0</v>
      </c>
      <c r="G827">
        <v>860.9</v>
      </c>
      <c r="H827">
        <v>869.42</v>
      </c>
      <c r="I827">
        <v>851.39</v>
      </c>
      <c r="J827">
        <v>5035624314</v>
      </c>
      <c r="K827">
        <v>0</v>
      </c>
      <c r="L827" s="2">
        <f>VLOOKUP(A827,[1]aaabonddata!$A:$B,2,0)</f>
        <v>4.78</v>
      </c>
    </row>
    <row r="828" spans="1:12" x14ac:dyDescent="0.2">
      <c r="A828" s="3">
        <v>39972</v>
      </c>
      <c r="B828" s="2">
        <v>1488.49</v>
      </c>
      <c r="C828" s="2">
        <v>1499.96</v>
      </c>
      <c r="D828" s="2">
        <v>1467.13</v>
      </c>
      <c r="E828" s="2">
        <v>2512329622091</v>
      </c>
      <c r="F828" s="2">
        <v>0</v>
      </c>
      <c r="G828">
        <v>855.06</v>
      </c>
      <c r="H828">
        <v>861.53</v>
      </c>
      <c r="I828">
        <v>841.19</v>
      </c>
      <c r="J828">
        <v>5001450342</v>
      </c>
      <c r="K828">
        <v>0</v>
      </c>
      <c r="L828" s="2">
        <f>VLOOKUP(A828,[1]aaabonddata!$A:$B,2,0)</f>
        <v>4.8</v>
      </c>
    </row>
    <row r="829" spans="1:12" x14ac:dyDescent="0.2">
      <c r="A829" s="3">
        <v>39973</v>
      </c>
      <c r="B829" s="2">
        <v>1501.55</v>
      </c>
      <c r="C829" s="2">
        <v>1509.57</v>
      </c>
      <c r="D829" s="2">
        <v>1489.22</v>
      </c>
      <c r="E829" s="2">
        <v>2534370075217</v>
      </c>
      <c r="F829" s="2">
        <v>0</v>
      </c>
      <c r="G829">
        <v>875.39</v>
      </c>
      <c r="H829">
        <v>880.81</v>
      </c>
      <c r="I829">
        <v>864.15</v>
      </c>
      <c r="J829">
        <v>5120395633</v>
      </c>
      <c r="K829">
        <v>0</v>
      </c>
      <c r="L829" s="2">
        <f>VLOOKUP(A829,[1]aaabonddata!$A:$B,2,0)</f>
        <v>4.75</v>
      </c>
    </row>
    <row r="830" spans="1:12" x14ac:dyDescent="0.2">
      <c r="A830" s="3">
        <v>39974</v>
      </c>
      <c r="B830" s="2">
        <v>1495.27</v>
      </c>
      <c r="C830" s="2">
        <v>1509.43</v>
      </c>
      <c r="D830" s="2">
        <v>1473.88</v>
      </c>
      <c r="E830" s="2">
        <v>2523783618904</v>
      </c>
      <c r="F830" s="2">
        <v>221171844</v>
      </c>
      <c r="G830">
        <v>874.5</v>
      </c>
      <c r="H830">
        <v>881.66</v>
      </c>
      <c r="I830">
        <v>862.16</v>
      </c>
      <c r="J830">
        <v>5115158706</v>
      </c>
      <c r="K830">
        <v>0</v>
      </c>
      <c r="L830" s="2">
        <f>VLOOKUP(A830,[1]aaabonddata!$A:$B,2,0)</f>
        <v>4.7699999999999996</v>
      </c>
    </row>
    <row r="831" spans="1:12" x14ac:dyDescent="0.2">
      <c r="A831" s="3">
        <v>39975</v>
      </c>
      <c r="B831" s="2">
        <v>1497.01</v>
      </c>
      <c r="C831" s="2">
        <v>1511.94</v>
      </c>
      <c r="D831" s="2">
        <v>1493.16</v>
      </c>
      <c r="E831" s="2">
        <v>2526721127908</v>
      </c>
      <c r="F831" s="2">
        <v>32291913</v>
      </c>
      <c r="G831">
        <v>876.18</v>
      </c>
      <c r="H831">
        <v>884.88</v>
      </c>
      <c r="I831">
        <v>872.57</v>
      </c>
      <c r="J831">
        <v>5124997265</v>
      </c>
      <c r="K831">
        <v>0</v>
      </c>
      <c r="L831" s="2">
        <f>VLOOKUP(A831,[1]aaabonddata!$A:$B,2,0)</f>
        <v>4.71</v>
      </c>
    </row>
    <row r="832" spans="1:12" x14ac:dyDescent="0.2">
      <c r="A832" s="3">
        <v>39976</v>
      </c>
      <c r="B832" s="2">
        <v>1489.97</v>
      </c>
      <c r="C832" s="2">
        <v>1489.97</v>
      </c>
      <c r="D832" s="2">
        <v>1470.2</v>
      </c>
      <c r="E832" s="2">
        <v>2514838951870</v>
      </c>
      <c r="F832" s="2">
        <v>0</v>
      </c>
      <c r="G832">
        <v>871.92</v>
      </c>
      <c r="H832">
        <v>872.87</v>
      </c>
      <c r="I832">
        <v>857.79</v>
      </c>
      <c r="J832">
        <v>5100074303</v>
      </c>
      <c r="K832">
        <v>0</v>
      </c>
      <c r="L832" s="2">
        <f>VLOOKUP(A832,[1]aaabonddata!$A:$B,2,0)</f>
        <v>4.6399999999999997</v>
      </c>
    </row>
    <row r="833" spans="1:12" x14ac:dyDescent="0.2">
      <c r="A833" s="3">
        <v>39979</v>
      </c>
      <c r="B833" s="2">
        <v>1456.96</v>
      </c>
      <c r="C833" s="2">
        <v>1473.07</v>
      </c>
      <c r="D833" s="2">
        <v>1445.3</v>
      </c>
      <c r="E833" s="2">
        <v>2459117874225</v>
      </c>
      <c r="F833" s="2">
        <v>0</v>
      </c>
      <c r="G833">
        <v>853.86</v>
      </c>
      <c r="H833">
        <v>863.46</v>
      </c>
      <c r="I833">
        <v>843.78</v>
      </c>
      <c r="J833">
        <v>4994412284</v>
      </c>
      <c r="K833">
        <v>0</v>
      </c>
      <c r="L833" s="2">
        <f>VLOOKUP(A833,[1]aaabonddata!$A:$B,2,0)</f>
        <v>4.5599999999999996</v>
      </c>
    </row>
    <row r="834" spans="1:12" x14ac:dyDescent="0.2">
      <c r="A834" s="3">
        <v>39980</v>
      </c>
      <c r="B834" s="2">
        <v>1443.25</v>
      </c>
      <c r="C834" s="2">
        <v>1469.16</v>
      </c>
      <c r="D834" s="2">
        <v>1442.81</v>
      </c>
      <c r="E834" s="2">
        <v>2435979268207</v>
      </c>
      <c r="F834" s="2">
        <v>0</v>
      </c>
      <c r="G834">
        <v>840.09</v>
      </c>
      <c r="H834">
        <v>860.55</v>
      </c>
      <c r="I834">
        <v>839.83</v>
      </c>
      <c r="J834">
        <v>4913866566</v>
      </c>
      <c r="K834">
        <v>0</v>
      </c>
      <c r="L834" s="2">
        <f>VLOOKUP(A834,[1]aaabonddata!$A:$B,2,0)</f>
        <v>4.5199999999999996</v>
      </c>
    </row>
    <row r="835" spans="1:12" x14ac:dyDescent="0.2">
      <c r="A835" s="3">
        <v>39981</v>
      </c>
      <c r="B835" s="2">
        <v>1455.89</v>
      </c>
      <c r="C835" s="2">
        <v>1470.11</v>
      </c>
      <c r="D835" s="2">
        <v>1439.38</v>
      </c>
      <c r="E835" s="2">
        <v>2457314981412</v>
      </c>
      <c r="F835" s="2">
        <v>0</v>
      </c>
      <c r="G835">
        <v>844.59</v>
      </c>
      <c r="H835">
        <v>852.68</v>
      </c>
      <c r="I835">
        <v>831.7</v>
      </c>
      <c r="J835">
        <v>4940220983</v>
      </c>
      <c r="K835">
        <v>0</v>
      </c>
      <c r="L835" s="2">
        <f>VLOOKUP(A835,[1]aaabonddata!$A:$B,2,0)</f>
        <v>4.5199999999999996</v>
      </c>
    </row>
    <row r="836" spans="1:12" x14ac:dyDescent="0.2">
      <c r="A836" s="3">
        <v>39982</v>
      </c>
      <c r="B836" s="2">
        <v>1453.8</v>
      </c>
      <c r="C836" s="2">
        <v>1464.04</v>
      </c>
      <c r="D836" s="2">
        <v>1445.31</v>
      </c>
      <c r="E836" s="2">
        <v>2453776889422</v>
      </c>
      <c r="F836" s="2">
        <v>0</v>
      </c>
      <c r="G836">
        <v>835.41</v>
      </c>
      <c r="H836">
        <v>845.41</v>
      </c>
      <c r="I836">
        <v>831.81</v>
      </c>
      <c r="J836">
        <v>4886506450</v>
      </c>
      <c r="K836">
        <v>0</v>
      </c>
      <c r="L836" s="2">
        <f>VLOOKUP(A836,[1]aaabonddata!$A:$B,2,0)</f>
        <v>4.68</v>
      </c>
    </row>
    <row r="837" spans="1:12" x14ac:dyDescent="0.2">
      <c r="A837" s="3">
        <v>39983</v>
      </c>
      <c r="B837" s="2">
        <v>1471.23</v>
      </c>
      <c r="C837" s="2">
        <v>1477.95</v>
      </c>
      <c r="D837" s="2">
        <v>1460.45</v>
      </c>
      <c r="E837" s="2">
        <v>2483205969989</v>
      </c>
      <c r="F837" s="2">
        <v>0</v>
      </c>
      <c r="G837">
        <v>846.03</v>
      </c>
      <c r="H837">
        <v>851.72</v>
      </c>
      <c r="I837">
        <v>840.7</v>
      </c>
      <c r="J837">
        <v>4948643123</v>
      </c>
      <c r="K837">
        <v>0</v>
      </c>
      <c r="L837" s="2">
        <f>VLOOKUP(A837,[1]aaabonddata!$A:$B,2,0)</f>
        <v>4.5</v>
      </c>
    </row>
    <row r="838" spans="1:12" x14ac:dyDescent="0.2">
      <c r="A838" s="3">
        <v>39986</v>
      </c>
      <c r="B838" s="2">
        <v>1426.61</v>
      </c>
      <c r="C838" s="2">
        <v>1459.1</v>
      </c>
      <c r="D838" s="2">
        <v>1423.81</v>
      </c>
      <c r="E838" s="2">
        <v>2407085312258</v>
      </c>
      <c r="F838" s="2">
        <v>0</v>
      </c>
      <c r="G838">
        <v>815.89</v>
      </c>
      <c r="H838">
        <v>839.24</v>
      </c>
      <c r="I838">
        <v>815.75</v>
      </c>
      <c r="J838">
        <v>3761045689</v>
      </c>
      <c r="K838">
        <v>0</v>
      </c>
      <c r="L838" s="2">
        <f>VLOOKUP(A838,[1]aaabonddata!$A:$B,2,0)</f>
        <v>4.41</v>
      </c>
    </row>
    <row r="839" spans="1:12" x14ac:dyDescent="0.2">
      <c r="A839" s="3">
        <v>39987</v>
      </c>
      <c r="B839" s="2">
        <v>1424.46</v>
      </c>
      <c r="C839" s="2">
        <v>1432.92</v>
      </c>
      <c r="D839" s="2">
        <v>1413.54</v>
      </c>
      <c r="E839" s="2">
        <v>2403453594779</v>
      </c>
      <c r="F839" s="2">
        <v>0</v>
      </c>
      <c r="G839">
        <v>816.43</v>
      </c>
      <c r="H839">
        <v>820.35</v>
      </c>
      <c r="I839">
        <v>806.29</v>
      </c>
      <c r="J839">
        <v>3763552497</v>
      </c>
      <c r="K839">
        <v>0</v>
      </c>
      <c r="L839" s="2">
        <f>VLOOKUP(A839,[1]aaabonddata!$A:$B,2,0)</f>
        <v>4.38</v>
      </c>
    </row>
    <row r="840" spans="1:12" x14ac:dyDescent="0.2">
      <c r="A840" s="3">
        <v>39988</v>
      </c>
      <c r="B840" s="2">
        <v>1447.06</v>
      </c>
      <c r="C840" s="2">
        <v>1458.23</v>
      </c>
      <c r="D840" s="2">
        <v>1435.28</v>
      </c>
      <c r="E840" s="2">
        <v>2441586781567</v>
      </c>
      <c r="F840" s="2">
        <v>87854453</v>
      </c>
      <c r="G840">
        <v>832.85</v>
      </c>
      <c r="H840">
        <v>840.02</v>
      </c>
      <c r="I840">
        <v>822.84</v>
      </c>
      <c r="J840">
        <v>3839224497</v>
      </c>
      <c r="K840">
        <v>0</v>
      </c>
      <c r="L840" s="2">
        <f>VLOOKUP(A840,[1]aaabonddata!$A:$B,2,0)</f>
        <v>4.3899999999999997</v>
      </c>
    </row>
    <row r="841" spans="1:12" x14ac:dyDescent="0.2">
      <c r="A841" s="3">
        <v>39989</v>
      </c>
      <c r="B841" s="2">
        <v>1475.82</v>
      </c>
      <c r="C841" s="2">
        <v>1477.97</v>
      </c>
      <c r="D841" s="2">
        <v>1434.97</v>
      </c>
      <c r="E841" s="2">
        <v>2490104381507</v>
      </c>
      <c r="F841" s="2">
        <v>0</v>
      </c>
      <c r="G841">
        <v>846.57</v>
      </c>
      <c r="H841">
        <v>847.62</v>
      </c>
      <c r="I841">
        <v>824.33</v>
      </c>
      <c r="J841">
        <v>3902466284</v>
      </c>
      <c r="K841">
        <v>0</v>
      </c>
      <c r="L841" s="2">
        <f>VLOOKUP(A841,[1]aaabonddata!$A:$B,2,0)</f>
        <v>4.29</v>
      </c>
    </row>
    <row r="842" spans="1:12" x14ac:dyDescent="0.2">
      <c r="A842" s="3">
        <v>39990</v>
      </c>
      <c r="B842" s="2">
        <v>1480.2</v>
      </c>
      <c r="C842" s="2">
        <v>1483.57</v>
      </c>
      <c r="D842" s="2">
        <v>1466.24</v>
      </c>
      <c r="E842" s="2">
        <v>2497498084523</v>
      </c>
      <c r="F842" s="2">
        <v>26467335</v>
      </c>
      <c r="G842">
        <v>849.23</v>
      </c>
      <c r="H842">
        <v>853.2</v>
      </c>
      <c r="I842">
        <v>842.01</v>
      </c>
      <c r="J842">
        <v>3914752317</v>
      </c>
      <c r="K842">
        <v>0</v>
      </c>
      <c r="L842" s="2">
        <f>VLOOKUP(A842,[1]aaabonddata!$A:$B,2,0)</f>
        <v>4.22</v>
      </c>
    </row>
    <row r="843" spans="1:12" x14ac:dyDescent="0.2">
      <c r="A843" s="3">
        <v>39993</v>
      </c>
      <c r="B843" s="2">
        <v>1483.83</v>
      </c>
      <c r="C843" s="2">
        <v>1493.57</v>
      </c>
      <c r="D843" s="2">
        <v>1468.98</v>
      </c>
      <c r="E843" s="2">
        <v>2503629148711</v>
      </c>
      <c r="F843" s="2">
        <v>0</v>
      </c>
      <c r="G843">
        <v>851.13</v>
      </c>
      <c r="H843">
        <v>856.55</v>
      </c>
      <c r="I843">
        <v>843.39</v>
      </c>
      <c r="J843">
        <v>3923498019</v>
      </c>
      <c r="K843">
        <v>0</v>
      </c>
      <c r="L843" s="2">
        <f>VLOOKUP(A843,[1]aaabonddata!$A:$B,2,0)</f>
        <v>4.21</v>
      </c>
    </row>
    <row r="844" spans="1:12" x14ac:dyDescent="0.2">
      <c r="A844" s="3">
        <v>39994</v>
      </c>
      <c r="B844" s="2">
        <v>1477.25</v>
      </c>
      <c r="C844" s="2">
        <v>1493.37</v>
      </c>
      <c r="D844" s="2">
        <v>1468.11</v>
      </c>
      <c r="E844" s="2">
        <v>2492526278056</v>
      </c>
      <c r="F844" s="2">
        <v>0</v>
      </c>
      <c r="G844">
        <v>848.27</v>
      </c>
      <c r="H844">
        <v>857.5</v>
      </c>
      <c r="I844">
        <v>841.46</v>
      </c>
      <c r="J844">
        <v>3910306491</v>
      </c>
      <c r="K844">
        <v>0</v>
      </c>
      <c r="L844" s="2">
        <f>VLOOKUP(A844,[1]aaabonddata!$A:$B,2,0)</f>
        <v>3.96</v>
      </c>
    </row>
    <row r="845" spans="1:12" x14ac:dyDescent="0.2">
      <c r="A845" s="3">
        <v>39995</v>
      </c>
      <c r="B845" s="2">
        <v>1481.34</v>
      </c>
      <c r="C845" s="2">
        <v>1497.71</v>
      </c>
      <c r="D845" s="2">
        <v>1479.67</v>
      </c>
      <c r="E845" s="2">
        <v>2503038396948</v>
      </c>
      <c r="F845" s="2">
        <v>0</v>
      </c>
      <c r="G845">
        <v>854.26</v>
      </c>
      <c r="H845">
        <v>864.63</v>
      </c>
      <c r="I845">
        <v>851.04</v>
      </c>
      <c r="J845">
        <v>3937955532</v>
      </c>
      <c r="K845">
        <v>0</v>
      </c>
      <c r="L845" s="2">
        <f>VLOOKUP(A845,[1]aaabonddata!$A:$B,2,0)</f>
        <v>3.9</v>
      </c>
    </row>
    <row r="846" spans="1:12" x14ac:dyDescent="0.2">
      <c r="A846" s="3">
        <v>39996</v>
      </c>
      <c r="B846" s="2">
        <v>1446.28</v>
      </c>
      <c r="C846" s="2">
        <v>1465.18</v>
      </c>
      <c r="D846" s="2">
        <v>1443.75</v>
      </c>
      <c r="E846" s="2">
        <v>2443801725590</v>
      </c>
      <c r="F846" s="2">
        <v>0</v>
      </c>
      <c r="G846">
        <v>839.25</v>
      </c>
      <c r="H846">
        <v>844.32</v>
      </c>
      <c r="I846">
        <v>834.13</v>
      </c>
      <c r="J846">
        <v>3868753970</v>
      </c>
      <c r="K846">
        <v>0</v>
      </c>
      <c r="L846" s="2">
        <f>VLOOKUP(A846,[1]aaabonddata!$A:$B,2,0)</f>
        <v>3.69</v>
      </c>
    </row>
    <row r="847" spans="1:12" x14ac:dyDescent="0.2">
      <c r="A847" s="3">
        <v>40000</v>
      </c>
      <c r="B847" s="2">
        <v>1441.01</v>
      </c>
      <c r="C847" s="2">
        <v>1444.3</v>
      </c>
      <c r="D847" s="2">
        <v>1424.61</v>
      </c>
      <c r="E847" s="2">
        <v>2434889353802</v>
      </c>
      <c r="F847" s="2">
        <v>183228306</v>
      </c>
      <c r="G847">
        <v>835.09</v>
      </c>
      <c r="H847">
        <v>840.45</v>
      </c>
      <c r="I847">
        <v>825.32</v>
      </c>
      <c r="J847">
        <v>3849584843</v>
      </c>
      <c r="K847">
        <v>0</v>
      </c>
      <c r="L847" s="2">
        <f>VLOOKUP(A847,[1]aaabonddata!$A:$B,2,0)</f>
        <v>4.1399999999999997</v>
      </c>
    </row>
    <row r="848" spans="1:12" x14ac:dyDescent="0.2">
      <c r="A848" s="3">
        <v>40001</v>
      </c>
      <c r="B848" s="2">
        <v>1404.78</v>
      </c>
      <c r="C848" s="2">
        <v>1443.06</v>
      </c>
      <c r="D848" s="2">
        <v>1403.6</v>
      </c>
      <c r="E848" s="2">
        <v>2373679608135</v>
      </c>
      <c r="F848" s="2">
        <v>0</v>
      </c>
      <c r="G848">
        <v>812.88</v>
      </c>
      <c r="H848">
        <v>839.94</v>
      </c>
      <c r="I848">
        <v>812.25</v>
      </c>
      <c r="J848">
        <v>3747201012</v>
      </c>
      <c r="K848">
        <v>0</v>
      </c>
      <c r="L848" s="2">
        <f>VLOOKUP(A848,[1]aaabonddata!$A:$B,2,0)</f>
        <v>4.0599999999999996</v>
      </c>
    </row>
    <row r="849" spans="1:12" x14ac:dyDescent="0.2">
      <c r="A849" s="3">
        <v>40002</v>
      </c>
      <c r="B849" s="2">
        <v>1411.53</v>
      </c>
      <c r="C849" s="2">
        <v>1417.35</v>
      </c>
      <c r="D849" s="2">
        <v>1394.87</v>
      </c>
      <c r="E849" s="2">
        <v>2385081004506</v>
      </c>
      <c r="F849" s="2">
        <v>0</v>
      </c>
      <c r="G849">
        <v>809.19</v>
      </c>
      <c r="H849">
        <v>815.48</v>
      </c>
      <c r="I849">
        <v>799.8</v>
      </c>
      <c r="J849">
        <v>3730159917</v>
      </c>
      <c r="K849">
        <v>0</v>
      </c>
      <c r="L849" s="2">
        <f>VLOOKUP(A849,[1]aaabonddata!$A:$B,2,0)</f>
        <v>3.92</v>
      </c>
    </row>
    <row r="850" spans="1:12" x14ac:dyDescent="0.2">
      <c r="A850" s="3">
        <v>40003</v>
      </c>
      <c r="B850" s="2">
        <v>1414.98</v>
      </c>
      <c r="C850" s="2">
        <v>1423.44</v>
      </c>
      <c r="D850" s="2">
        <v>1409.13</v>
      </c>
      <c r="E850" s="2">
        <v>2390902222434</v>
      </c>
      <c r="F850" s="2">
        <v>0</v>
      </c>
      <c r="G850">
        <v>820.39</v>
      </c>
      <c r="H850">
        <v>825.87</v>
      </c>
      <c r="I850">
        <v>812.13</v>
      </c>
      <c r="J850">
        <v>3781794129</v>
      </c>
      <c r="K850">
        <v>0</v>
      </c>
      <c r="L850" s="2">
        <f>VLOOKUP(A850,[1]aaabonddata!$A:$B,2,0)</f>
        <v>4.01</v>
      </c>
    </row>
    <row r="851" spans="1:12" x14ac:dyDescent="0.2">
      <c r="A851" s="3">
        <v>40004</v>
      </c>
      <c r="B851" s="2">
        <v>1419.84</v>
      </c>
      <c r="C851" s="2">
        <v>1427.9</v>
      </c>
      <c r="D851" s="2">
        <v>1405.58</v>
      </c>
      <c r="E851" s="2">
        <v>2399116906714</v>
      </c>
      <c r="F851" s="2">
        <v>0</v>
      </c>
      <c r="G851">
        <v>826.74</v>
      </c>
      <c r="H851">
        <v>831.26</v>
      </c>
      <c r="I851">
        <v>816.27</v>
      </c>
      <c r="J851">
        <v>3811060673</v>
      </c>
      <c r="K851">
        <v>0</v>
      </c>
      <c r="L851" s="2">
        <f>VLOOKUP(A851,[1]aaabonddata!$A:$B,2,0)</f>
        <v>3.91</v>
      </c>
    </row>
    <row r="852" spans="1:12" x14ac:dyDescent="0.2">
      <c r="A852" s="3">
        <v>40007</v>
      </c>
      <c r="B852" s="2">
        <v>1447.7</v>
      </c>
      <c r="C852" s="2">
        <v>1447.7</v>
      </c>
      <c r="D852" s="2">
        <v>1402.19</v>
      </c>
      <c r="E852" s="2">
        <v>2446189315965</v>
      </c>
      <c r="F852" s="2">
        <v>195156990</v>
      </c>
      <c r="G852">
        <v>842.66</v>
      </c>
      <c r="H852">
        <v>842.66</v>
      </c>
      <c r="I852">
        <v>812.84</v>
      </c>
      <c r="J852">
        <v>3884457988</v>
      </c>
      <c r="K852">
        <v>242013</v>
      </c>
      <c r="L852" s="2">
        <f>VLOOKUP(A852,[1]aaabonddata!$A:$B,2,0)</f>
        <v>3.93</v>
      </c>
    </row>
    <row r="853" spans="1:12" x14ac:dyDescent="0.2">
      <c r="A853" s="3">
        <v>40008</v>
      </c>
      <c r="B853" s="2">
        <v>1452.84</v>
      </c>
      <c r="C853" s="2">
        <v>1455</v>
      </c>
      <c r="D853" s="2">
        <v>1439.57</v>
      </c>
      <c r="E853" s="2">
        <v>2454873657836</v>
      </c>
      <c r="F853" s="2">
        <v>0</v>
      </c>
      <c r="G853">
        <v>849.06</v>
      </c>
      <c r="H853">
        <v>851.24</v>
      </c>
      <c r="I853">
        <v>839.14</v>
      </c>
      <c r="J853">
        <v>3913961608</v>
      </c>
      <c r="K853">
        <v>0</v>
      </c>
      <c r="L853" s="2">
        <f>VLOOKUP(A853,[1]aaabonddata!$A:$B,2,0)</f>
        <v>4</v>
      </c>
    </row>
    <row r="854" spans="1:12" x14ac:dyDescent="0.2">
      <c r="A854" s="3">
        <v>40009</v>
      </c>
      <c r="B854" s="2">
        <v>1500.98</v>
      </c>
      <c r="C854" s="2">
        <v>1501.41</v>
      </c>
      <c r="D854" s="2">
        <v>1470.09</v>
      </c>
      <c r="E854" s="2">
        <v>2536225632505</v>
      </c>
      <c r="F854" s="2">
        <v>0</v>
      </c>
      <c r="G854">
        <v>884.53</v>
      </c>
      <c r="H854">
        <v>884.74</v>
      </c>
      <c r="I854">
        <v>865.17</v>
      </c>
      <c r="J854">
        <v>4077492309</v>
      </c>
      <c r="K854">
        <v>0</v>
      </c>
      <c r="L854" s="2">
        <f>VLOOKUP(A854,[1]aaabonddata!$A:$B,2,0)</f>
        <v>4.1399999999999997</v>
      </c>
    </row>
    <row r="855" spans="1:12" x14ac:dyDescent="0.2">
      <c r="A855" s="3">
        <v>40010</v>
      </c>
      <c r="B855" s="2">
        <v>1518.87</v>
      </c>
      <c r="C855" s="2">
        <v>1521.67</v>
      </c>
      <c r="D855" s="2">
        <v>1494.57</v>
      </c>
      <c r="E855" s="2">
        <v>2566451543239</v>
      </c>
      <c r="F855" s="2">
        <v>0</v>
      </c>
      <c r="G855">
        <v>897.55</v>
      </c>
      <c r="H855">
        <v>899.4</v>
      </c>
      <c r="I855">
        <v>879.11</v>
      </c>
      <c r="J855">
        <v>4137496395</v>
      </c>
      <c r="K855">
        <v>0</v>
      </c>
      <c r="L855" s="2">
        <f>VLOOKUP(A855,[1]aaabonddata!$A:$B,2,0)</f>
        <v>4.1100000000000003</v>
      </c>
    </row>
    <row r="856" spans="1:12" x14ac:dyDescent="0.2">
      <c r="A856" s="3">
        <v>40011</v>
      </c>
      <c r="B856" s="2">
        <v>1527.26</v>
      </c>
      <c r="C856" s="2">
        <v>1527.26</v>
      </c>
      <c r="D856" s="2">
        <v>1511.61</v>
      </c>
      <c r="E856" s="2">
        <v>2584551786567</v>
      </c>
      <c r="F856" s="2">
        <v>0</v>
      </c>
      <c r="G856">
        <v>904.27</v>
      </c>
      <c r="H856">
        <v>904.39</v>
      </c>
      <c r="I856">
        <v>889.69</v>
      </c>
      <c r="J856">
        <v>4168468407</v>
      </c>
      <c r="K856">
        <v>0</v>
      </c>
      <c r="L856" s="2">
        <f>VLOOKUP(A856,[1]aaabonddata!$A:$B,2,0)</f>
        <v>4.17</v>
      </c>
    </row>
    <row r="857" spans="1:12" x14ac:dyDescent="0.2">
      <c r="A857" s="3">
        <v>40014</v>
      </c>
      <c r="B857" s="2">
        <v>1544</v>
      </c>
      <c r="C857" s="2">
        <v>1545.02</v>
      </c>
      <c r="D857" s="2">
        <v>1529.45</v>
      </c>
      <c r="E857" s="2">
        <v>2612877017779</v>
      </c>
      <c r="F857" s="2">
        <v>0</v>
      </c>
      <c r="G857">
        <v>916.22</v>
      </c>
      <c r="H857">
        <v>916.73</v>
      </c>
      <c r="I857">
        <v>904.86</v>
      </c>
      <c r="J857">
        <v>4223566591</v>
      </c>
      <c r="K857">
        <v>0</v>
      </c>
      <c r="L857" s="2">
        <f>VLOOKUP(A857,[1]aaabonddata!$A:$B,2,0)</f>
        <v>4.09</v>
      </c>
    </row>
    <row r="858" spans="1:12" x14ac:dyDescent="0.2">
      <c r="A858" s="3">
        <v>40015</v>
      </c>
      <c r="B858" s="2">
        <v>1553.01</v>
      </c>
      <c r="C858" s="2">
        <v>1553.01</v>
      </c>
      <c r="D858" s="2">
        <v>1530.8</v>
      </c>
      <c r="E858" s="2">
        <v>2628129324657</v>
      </c>
      <c r="F858" s="2">
        <v>0</v>
      </c>
      <c r="G858">
        <v>921.21</v>
      </c>
      <c r="H858">
        <v>921.21</v>
      </c>
      <c r="I858">
        <v>903.96</v>
      </c>
      <c r="J858">
        <v>4246548772</v>
      </c>
      <c r="K858">
        <v>0</v>
      </c>
      <c r="L858" s="2">
        <f>VLOOKUP(A858,[1]aaabonddata!$A:$B,2,0)</f>
        <v>3.98</v>
      </c>
    </row>
    <row r="859" spans="1:12" x14ac:dyDescent="0.2">
      <c r="A859" s="3">
        <v>40016</v>
      </c>
      <c r="B859" s="2">
        <v>1565</v>
      </c>
      <c r="C859" s="2">
        <v>1572.48</v>
      </c>
      <c r="D859" s="2">
        <v>1551.16</v>
      </c>
      <c r="E859" s="2">
        <v>2648419440763</v>
      </c>
      <c r="F859" s="2">
        <v>0</v>
      </c>
      <c r="G859">
        <v>932.73</v>
      </c>
      <c r="H859">
        <v>936.5</v>
      </c>
      <c r="I859">
        <v>915.02</v>
      </c>
      <c r="J859">
        <v>4299676941</v>
      </c>
      <c r="K859">
        <v>0</v>
      </c>
      <c r="L859" s="2">
        <f>VLOOKUP(A859,[1]aaabonddata!$A:$B,2,0)</f>
        <v>4.04</v>
      </c>
    </row>
    <row r="860" spans="1:12" x14ac:dyDescent="0.2">
      <c r="A860" s="3">
        <v>40017</v>
      </c>
      <c r="B860" s="2">
        <v>1601.52</v>
      </c>
      <c r="C860" s="2">
        <v>1605.09</v>
      </c>
      <c r="D860" s="2">
        <v>1561.54</v>
      </c>
      <c r="E860" s="2">
        <v>2710225796364</v>
      </c>
      <c r="F860" s="2">
        <v>0</v>
      </c>
      <c r="G860">
        <v>951.46</v>
      </c>
      <c r="H860">
        <v>955.18</v>
      </c>
      <c r="I860">
        <v>925.18</v>
      </c>
      <c r="J860">
        <v>4386021470</v>
      </c>
      <c r="K860">
        <v>0</v>
      </c>
      <c r="L860" s="2">
        <f>VLOOKUP(A860,[1]aaabonddata!$A:$B,2,0)</f>
        <v>4.18</v>
      </c>
    </row>
    <row r="861" spans="1:12" x14ac:dyDescent="0.2">
      <c r="A861" s="3">
        <v>40018</v>
      </c>
      <c r="B861" s="2">
        <v>1599.06</v>
      </c>
      <c r="C861" s="2">
        <v>1600.03</v>
      </c>
      <c r="D861" s="2">
        <v>1576.51</v>
      </c>
      <c r="E861" s="2">
        <v>2706060330739</v>
      </c>
      <c r="F861" s="2">
        <v>0</v>
      </c>
      <c r="G861">
        <v>951.57</v>
      </c>
      <c r="H861">
        <v>952.15</v>
      </c>
      <c r="I861">
        <v>933.23</v>
      </c>
      <c r="J861">
        <v>4386498941</v>
      </c>
      <c r="K861">
        <v>0</v>
      </c>
      <c r="L861" s="2">
        <f>VLOOKUP(A861,[1]aaabonddata!$A:$B,2,0)</f>
        <v>4.1399999999999997</v>
      </c>
    </row>
    <row r="862" spans="1:12" x14ac:dyDescent="0.2">
      <c r="A862" s="3">
        <v>40021</v>
      </c>
      <c r="B862" s="2">
        <v>1599.31</v>
      </c>
      <c r="C862" s="2">
        <v>1602.28</v>
      </c>
      <c r="D862" s="2">
        <v>1580.52</v>
      </c>
      <c r="E862" s="2">
        <v>2706476094640</v>
      </c>
      <c r="F862" s="2">
        <v>0</v>
      </c>
      <c r="G862">
        <v>953.28</v>
      </c>
      <c r="H862">
        <v>955.45</v>
      </c>
      <c r="I862">
        <v>940.84</v>
      </c>
      <c r="J862">
        <v>4394391746</v>
      </c>
      <c r="K862">
        <v>0</v>
      </c>
      <c r="L862" s="2">
        <f>VLOOKUP(A862,[1]aaabonddata!$A:$B,2,0)</f>
        <v>4.18</v>
      </c>
    </row>
    <row r="863" spans="1:12" x14ac:dyDescent="0.2">
      <c r="A863" s="3">
        <v>40022</v>
      </c>
      <c r="B863" s="2">
        <v>1605.47</v>
      </c>
      <c r="C863" s="2">
        <v>1609.17</v>
      </c>
      <c r="D863" s="2">
        <v>1583.27</v>
      </c>
      <c r="E863" s="2">
        <v>2716907636934</v>
      </c>
      <c r="F863" s="2">
        <v>0</v>
      </c>
      <c r="G863">
        <v>957.28</v>
      </c>
      <c r="H863">
        <v>960.88</v>
      </c>
      <c r="I863">
        <v>944.05</v>
      </c>
      <c r="J863">
        <v>4412828041</v>
      </c>
      <c r="K863">
        <v>0</v>
      </c>
      <c r="L863" s="2">
        <f>VLOOKUP(A863,[1]aaabonddata!$A:$B,2,0)</f>
        <v>4.17</v>
      </c>
    </row>
    <row r="864" spans="1:12" x14ac:dyDescent="0.2">
      <c r="A864" s="3">
        <v>40023</v>
      </c>
      <c r="B864" s="2">
        <v>1599.61</v>
      </c>
      <c r="C864" s="2">
        <v>1602.49</v>
      </c>
      <c r="D864" s="2">
        <v>1586.04</v>
      </c>
      <c r="E864" s="2">
        <v>2706994891334</v>
      </c>
      <c r="F864" s="2">
        <v>26038064</v>
      </c>
      <c r="G864">
        <v>949.21</v>
      </c>
      <c r="H864">
        <v>951.41</v>
      </c>
      <c r="I864">
        <v>939.81</v>
      </c>
      <c r="J864">
        <v>4375639271</v>
      </c>
      <c r="K864">
        <v>0</v>
      </c>
      <c r="L864" s="2">
        <f>VLOOKUP(A864,[1]aaabonddata!$A:$B,2,0)</f>
        <v>4.16</v>
      </c>
    </row>
    <row r="865" spans="1:12" x14ac:dyDescent="0.2">
      <c r="A865" s="3">
        <v>40024</v>
      </c>
      <c r="B865" s="2">
        <v>1609.87</v>
      </c>
      <c r="C865" s="2">
        <v>1632.97</v>
      </c>
      <c r="D865" s="2">
        <v>1606.72</v>
      </c>
      <c r="E865" s="2">
        <v>2724362314441</v>
      </c>
      <c r="F865" s="2">
        <v>199328045</v>
      </c>
      <c r="G865">
        <v>943.59</v>
      </c>
      <c r="H865">
        <v>960.42</v>
      </c>
      <c r="I865">
        <v>941</v>
      </c>
      <c r="J865">
        <v>4349732825</v>
      </c>
      <c r="K865">
        <v>0</v>
      </c>
      <c r="L865" s="2">
        <f>VLOOKUP(A865,[1]aaabonddata!$A:$B,2,0)</f>
        <v>4.12</v>
      </c>
    </row>
    <row r="866" spans="1:12" x14ac:dyDescent="0.2">
      <c r="A866" s="3">
        <v>40025</v>
      </c>
      <c r="B866" s="2">
        <v>1603.36</v>
      </c>
      <c r="C866" s="2">
        <v>1619.67</v>
      </c>
      <c r="D866" s="2">
        <v>1602.25</v>
      </c>
      <c r="E866" s="2">
        <v>2713331386908</v>
      </c>
      <c r="F866" s="2">
        <v>0</v>
      </c>
      <c r="G866">
        <v>941.69</v>
      </c>
      <c r="H866">
        <v>951.45</v>
      </c>
      <c r="I866">
        <v>939.54</v>
      </c>
      <c r="J866">
        <v>4340963654</v>
      </c>
      <c r="K866">
        <v>0</v>
      </c>
      <c r="L866" s="2">
        <f>VLOOKUP(A866,[1]aaabonddata!$A:$B,2,0)</f>
        <v>3.99</v>
      </c>
    </row>
    <row r="867" spans="1:12" x14ac:dyDescent="0.2">
      <c r="A867" s="3">
        <v>40028</v>
      </c>
      <c r="B867" s="2">
        <v>1628.12</v>
      </c>
      <c r="C867" s="2">
        <v>1628.3</v>
      </c>
      <c r="D867" s="2">
        <v>1611.6</v>
      </c>
      <c r="E867" s="2">
        <v>2755232042522</v>
      </c>
      <c r="F867" s="2">
        <v>262737307</v>
      </c>
      <c r="G867">
        <v>956.7</v>
      </c>
      <c r="H867">
        <v>957.77</v>
      </c>
      <c r="I867">
        <v>947.01</v>
      </c>
      <c r="J867">
        <v>4410151284</v>
      </c>
      <c r="K867">
        <v>697558</v>
      </c>
      <c r="L867" s="2">
        <f>VLOOKUP(A867,[1]aaabonddata!$A:$B,2,0)</f>
        <v>4.12</v>
      </c>
    </row>
    <row r="868" spans="1:12" x14ac:dyDescent="0.2">
      <c r="A868" s="3">
        <v>40029</v>
      </c>
      <c r="B868" s="2">
        <v>1628.49</v>
      </c>
      <c r="C868" s="2">
        <v>1633.16</v>
      </c>
      <c r="D868" s="2">
        <v>1616.54</v>
      </c>
      <c r="E868" s="2">
        <v>2755870332188</v>
      </c>
      <c r="F868" s="2">
        <v>0</v>
      </c>
      <c r="G868">
        <v>960.65</v>
      </c>
      <c r="H868">
        <v>965.24</v>
      </c>
      <c r="I868">
        <v>952.34</v>
      </c>
      <c r="J868">
        <v>4428352056</v>
      </c>
      <c r="K868">
        <v>0</v>
      </c>
      <c r="L868" s="2">
        <f>VLOOKUP(A868,[1]aaabonddata!$A:$B,2,0)</f>
        <v>4.1399999999999997</v>
      </c>
    </row>
    <row r="869" spans="1:12" x14ac:dyDescent="0.2">
      <c r="A869" s="3">
        <v>40030</v>
      </c>
      <c r="B869" s="2">
        <v>1614.44</v>
      </c>
      <c r="C869" s="2">
        <v>1631.75</v>
      </c>
      <c r="D869" s="2">
        <v>1604.09</v>
      </c>
      <c r="E869" s="2">
        <v>2731369466747</v>
      </c>
      <c r="F869" s="2">
        <v>514303350</v>
      </c>
      <c r="G869">
        <v>955.24</v>
      </c>
      <c r="H869">
        <v>963.49</v>
      </c>
      <c r="I869">
        <v>946.6</v>
      </c>
      <c r="J869">
        <v>4403450910</v>
      </c>
      <c r="K869">
        <v>874453</v>
      </c>
      <c r="L869" s="2">
        <f>VLOOKUP(A869,[1]aaabonddata!$A:$B,2,0)</f>
        <v>4.16</v>
      </c>
    </row>
    <row r="870" spans="1:12" x14ac:dyDescent="0.2">
      <c r="A870" s="3">
        <v>40031</v>
      </c>
      <c r="B870" s="2">
        <v>1600.29</v>
      </c>
      <c r="C870" s="2">
        <v>1623.25</v>
      </c>
      <c r="D870" s="2">
        <v>1595.36</v>
      </c>
      <c r="E870" s="2">
        <v>2707426496107</v>
      </c>
      <c r="F870" s="2">
        <v>76202802</v>
      </c>
      <c r="G870">
        <v>943.57</v>
      </c>
      <c r="H870">
        <v>961.33</v>
      </c>
      <c r="I870">
        <v>940.88</v>
      </c>
      <c r="J870">
        <v>4349647738</v>
      </c>
      <c r="K870">
        <v>538472</v>
      </c>
      <c r="L870" s="2">
        <f>VLOOKUP(A870,[1]aaabonddata!$A:$B,2,0)</f>
        <v>4.1399999999999997</v>
      </c>
    </row>
    <row r="871" spans="1:12" x14ac:dyDescent="0.2">
      <c r="A871" s="3">
        <v>40032</v>
      </c>
      <c r="B871" s="2">
        <v>1619.49</v>
      </c>
      <c r="C871" s="2">
        <v>1628.44</v>
      </c>
      <c r="D871" s="2">
        <v>1609.54</v>
      </c>
      <c r="E871" s="2">
        <v>2739904579082</v>
      </c>
      <c r="F871" s="2">
        <v>0</v>
      </c>
      <c r="G871">
        <v>951.53</v>
      </c>
      <c r="H871">
        <v>959.48</v>
      </c>
      <c r="I871">
        <v>945.53</v>
      </c>
      <c r="J871">
        <v>4386345836</v>
      </c>
      <c r="K871">
        <v>0</v>
      </c>
      <c r="L871" s="2">
        <f>VLOOKUP(A871,[1]aaabonddata!$A:$B,2,0)</f>
        <v>4.25</v>
      </c>
    </row>
    <row r="872" spans="1:12" x14ac:dyDescent="0.2">
      <c r="A872" s="3">
        <v>40035</v>
      </c>
      <c r="B872" s="2">
        <v>1610.43</v>
      </c>
      <c r="C872" s="2">
        <v>1619.02</v>
      </c>
      <c r="D872" s="2">
        <v>1599.46</v>
      </c>
      <c r="E872" s="2">
        <v>2724584744692</v>
      </c>
      <c r="F872" s="2">
        <v>0</v>
      </c>
      <c r="G872">
        <v>945.52</v>
      </c>
      <c r="H872">
        <v>953.88</v>
      </c>
      <c r="I872">
        <v>939.41</v>
      </c>
      <c r="J872">
        <v>4358636639</v>
      </c>
      <c r="K872">
        <v>0</v>
      </c>
      <c r="L872" s="2">
        <f>VLOOKUP(A872,[1]aaabonddata!$A:$B,2,0)</f>
        <v>4.1399999999999997</v>
      </c>
    </row>
    <row r="873" spans="1:12" x14ac:dyDescent="0.2">
      <c r="A873" s="3">
        <v>40036</v>
      </c>
      <c r="B873" s="2">
        <v>1594.69</v>
      </c>
      <c r="C873" s="2">
        <v>1605.8</v>
      </c>
      <c r="D873" s="2">
        <v>1587.4</v>
      </c>
      <c r="E873" s="2">
        <v>2697957831598</v>
      </c>
      <c r="F873" s="2">
        <v>77481539</v>
      </c>
      <c r="G873">
        <v>936.45</v>
      </c>
      <c r="H873">
        <v>946.82</v>
      </c>
      <c r="I873">
        <v>932.46</v>
      </c>
      <c r="J873">
        <v>4316828776</v>
      </c>
      <c r="K873">
        <v>546448</v>
      </c>
      <c r="L873" s="2">
        <f>VLOOKUP(A873,[1]aaabonddata!$A:$B,2,0)</f>
        <v>4.09</v>
      </c>
    </row>
    <row r="874" spans="1:12" x14ac:dyDescent="0.2">
      <c r="A874" s="3">
        <v>40037</v>
      </c>
      <c r="B874" s="2">
        <v>1619.59</v>
      </c>
      <c r="C874" s="2">
        <v>1634.12</v>
      </c>
      <c r="D874" s="2">
        <v>1594.76</v>
      </c>
      <c r="E874" s="2">
        <v>2740084760654</v>
      </c>
      <c r="F874" s="2">
        <v>200059577</v>
      </c>
      <c r="G874">
        <v>957.28</v>
      </c>
      <c r="H874">
        <v>965.1</v>
      </c>
      <c r="I874">
        <v>937.54</v>
      </c>
      <c r="J874">
        <v>4412818443</v>
      </c>
      <c r="K874">
        <v>985221</v>
      </c>
      <c r="L874" s="2">
        <f>VLOOKUP(A874,[1]aaabonddata!$A:$B,2,0)</f>
        <v>4.05</v>
      </c>
    </row>
    <row r="875" spans="1:12" x14ac:dyDescent="0.2">
      <c r="A875" s="3">
        <v>40038</v>
      </c>
      <c r="B875" s="2">
        <v>1628.65</v>
      </c>
      <c r="C875" s="2">
        <v>1632.2</v>
      </c>
      <c r="D875" s="2">
        <v>1611.24</v>
      </c>
      <c r="E875" s="2">
        <v>2755411540970</v>
      </c>
      <c r="F875" s="2">
        <v>156693154</v>
      </c>
      <c r="G875">
        <v>968.35</v>
      </c>
      <c r="H875">
        <v>968.59</v>
      </c>
      <c r="I875">
        <v>950.64</v>
      </c>
      <c r="J875">
        <v>4463879379</v>
      </c>
      <c r="K875">
        <v>592417</v>
      </c>
      <c r="L875" s="2">
        <f>VLOOKUP(A875,[1]aaabonddata!$A:$B,2,0)</f>
        <v>3.94</v>
      </c>
    </row>
    <row r="876" spans="1:12" x14ac:dyDescent="0.2">
      <c r="A876" s="3">
        <v>40039</v>
      </c>
      <c r="B876" s="2">
        <v>1611.58</v>
      </c>
      <c r="C876" s="2">
        <v>1624.47</v>
      </c>
      <c r="D876" s="2">
        <v>1596.95</v>
      </c>
      <c r="E876" s="2">
        <v>2726531899694</v>
      </c>
      <c r="F876" s="2">
        <v>68820602</v>
      </c>
      <c r="G876">
        <v>955.7</v>
      </c>
      <c r="H876">
        <v>965.44</v>
      </c>
      <c r="I876">
        <v>947.38</v>
      </c>
      <c r="J876">
        <v>4405560991</v>
      </c>
      <c r="K876">
        <v>0</v>
      </c>
      <c r="L876" s="2">
        <f>VLOOKUP(A876,[1]aaabonddata!$A:$B,2,0)</f>
        <v>3.89</v>
      </c>
    </row>
    <row r="877" spans="1:12" x14ac:dyDescent="0.2">
      <c r="A877" s="3">
        <v>40042</v>
      </c>
      <c r="B877" s="2">
        <v>1564.89</v>
      </c>
      <c r="C877" s="2">
        <v>1583.29</v>
      </c>
      <c r="D877" s="2">
        <v>1563.14</v>
      </c>
      <c r="E877" s="2">
        <v>2647529213964</v>
      </c>
      <c r="F877" s="2">
        <v>0</v>
      </c>
      <c r="G877">
        <v>926.84</v>
      </c>
      <c r="H877">
        <v>938.68</v>
      </c>
      <c r="I877">
        <v>925.1</v>
      </c>
      <c r="J877">
        <v>4272495970</v>
      </c>
      <c r="K877">
        <v>0</v>
      </c>
      <c r="L877" s="2">
        <f>VLOOKUP(A877,[1]aaabonddata!$A:$B,2,0)</f>
        <v>3.8</v>
      </c>
    </row>
    <row r="878" spans="1:12" x14ac:dyDescent="0.2">
      <c r="A878" s="3">
        <v>40043</v>
      </c>
      <c r="B878" s="2">
        <v>1586.5</v>
      </c>
      <c r="C878" s="2">
        <v>1588.89</v>
      </c>
      <c r="D878" s="2">
        <v>1569.22</v>
      </c>
      <c r="E878" s="2">
        <v>2684098234442</v>
      </c>
      <c r="F878" s="2">
        <v>844755767</v>
      </c>
      <c r="G878">
        <v>943.4</v>
      </c>
      <c r="H878">
        <v>944.72</v>
      </c>
      <c r="I878">
        <v>930.33</v>
      </c>
      <c r="J878">
        <v>4348846849</v>
      </c>
      <c r="K878">
        <v>2048769</v>
      </c>
      <c r="L878" s="2">
        <f>VLOOKUP(A878,[1]aaabonddata!$A:$B,2,0)</f>
        <v>3.85</v>
      </c>
    </row>
    <row r="879" spans="1:12" x14ac:dyDescent="0.2">
      <c r="A879" s="3">
        <v>40044</v>
      </c>
      <c r="B879" s="2">
        <v>1596.61</v>
      </c>
      <c r="C879" s="2">
        <v>1600.23</v>
      </c>
      <c r="D879" s="2">
        <v>1566.44</v>
      </c>
      <c r="E879" s="2">
        <v>2701207755747</v>
      </c>
      <c r="F879" s="2">
        <v>112690905</v>
      </c>
      <c r="G879">
        <v>947.99</v>
      </c>
      <c r="H879">
        <v>951.04</v>
      </c>
      <c r="I879">
        <v>928.75</v>
      </c>
      <c r="J879">
        <v>4369999075</v>
      </c>
      <c r="K879">
        <v>1242236</v>
      </c>
      <c r="L879" s="2">
        <f>VLOOKUP(A879,[1]aaabonddata!$A:$B,2,0)</f>
        <v>3.8</v>
      </c>
    </row>
    <row r="880" spans="1:12" x14ac:dyDescent="0.2">
      <c r="A880" s="3">
        <v>40045</v>
      </c>
      <c r="B880" s="2">
        <v>1614.22</v>
      </c>
      <c r="C880" s="2">
        <v>1618.12</v>
      </c>
      <c r="D880" s="2">
        <v>1593.12</v>
      </c>
      <c r="E880" s="2">
        <v>2730988268736</v>
      </c>
      <c r="F880" s="2">
        <v>0</v>
      </c>
      <c r="G880">
        <v>955.8</v>
      </c>
      <c r="H880">
        <v>957.11</v>
      </c>
      <c r="I880">
        <v>944.74</v>
      </c>
      <c r="J880">
        <v>4406021625</v>
      </c>
      <c r="K880">
        <v>0</v>
      </c>
      <c r="L880" s="2">
        <f>VLOOKUP(A880,[1]aaabonddata!$A:$B,2,0)</f>
        <v>3.81</v>
      </c>
    </row>
    <row r="881" spans="1:12" x14ac:dyDescent="0.2">
      <c r="A881" s="3">
        <v>40046</v>
      </c>
      <c r="B881" s="2">
        <v>1637.78</v>
      </c>
      <c r="C881" s="2">
        <v>1639.23</v>
      </c>
      <c r="D881" s="2">
        <v>1615.12</v>
      </c>
      <c r="E881" s="2">
        <v>2770847366895</v>
      </c>
      <c r="F881" s="2">
        <v>0</v>
      </c>
      <c r="G881">
        <v>968.7</v>
      </c>
      <c r="H881">
        <v>969.14</v>
      </c>
      <c r="I881">
        <v>952.78</v>
      </c>
      <c r="J881">
        <v>4465492270</v>
      </c>
      <c r="K881">
        <v>0</v>
      </c>
      <c r="L881" s="2">
        <f>VLOOKUP(A881,[1]aaabonddata!$A:$B,2,0)</f>
        <v>3.93</v>
      </c>
    </row>
    <row r="882" spans="1:12" x14ac:dyDescent="0.2">
      <c r="A882" s="3">
        <v>40049</v>
      </c>
      <c r="B882" s="2">
        <v>1634.78</v>
      </c>
      <c r="C882" s="2">
        <v>1648.18</v>
      </c>
      <c r="D882" s="2">
        <v>1629.77</v>
      </c>
      <c r="E882" s="2">
        <v>2765779763184</v>
      </c>
      <c r="F882" s="2">
        <v>0</v>
      </c>
      <c r="G882">
        <v>961.24</v>
      </c>
      <c r="H882">
        <v>975.44</v>
      </c>
      <c r="I882">
        <v>958.22</v>
      </c>
      <c r="J882">
        <v>4431092690</v>
      </c>
      <c r="K882">
        <v>0</v>
      </c>
      <c r="L882" s="2">
        <f>VLOOKUP(A882,[1]aaabonddata!$A:$B,2,0)</f>
        <v>3.84</v>
      </c>
    </row>
    <row r="883" spans="1:12" x14ac:dyDescent="0.2">
      <c r="A883" s="3">
        <v>40050</v>
      </c>
      <c r="B883" s="2">
        <v>1639.9</v>
      </c>
      <c r="C883" s="2">
        <v>1655.25</v>
      </c>
      <c r="D883" s="2">
        <v>1635.38</v>
      </c>
      <c r="E883" s="2">
        <v>2774443255577</v>
      </c>
      <c r="F883" s="2">
        <v>0</v>
      </c>
      <c r="G883">
        <v>962.71</v>
      </c>
      <c r="H883">
        <v>969.89</v>
      </c>
      <c r="I883">
        <v>959.15</v>
      </c>
      <c r="J883">
        <v>4437859549</v>
      </c>
      <c r="K883">
        <v>0</v>
      </c>
      <c r="L883" s="2">
        <f>VLOOKUP(A883,[1]aaabonddata!$A:$B,2,0)</f>
        <v>3.81</v>
      </c>
    </row>
    <row r="884" spans="1:12" x14ac:dyDescent="0.2">
      <c r="A884" s="3">
        <v>40051</v>
      </c>
      <c r="B884" s="2">
        <v>1637</v>
      </c>
      <c r="C884" s="2">
        <v>1648.77</v>
      </c>
      <c r="D884" s="2">
        <v>1628.41</v>
      </c>
      <c r="E884" s="2">
        <v>2769533952993</v>
      </c>
      <c r="F884" s="2">
        <v>637404646</v>
      </c>
      <c r="G884">
        <v>965.66</v>
      </c>
      <c r="H884">
        <v>970.29</v>
      </c>
      <c r="I884">
        <v>958.78</v>
      </c>
      <c r="J884">
        <v>4451477997</v>
      </c>
      <c r="K884">
        <v>369565</v>
      </c>
      <c r="L884" s="2">
        <f>VLOOKUP(A884,[1]aaabonddata!$A:$B,2,0)</f>
        <v>3.8</v>
      </c>
    </row>
    <row r="885" spans="1:12" x14ac:dyDescent="0.2">
      <c r="A885" s="3">
        <v>40052</v>
      </c>
      <c r="B885" s="2">
        <v>1640.97</v>
      </c>
      <c r="C885" s="2">
        <v>1643.18</v>
      </c>
      <c r="D885" s="2">
        <v>1611.73</v>
      </c>
      <c r="E885" s="2">
        <v>2776247489995</v>
      </c>
      <c r="F885" s="2">
        <v>0</v>
      </c>
      <c r="G885">
        <v>973.19</v>
      </c>
      <c r="H885">
        <v>974.06</v>
      </c>
      <c r="I885">
        <v>951.3</v>
      </c>
      <c r="J885">
        <v>4486157459</v>
      </c>
      <c r="K885">
        <v>0</v>
      </c>
      <c r="L885" s="2">
        <f>VLOOKUP(A885,[1]aaabonddata!$A:$B,2,0)</f>
        <v>3.81</v>
      </c>
    </row>
    <row r="886" spans="1:12" x14ac:dyDescent="0.2">
      <c r="A886" s="3">
        <v>40053</v>
      </c>
      <c r="B886" s="2">
        <v>1643.24</v>
      </c>
      <c r="C886" s="2">
        <v>1668.01</v>
      </c>
      <c r="D886" s="2">
        <v>1631.47</v>
      </c>
      <c r="E886" s="2">
        <v>2780096933612</v>
      </c>
      <c r="F886" s="2">
        <v>31936185</v>
      </c>
      <c r="G886">
        <v>980.8</v>
      </c>
      <c r="H886">
        <v>1000.18</v>
      </c>
      <c r="I886">
        <v>973.27</v>
      </c>
      <c r="J886">
        <v>4521252401</v>
      </c>
      <c r="K886">
        <v>0</v>
      </c>
      <c r="L886" s="2">
        <f>VLOOKUP(A886,[1]aaabonddata!$A:$B,2,0)</f>
        <v>3.78</v>
      </c>
    </row>
    <row r="887" spans="1:12" x14ac:dyDescent="0.2">
      <c r="A887" s="3">
        <v>40056</v>
      </c>
      <c r="B887" s="2">
        <v>1625.19</v>
      </c>
      <c r="C887" s="2">
        <v>1632.07</v>
      </c>
      <c r="D887" s="2">
        <v>1616.52</v>
      </c>
      <c r="E887" s="2">
        <v>2749559626619</v>
      </c>
      <c r="F887" s="2">
        <v>0</v>
      </c>
      <c r="G887">
        <v>966.86</v>
      </c>
      <c r="H887">
        <v>973.44</v>
      </c>
      <c r="I887">
        <v>962.22</v>
      </c>
      <c r="J887">
        <v>4457011601</v>
      </c>
      <c r="K887">
        <v>0</v>
      </c>
      <c r="L887" s="2">
        <f>VLOOKUP(A887,[1]aaabonddata!$A:$B,2,0)</f>
        <v>3.68</v>
      </c>
    </row>
    <row r="888" spans="1:12" x14ac:dyDescent="0.2">
      <c r="A888" s="3">
        <v>40057</v>
      </c>
      <c r="B888" s="2">
        <v>1595.84</v>
      </c>
      <c r="C888" s="2">
        <v>1648.27</v>
      </c>
      <c r="D888" s="2">
        <v>1591.01</v>
      </c>
      <c r="E888" s="2">
        <v>2699898882908</v>
      </c>
      <c r="F888" s="2">
        <v>26489281</v>
      </c>
      <c r="G888">
        <v>946.11</v>
      </c>
      <c r="H888">
        <v>983.42</v>
      </c>
      <c r="I888">
        <v>943.71</v>
      </c>
      <c r="J888">
        <v>4361344327</v>
      </c>
      <c r="K888">
        <v>0</v>
      </c>
      <c r="L888" s="2">
        <f>VLOOKUP(A888,[1]aaabonddata!$A:$B,2,0)</f>
        <v>3.67</v>
      </c>
    </row>
    <row r="889" spans="1:12" x14ac:dyDescent="0.2">
      <c r="A889" s="3">
        <v>40058</v>
      </c>
      <c r="B889" s="2">
        <v>1594.28</v>
      </c>
      <c r="C889" s="2">
        <v>1602.9</v>
      </c>
      <c r="D889" s="2">
        <v>1586.55</v>
      </c>
      <c r="E889" s="2">
        <v>2697258856885</v>
      </c>
      <c r="F889" s="2">
        <v>108498668</v>
      </c>
      <c r="G889">
        <v>944.35</v>
      </c>
      <c r="H889">
        <v>952.75</v>
      </c>
      <c r="I889">
        <v>940.37</v>
      </c>
      <c r="J889">
        <v>4353221555</v>
      </c>
      <c r="K889">
        <v>0</v>
      </c>
      <c r="L889" s="2">
        <f>VLOOKUP(A889,[1]aaabonddata!$A:$B,2,0)</f>
        <v>3.56</v>
      </c>
    </row>
    <row r="890" spans="1:12" x14ac:dyDescent="0.2">
      <c r="A890" s="3">
        <v>40059</v>
      </c>
      <c r="B890" s="2">
        <v>1605.98</v>
      </c>
      <c r="C890" s="2">
        <v>1607.15</v>
      </c>
      <c r="D890" s="2">
        <v>1585.56</v>
      </c>
      <c r="E890" s="2">
        <v>2717056994923</v>
      </c>
      <c r="F890" s="2">
        <v>0</v>
      </c>
      <c r="G890">
        <v>953.69</v>
      </c>
      <c r="H890">
        <v>954.27</v>
      </c>
      <c r="I890">
        <v>939.9</v>
      </c>
      <c r="J890">
        <v>4396288363</v>
      </c>
      <c r="K890">
        <v>0</v>
      </c>
      <c r="L890" s="2">
        <f>VLOOKUP(A890,[1]aaabonddata!$A:$B,2,0)</f>
        <v>3.6</v>
      </c>
    </row>
    <row r="891" spans="1:12" x14ac:dyDescent="0.2">
      <c r="A891" s="3">
        <v>40060</v>
      </c>
      <c r="B891" s="2">
        <v>1638.07</v>
      </c>
      <c r="C891" s="2">
        <v>1639.9</v>
      </c>
      <c r="D891" s="2">
        <v>1606.47</v>
      </c>
      <c r="E891" s="2">
        <v>2771339698045</v>
      </c>
      <c r="F891" s="2">
        <v>159952882</v>
      </c>
      <c r="G891">
        <v>976.93</v>
      </c>
      <c r="H891">
        <v>977.37</v>
      </c>
      <c r="I891">
        <v>954.67</v>
      </c>
      <c r="J891">
        <v>4503402685</v>
      </c>
      <c r="K891">
        <v>0</v>
      </c>
      <c r="L891" s="2">
        <f>VLOOKUP(A891,[1]aaabonddata!$A:$B,2,0)</f>
        <v>3.71</v>
      </c>
    </row>
    <row r="892" spans="1:12" x14ac:dyDescent="0.2">
      <c r="A892" s="3">
        <v>40064</v>
      </c>
      <c r="B892" s="2">
        <v>1654.81</v>
      </c>
      <c r="C892" s="2">
        <v>1655.62</v>
      </c>
      <c r="D892" s="2">
        <v>1643.44</v>
      </c>
      <c r="E892" s="2">
        <v>2799666726419</v>
      </c>
      <c r="F892" s="2">
        <v>0</v>
      </c>
      <c r="G892">
        <v>992.55</v>
      </c>
      <c r="H892">
        <v>992.71</v>
      </c>
      <c r="I892">
        <v>981.3</v>
      </c>
      <c r="J892">
        <v>4575420680</v>
      </c>
      <c r="K892">
        <v>0</v>
      </c>
      <c r="L892" s="2">
        <f>VLOOKUP(A892,[1]aaabonddata!$A:$B,2,0)</f>
        <v>3.73</v>
      </c>
    </row>
    <row r="893" spans="1:12" x14ac:dyDescent="0.2">
      <c r="A893" s="3">
        <v>40065</v>
      </c>
      <c r="B893" s="2">
        <v>1669.23</v>
      </c>
      <c r="C893" s="2">
        <v>1676.25</v>
      </c>
      <c r="D893" s="2">
        <v>1648.92</v>
      </c>
      <c r="E893" s="2">
        <v>2824066203235</v>
      </c>
      <c r="F893" s="2">
        <v>219749676</v>
      </c>
      <c r="G893">
        <v>1005.37</v>
      </c>
      <c r="H893">
        <v>1007.21</v>
      </c>
      <c r="I893">
        <v>987.37</v>
      </c>
      <c r="J893">
        <v>4634527906</v>
      </c>
      <c r="K893">
        <v>0</v>
      </c>
      <c r="L893" s="2">
        <f>VLOOKUP(A893,[1]aaabonddata!$A:$B,2,0)</f>
        <v>3.75</v>
      </c>
    </row>
    <row r="894" spans="1:12" x14ac:dyDescent="0.2">
      <c r="A894" s="3">
        <v>40066</v>
      </c>
      <c r="B894" s="2">
        <v>1686.16</v>
      </c>
      <c r="C894" s="2">
        <v>1686.27</v>
      </c>
      <c r="D894" s="2">
        <v>1665.49</v>
      </c>
      <c r="E894" s="2">
        <v>2852706835280</v>
      </c>
      <c r="F894" s="2">
        <v>0</v>
      </c>
      <c r="G894">
        <v>1021.41</v>
      </c>
      <c r="H894">
        <v>1021.85</v>
      </c>
      <c r="I894">
        <v>1002.71</v>
      </c>
      <c r="J894">
        <v>4708467922</v>
      </c>
      <c r="K894">
        <v>0</v>
      </c>
      <c r="L894" s="2">
        <f>VLOOKUP(A894,[1]aaabonddata!$A:$B,2,0)</f>
        <v>3.64</v>
      </c>
    </row>
    <row r="895" spans="1:12" x14ac:dyDescent="0.2">
      <c r="A895" s="3">
        <v>40067</v>
      </c>
      <c r="B895" s="2">
        <v>1685.46</v>
      </c>
      <c r="C895" s="2">
        <v>1689.68</v>
      </c>
      <c r="D895" s="2">
        <v>1674.14</v>
      </c>
      <c r="E895" s="2">
        <v>2851519183446</v>
      </c>
      <c r="F895" s="2">
        <v>32310719</v>
      </c>
      <c r="G895">
        <v>1017.71</v>
      </c>
      <c r="H895">
        <v>1023.69</v>
      </c>
      <c r="I895">
        <v>1010.8</v>
      </c>
      <c r="J895">
        <v>4691407016</v>
      </c>
      <c r="K895">
        <v>0</v>
      </c>
      <c r="L895" s="2">
        <f>VLOOKUP(A895,[1]aaabonddata!$A:$B,2,0)</f>
        <v>3.62</v>
      </c>
    </row>
    <row r="896" spans="1:12" x14ac:dyDescent="0.2">
      <c r="A896" s="3">
        <v>40070</v>
      </c>
      <c r="B896" s="2">
        <v>1693.76</v>
      </c>
      <c r="C896" s="2">
        <v>1693.76</v>
      </c>
      <c r="D896" s="2">
        <v>1673.13</v>
      </c>
      <c r="E896" s="2">
        <v>2865565897924</v>
      </c>
      <c r="F896" s="2">
        <v>0</v>
      </c>
      <c r="G896">
        <v>1020.03</v>
      </c>
      <c r="H896">
        <v>1020.14</v>
      </c>
      <c r="I896">
        <v>1011.78</v>
      </c>
      <c r="J896">
        <v>4702077881</v>
      </c>
      <c r="K896">
        <v>0</v>
      </c>
      <c r="L896" s="2">
        <f>VLOOKUP(A896,[1]aaabonddata!$A:$B,2,0)</f>
        <v>3.68</v>
      </c>
    </row>
    <row r="897" spans="1:12" x14ac:dyDescent="0.2">
      <c r="A897" s="3">
        <v>40071</v>
      </c>
      <c r="B897" s="2">
        <v>1699.53</v>
      </c>
      <c r="C897" s="2">
        <v>1703.46</v>
      </c>
      <c r="D897" s="2">
        <v>1688.46</v>
      </c>
      <c r="E897" s="2">
        <v>2875323713112</v>
      </c>
      <c r="F897" s="2">
        <v>0</v>
      </c>
      <c r="G897">
        <v>1026.6300000000001</v>
      </c>
      <c r="H897">
        <v>1028.17</v>
      </c>
      <c r="I897">
        <v>1018.41</v>
      </c>
      <c r="J897">
        <v>4732507933</v>
      </c>
      <c r="K897">
        <v>0</v>
      </c>
      <c r="L897" s="2">
        <f>VLOOKUP(A897,[1]aaabonddata!$A:$B,2,0)</f>
        <v>3.68</v>
      </c>
    </row>
    <row r="898" spans="1:12" x14ac:dyDescent="0.2">
      <c r="A898" s="3">
        <v>40072</v>
      </c>
      <c r="B898" s="2">
        <v>1723.73</v>
      </c>
      <c r="C898" s="2">
        <v>1724.67</v>
      </c>
      <c r="D898" s="2">
        <v>1699.74</v>
      </c>
      <c r="E898" s="2">
        <v>2916261323360</v>
      </c>
      <c r="F898" s="2">
        <v>0</v>
      </c>
      <c r="G898">
        <v>1033.92</v>
      </c>
      <c r="H898">
        <v>1033.92</v>
      </c>
      <c r="I898">
        <v>1021.95</v>
      </c>
      <c r="J898">
        <v>4766123348</v>
      </c>
      <c r="K898">
        <v>0</v>
      </c>
      <c r="L898" s="2">
        <f>VLOOKUP(A898,[1]aaabonddata!$A:$B,2,0)</f>
        <v>3.7</v>
      </c>
    </row>
    <row r="899" spans="1:12" x14ac:dyDescent="0.2">
      <c r="A899" s="3">
        <v>40073</v>
      </c>
      <c r="B899" s="2">
        <v>1721.09</v>
      </c>
      <c r="C899" s="2">
        <v>1732.42</v>
      </c>
      <c r="D899" s="2">
        <v>1714.33</v>
      </c>
      <c r="E899" s="2">
        <v>2911808819868</v>
      </c>
      <c r="F899" s="2">
        <v>0</v>
      </c>
      <c r="G899">
        <v>1023.03</v>
      </c>
      <c r="H899">
        <v>1034.69</v>
      </c>
      <c r="I899">
        <v>1018.88</v>
      </c>
      <c r="J899">
        <v>4715918197</v>
      </c>
      <c r="K899">
        <v>0</v>
      </c>
      <c r="L899" s="2">
        <f>VLOOKUP(A899,[1]aaabonddata!$A:$B,2,0)</f>
        <v>3.63</v>
      </c>
    </row>
    <row r="900" spans="1:12" x14ac:dyDescent="0.2">
      <c r="A900" s="3">
        <v>40074</v>
      </c>
      <c r="B900" s="2">
        <v>1725.24</v>
      </c>
      <c r="C900" s="2">
        <v>1731.87</v>
      </c>
      <c r="D900" s="2">
        <v>1716.45</v>
      </c>
      <c r="E900" s="2">
        <v>2918828466115</v>
      </c>
      <c r="F900" s="2">
        <v>0</v>
      </c>
      <c r="G900">
        <v>1026.52</v>
      </c>
      <c r="H900">
        <v>1031.25</v>
      </c>
      <c r="I900">
        <v>1018.7</v>
      </c>
      <c r="J900">
        <v>4732017346</v>
      </c>
      <c r="K900">
        <v>0</v>
      </c>
      <c r="L900" s="2">
        <f>VLOOKUP(A900,[1]aaabonddata!$A:$B,2,0)</f>
        <v>3.7</v>
      </c>
    </row>
    <row r="901" spans="1:12" x14ac:dyDescent="0.2">
      <c r="A901" s="3">
        <v>40077</v>
      </c>
      <c r="B901" s="2">
        <v>1731.58</v>
      </c>
      <c r="C901" s="2">
        <v>1735.32</v>
      </c>
      <c r="D901" s="2">
        <v>1714.1</v>
      </c>
      <c r="E901" s="2">
        <v>2936218133724</v>
      </c>
      <c r="F901" s="2">
        <v>0</v>
      </c>
      <c r="G901">
        <v>1028.56</v>
      </c>
      <c r="H901">
        <v>1032.7</v>
      </c>
      <c r="I901">
        <v>1018.89</v>
      </c>
      <c r="J901">
        <v>3907743929</v>
      </c>
      <c r="K901">
        <v>0</v>
      </c>
      <c r="L901" s="2">
        <f>VLOOKUP(A901,[1]aaabonddata!$A:$B,2,0)</f>
        <v>3.7</v>
      </c>
    </row>
    <row r="902" spans="1:12" x14ac:dyDescent="0.2">
      <c r="A902" s="3">
        <v>40078</v>
      </c>
      <c r="B902" s="2">
        <v>1734.09</v>
      </c>
      <c r="C902" s="2">
        <v>1740.13</v>
      </c>
      <c r="D902" s="2">
        <v>1727.5</v>
      </c>
      <c r="E902" s="2">
        <v>2940471172247</v>
      </c>
      <c r="F902" s="2">
        <v>0</v>
      </c>
      <c r="G902">
        <v>1032.79</v>
      </c>
      <c r="H902">
        <v>1036.1300000000001</v>
      </c>
      <c r="I902">
        <v>1029.1400000000001</v>
      </c>
      <c r="J902">
        <v>3923825680</v>
      </c>
      <c r="K902">
        <v>0</v>
      </c>
      <c r="L902" s="2">
        <f>VLOOKUP(A902,[1]aaabonddata!$A:$B,2,0)</f>
        <v>3.67</v>
      </c>
    </row>
    <row r="903" spans="1:12" x14ac:dyDescent="0.2">
      <c r="A903" s="3">
        <v>40079</v>
      </c>
      <c r="B903" s="2">
        <v>1724.27</v>
      </c>
      <c r="C903" s="2">
        <v>1754.54</v>
      </c>
      <c r="D903" s="2">
        <v>1722.99</v>
      </c>
      <c r="E903" s="2">
        <v>2923812197356</v>
      </c>
      <c r="F903" s="2">
        <v>88589708</v>
      </c>
      <c r="G903">
        <v>1033.17</v>
      </c>
      <c r="H903">
        <v>1052.08</v>
      </c>
      <c r="I903">
        <v>1032.67</v>
      </c>
      <c r="J903">
        <v>3925276362</v>
      </c>
      <c r="K903">
        <v>0</v>
      </c>
      <c r="L903" s="2">
        <f>VLOOKUP(A903,[1]aaabonddata!$A:$B,2,0)</f>
        <v>3.64</v>
      </c>
    </row>
    <row r="904" spans="1:12" x14ac:dyDescent="0.2">
      <c r="A904" s="3">
        <v>40080</v>
      </c>
      <c r="B904" s="2">
        <v>1709.76</v>
      </c>
      <c r="C904" s="2">
        <v>1734.92</v>
      </c>
      <c r="D904" s="2">
        <v>1698.69</v>
      </c>
      <c r="E904" s="2">
        <v>2899213928175</v>
      </c>
      <c r="F904" s="2">
        <v>0</v>
      </c>
      <c r="G904">
        <v>1019.67</v>
      </c>
      <c r="H904">
        <v>1039.1199999999999</v>
      </c>
      <c r="I904">
        <v>1013.59</v>
      </c>
      <c r="J904">
        <v>3873983171</v>
      </c>
      <c r="K904">
        <v>0</v>
      </c>
      <c r="L904" s="2">
        <f>VLOOKUP(A904,[1]aaabonddata!$A:$B,2,0)</f>
        <v>3.57</v>
      </c>
    </row>
    <row r="905" spans="1:12" x14ac:dyDescent="0.2">
      <c r="A905" s="3">
        <v>40081</v>
      </c>
      <c r="B905" s="2">
        <v>1694.15</v>
      </c>
      <c r="C905" s="2">
        <v>1710.29</v>
      </c>
      <c r="D905" s="2">
        <v>1690.68</v>
      </c>
      <c r="E905" s="2">
        <v>2872751392364</v>
      </c>
      <c r="F905" s="2">
        <v>0</v>
      </c>
      <c r="G905">
        <v>1010.53</v>
      </c>
      <c r="H905">
        <v>1019.53</v>
      </c>
      <c r="I905">
        <v>1006.99</v>
      </c>
      <c r="J905">
        <v>3839263381</v>
      </c>
      <c r="K905">
        <v>0</v>
      </c>
      <c r="L905" s="2">
        <f>VLOOKUP(A905,[1]aaabonddata!$A:$B,2,0)</f>
        <v>3.55</v>
      </c>
    </row>
    <row r="906" spans="1:12" x14ac:dyDescent="0.2">
      <c r="A906" s="3">
        <v>40084</v>
      </c>
      <c r="B906" s="2">
        <v>1724.59</v>
      </c>
      <c r="C906" s="2">
        <v>1733.79</v>
      </c>
      <c r="D906" s="2">
        <v>1702.52</v>
      </c>
      <c r="E906" s="2">
        <v>2924353559330</v>
      </c>
      <c r="F906" s="2">
        <v>31257891</v>
      </c>
      <c r="G906">
        <v>1031.52</v>
      </c>
      <c r="H906">
        <v>1038.24</v>
      </c>
      <c r="I906">
        <v>1016.58</v>
      </c>
      <c r="J906">
        <v>3918981063</v>
      </c>
      <c r="K906">
        <v>0</v>
      </c>
      <c r="L906" s="2">
        <f>VLOOKUP(A906,[1]aaabonddata!$A:$B,2,0)</f>
        <v>3.53</v>
      </c>
    </row>
    <row r="907" spans="1:12" x14ac:dyDescent="0.2">
      <c r="A907" s="3">
        <v>40085</v>
      </c>
      <c r="B907" s="2">
        <v>1717.67</v>
      </c>
      <c r="C907" s="2">
        <v>1732.31</v>
      </c>
      <c r="D907" s="2">
        <v>1709.28</v>
      </c>
      <c r="E907" s="2">
        <v>2912622088503</v>
      </c>
      <c r="F907" s="2">
        <v>0</v>
      </c>
      <c r="G907">
        <v>1022.44</v>
      </c>
      <c r="H907">
        <v>1037.27</v>
      </c>
      <c r="I907">
        <v>1019.47</v>
      </c>
      <c r="J907">
        <v>3884493425</v>
      </c>
      <c r="K907">
        <v>0</v>
      </c>
      <c r="L907" s="2">
        <f>VLOOKUP(A907,[1]aaabonddata!$A:$B,2,0)</f>
        <v>3.52</v>
      </c>
    </row>
    <row r="908" spans="1:12" x14ac:dyDescent="0.2">
      <c r="A908" s="3">
        <v>40086</v>
      </c>
      <c r="B908" s="2">
        <v>1718.99</v>
      </c>
      <c r="C908" s="2">
        <v>1731.44</v>
      </c>
      <c r="D908" s="2">
        <v>1691.76</v>
      </c>
      <c r="E908" s="2">
        <v>2914860681632</v>
      </c>
      <c r="F908" s="2">
        <v>0</v>
      </c>
      <c r="G908">
        <v>1030.18</v>
      </c>
      <c r="H908">
        <v>1039.29</v>
      </c>
      <c r="I908">
        <v>1009.98</v>
      </c>
      <c r="J908">
        <v>3913893525</v>
      </c>
      <c r="K908">
        <v>0</v>
      </c>
      <c r="L908" s="2">
        <f>VLOOKUP(A908,[1]aaabonddata!$A:$B,2,0)</f>
        <v>3.52</v>
      </c>
    </row>
    <row r="909" spans="1:12" x14ac:dyDescent="0.2">
      <c r="A909" s="3">
        <v>40087</v>
      </c>
      <c r="B909" s="2">
        <v>1666.41</v>
      </c>
      <c r="C909" s="2">
        <v>1711.7</v>
      </c>
      <c r="D909" s="2">
        <v>1666.41</v>
      </c>
      <c r="E909" s="2">
        <v>2825706753462</v>
      </c>
      <c r="F909" s="2">
        <v>0</v>
      </c>
      <c r="G909">
        <v>993.11</v>
      </c>
      <c r="H909">
        <v>1026.6500000000001</v>
      </c>
      <c r="I909">
        <v>993.11</v>
      </c>
      <c r="J909">
        <v>3773079594</v>
      </c>
      <c r="K909">
        <v>0</v>
      </c>
      <c r="L909" s="2">
        <f>VLOOKUP(A909,[1]aaabonddata!$A:$B,2,0)</f>
        <v>3.42</v>
      </c>
    </row>
    <row r="910" spans="1:12" x14ac:dyDescent="0.2">
      <c r="A910" s="3">
        <v>40088</v>
      </c>
      <c r="B910" s="2">
        <v>1662.49</v>
      </c>
      <c r="C910" s="2">
        <v>1676.22</v>
      </c>
      <c r="D910" s="2">
        <v>1656.57</v>
      </c>
      <c r="E910" s="2">
        <v>2819055977074</v>
      </c>
      <c r="F910" s="2">
        <v>0</v>
      </c>
      <c r="G910">
        <v>988.64</v>
      </c>
      <c r="H910">
        <v>999.67</v>
      </c>
      <c r="I910">
        <v>982.2</v>
      </c>
      <c r="J910">
        <v>3756075041</v>
      </c>
      <c r="K910">
        <v>0</v>
      </c>
      <c r="L910" s="2">
        <f>VLOOKUP(A910,[1]aaabonddata!$A:$B,2,0)</f>
        <v>3.46</v>
      </c>
    </row>
    <row r="911" spans="1:12" x14ac:dyDescent="0.2">
      <c r="A911" s="3">
        <v>40091</v>
      </c>
      <c r="B911" s="2">
        <v>1675.64</v>
      </c>
      <c r="C911" s="2">
        <v>1682.77</v>
      </c>
      <c r="D911" s="2">
        <v>1660.37</v>
      </c>
      <c r="E911" s="2">
        <v>2841365582133</v>
      </c>
      <c r="F911" s="2">
        <v>182997575</v>
      </c>
      <c r="G911">
        <v>1002.5</v>
      </c>
      <c r="H911">
        <v>1006.55</v>
      </c>
      <c r="I911">
        <v>987.82</v>
      </c>
      <c r="J911">
        <v>3808737379</v>
      </c>
      <c r="K911">
        <v>0</v>
      </c>
      <c r="L911" s="2">
        <f>VLOOKUP(A911,[1]aaabonddata!$A:$B,2,0)</f>
        <v>3.46</v>
      </c>
    </row>
    <row r="912" spans="1:12" x14ac:dyDescent="0.2">
      <c r="A912" s="3">
        <v>40092</v>
      </c>
      <c r="B912" s="2">
        <v>1705.25</v>
      </c>
      <c r="C912" s="2">
        <v>1712.59</v>
      </c>
      <c r="D912" s="2">
        <v>1684.08</v>
      </c>
      <c r="E912" s="2">
        <v>2891567277147</v>
      </c>
      <c r="F912" s="2">
        <v>0</v>
      </c>
      <c r="G912">
        <v>1022.71</v>
      </c>
      <c r="H912">
        <v>1025.82</v>
      </c>
      <c r="I912">
        <v>1008.42</v>
      </c>
      <c r="J912">
        <v>3885505766</v>
      </c>
      <c r="K912">
        <v>0</v>
      </c>
      <c r="L912" s="2">
        <f>VLOOKUP(A912,[1]aaabonddata!$A:$B,2,0)</f>
        <v>3.47</v>
      </c>
    </row>
    <row r="913" spans="1:12" x14ac:dyDescent="0.2">
      <c r="A913" s="3">
        <v>40093</v>
      </c>
      <c r="B913" s="2">
        <v>1710.45</v>
      </c>
      <c r="C913" s="2">
        <v>1710.45</v>
      </c>
      <c r="D913" s="2">
        <v>1698.63</v>
      </c>
      <c r="E913" s="2">
        <v>2900383491088</v>
      </c>
      <c r="F913" s="2">
        <v>0</v>
      </c>
      <c r="G913">
        <v>1022.13</v>
      </c>
      <c r="H913">
        <v>1023.28</v>
      </c>
      <c r="I913">
        <v>1015.24</v>
      </c>
      <c r="J913">
        <v>3883325768</v>
      </c>
      <c r="K913">
        <v>0</v>
      </c>
      <c r="L913" s="2">
        <f>VLOOKUP(A913,[1]aaabonddata!$A:$B,2,0)</f>
        <v>3.41</v>
      </c>
    </row>
    <row r="914" spans="1:12" x14ac:dyDescent="0.2">
      <c r="A914" s="3">
        <v>40094</v>
      </c>
      <c r="B914" s="2">
        <v>1717.79</v>
      </c>
      <c r="C914" s="2">
        <v>1732.11</v>
      </c>
      <c r="D914" s="2">
        <v>1713.6</v>
      </c>
      <c r="E914" s="2">
        <v>2912832599357</v>
      </c>
      <c r="F914" s="2">
        <v>0</v>
      </c>
      <c r="G914">
        <v>1027.27</v>
      </c>
      <c r="H914">
        <v>1032.5</v>
      </c>
      <c r="I914">
        <v>1017.71</v>
      </c>
      <c r="J914">
        <v>3902827410</v>
      </c>
      <c r="K914">
        <v>0</v>
      </c>
      <c r="L914" s="2">
        <f>VLOOKUP(A914,[1]aaabonddata!$A:$B,2,0)</f>
        <v>3.47</v>
      </c>
    </row>
    <row r="915" spans="1:12" x14ac:dyDescent="0.2">
      <c r="A915" s="3">
        <v>40095</v>
      </c>
      <c r="B915" s="2">
        <v>1727.76</v>
      </c>
      <c r="C915" s="2">
        <v>1729.22</v>
      </c>
      <c r="D915" s="2">
        <v>1710.58</v>
      </c>
      <c r="E915" s="2">
        <v>2929740859296</v>
      </c>
      <c r="F915" s="2">
        <v>196397808</v>
      </c>
      <c r="G915">
        <v>1043.21</v>
      </c>
      <c r="H915">
        <v>1044.05</v>
      </c>
      <c r="I915">
        <v>1022.85</v>
      </c>
      <c r="J915">
        <v>3963400400</v>
      </c>
      <c r="K915">
        <v>231267</v>
      </c>
      <c r="L915" s="2">
        <f>VLOOKUP(A915,[1]aaabonddata!$A:$B,2,0)</f>
        <v>3.6</v>
      </c>
    </row>
    <row r="916" spans="1:12" x14ac:dyDescent="0.2">
      <c r="A916" s="3">
        <v>40098</v>
      </c>
      <c r="B916" s="2">
        <v>1729.63</v>
      </c>
      <c r="C916" s="2">
        <v>1742.18</v>
      </c>
      <c r="D916" s="2">
        <v>1719.02</v>
      </c>
      <c r="E916" s="2">
        <v>2932907700788</v>
      </c>
      <c r="F916" s="2">
        <v>0</v>
      </c>
      <c r="G916">
        <v>1048.8</v>
      </c>
      <c r="H916">
        <v>1057.0899999999999</v>
      </c>
      <c r="I916">
        <v>1041.9100000000001</v>
      </c>
      <c r="J916">
        <v>3984644243</v>
      </c>
      <c r="K916">
        <v>0</v>
      </c>
      <c r="L916" s="2">
        <f>VLOOKUP(A916,[1]aaabonddata!$A:$B,2,0)</f>
        <v>3.6</v>
      </c>
    </row>
    <row r="917" spans="1:12" x14ac:dyDescent="0.2">
      <c r="A917" s="3">
        <v>40099</v>
      </c>
      <c r="B917" s="2">
        <v>1730.27</v>
      </c>
      <c r="C917" s="2">
        <v>1737.39</v>
      </c>
      <c r="D917" s="2">
        <v>1722.68</v>
      </c>
      <c r="E917" s="2">
        <v>2933994549899</v>
      </c>
      <c r="F917" s="2">
        <v>40237750</v>
      </c>
      <c r="G917">
        <v>1051.7</v>
      </c>
      <c r="H917">
        <v>1057.3</v>
      </c>
      <c r="I917">
        <v>1046.0999999999999</v>
      </c>
      <c r="J917">
        <v>3995669138</v>
      </c>
      <c r="K917">
        <v>408792</v>
      </c>
      <c r="L917" s="2">
        <f>VLOOKUP(A917,[1]aaabonddata!$A:$B,2,0)</f>
        <v>3.51</v>
      </c>
    </row>
    <row r="918" spans="1:12" x14ac:dyDescent="0.2">
      <c r="A918" s="3">
        <v>40100</v>
      </c>
      <c r="B918" s="2">
        <v>1754.26</v>
      </c>
      <c r="C918" s="2">
        <v>1756.25</v>
      </c>
      <c r="D918" s="2">
        <v>1742.25</v>
      </c>
      <c r="E918" s="2">
        <v>2974671738309</v>
      </c>
      <c r="F918" s="2">
        <v>0</v>
      </c>
      <c r="G918">
        <v>1064.69</v>
      </c>
      <c r="H918">
        <v>1069.97</v>
      </c>
      <c r="I918">
        <v>1058.98</v>
      </c>
      <c r="J918">
        <v>4045014524</v>
      </c>
      <c r="K918">
        <v>0</v>
      </c>
      <c r="L918" s="2">
        <f>VLOOKUP(A918,[1]aaabonddata!$A:$B,2,0)</f>
        <v>3.62</v>
      </c>
    </row>
    <row r="919" spans="1:12" x14ac:dyDescent="0.2">
      <c r="A919" s="3">
        <v>40101</v>
      </c>
      <c r="B919" s="2">
        <v>1753.36</v>
      </c>
      <c r="C919" s="2">
        <v>1753.36</v>
      </c>
      <c r="D919" s="2">
        <v>1742.89</v>
      </c>
      <c r="E919" s="2">
        <v>2973141970831</v>
      </c>
      <c r="F919" s="2">
        <v>0</v>
      </c>
      <c r="G919">
        <v>1059.06</v>
      </c>
      <c r="H919">
        <v>1060.24</v>
      </c>
      <c r="I919">
        <v>1052</v>
      </c>
      <c r="J919">
        <v>4023632631</v>
      </c>
      <c r="K919">
        <v>0</v>
      </c>
      <c r="L919" s="2">
        <f>VLOOKUP(A919,[1]aaabonddata!$A:$B,2,0)</f>
        <v>3.66</v>
      </c>
    </row>
    <row r="920" spans="1:12" x14ac:dyDescent="0.2">
      <c r="A920" s="3">
        <v>40102</v>
      </c>
      <c r="B920" s="2">
        <v>1739.32</v>
      </c>
      <c r="C920" s="2">
        <v>1747.47</v>
      </c>
      <c r="D920" s="2">
        <v>1727.56</v>
      </c>
      <c r="E920" s="2">
        <v>2949334075378</v>
      </c>
      <c r="F920" s="2">
        <v>0</v>
      </c>
      <c r="G920">
        <v>1048.04</v>
      </c>
      <c r="H920">
        <v>1054.3599999999999</v>
      </c>
      <c r="I920">
        <v>1037.2</v>
      </c>
      <c r="J920">
        <v>3981740410</v>
      </c>
      <c r="K920">
        <v>0</v>
      </c>
      <c r="L920" s="2">
        <f>VLOOKUP(A920,[1]aaabonddata!$A:$B,2,0)</f>
        <v>3.63</v>
      </c>
    </row>
    <row r="921" spans="1:12" x14ac:dyDescent="0.2">
      <c r="A921" s="3">
        <v>40105</v>
      </c>
      <c r="B921" s="2">
        <v>1756.68</v>
      </c>
      <c r="C921" s="2">
        <v>1758.5</v>
      </c>
      <c r="D921" s="2">
        <v>1732.02</v>
      </c>
      <c r="E921" s="2">
        <v>2978780308321</v>
      </c>
      <c r="F921" s="2">
        <v>0</v>
      </c>
      <c r="G921">
        <v>1062.5</v>
      </c>
      <c r="H921">
        <v>1063.83</v>
      </c>
      <c r="I921">
        <v>1044.5</v>
      </c>
      <c r="J921">
        <v>4036673579</v>
      </c>
      <c r="K921">
        <v>0</v>
      </c>
      <c r="L921" s="2">
        <f>VLOOKUP(A921,[1]aaabonddata!$A:$B,2,0)</f>
        <v>3.61</v>
      </c>
    </row>
    <row r="922" spans="1:12" x14ac:dyDescent="0.2">
      <c r="A922" s="3">
        <v>40106</v>
      </c>
      <c r="B922" s="2">
        <v>1756.19</v>
      </c>
      <c r="C922" s="2">
        <v>1766.72</v>
      </c>
      <c r="D922" s="2">
        <v>1745.81</v>
      </c>
      <c r="E922" s="2">
        <v>2977944417143</v>
      </c>
      <c r="F922" s="2">
        <v>0</v>
      </c>
      <c r="G922">
        <v>1057.57</v>
      </c>
      <c r="H922">
        <v>1065.6300000000001</v>
      </c>
      <c r="I922">
        <v>1049.6500000000001</v>
      </c>
      <c r="J922">
        <v>4017966300</v>
      </c>
      <c r="K922">
        <v>0</v>
      </c>
      <c r="L922" s="2">
        <f>VLOOKUP(A922,[1]aaabonddata!$A:$B,2,0)</f>
        <v>3.53</v>
      </c>
    </row>
    <row r="923" spans="1:12" x14ac:dyDescent="0.2">
      <c r="A923" s="3">
        <v>40107</v>
      </c>
      <c r="B923" s="2">
        <v>1753.56</v>
      </c>
      <c r="C923" s="2">
        <v>1780.83</v>
      </c>
      <c r="D923" s="2">
        <v>1750.91</v>
      </c>
      <c r="E923" s="2">
        <v>2973482672782</v>
      </c>
      <c r="F923" s="2">
        <v>77447651</v>
      </c>
      <c r="G923">
        <v>1050.3800000000001</v>
      </c>
      <c r="H923">
        <v>1071.0899999999999</v>
      </c>
      <c r="I923">
        <v>1048.6300000000001</v>
      </c>
      <c r="J923">
        <v>3990635364</v>
      </c>
      <c r="K923">
        <v>0</v>
      </c>
      <c r="L923" s="2">
        <f>VLOOKUP(A923,[1]aaabonddata!$A:$B,2,0)</f>
        <v>3.61</v>
      </c>
    </row>
    <row r="924" spans="1:12" x14ac:dyDescent="0.2">
      <c r="A924" s="3">
        <v>40108</v>
      </c>
      <c r="B924" s="2">
        <v>1763.15</v>
      </c>
      <c r="C924" s="2">
        <v>1767.58</v>
      </c>
      <c r="D924" s="2">
        <v>1739.59</v>
      </c>
      <c r="E924" s="2">
        <v>2989747474960</v>
      </c>
      <c r="F924" s="2">
        <v>0</v>
      </c>
      <c r="G924">
        <v>1063.44</v>
      </c>
      <c r="H924">
        <v>1065.43</v>
      </c>
      <c r="I924">
        <v>1040.45</v>
      </c>
      <c r="J924">
        <v>4040272589</v>
      </c>
      <c r="K924">
        <v>0</v>
      </c>
      <c r="L924" s="2">
        <f>VLOOKUP(A924,[1]aaabonddata!$A:$B,2,0)</f>
        <v>3.6</v>
      </c>
    </row>
    <row r="925" spans="1:12" x14ac:dyDescent="0.2">
      <c r="A925" s="3">
        <v>40109</v>
      </c>
      <c r="B925" s="2">
        <v>1753.63</v>
      </c>
      <c r="C925" s="2">
        <v>1777.57</v>
      </c>
      <c r="D925" s="2">
        <v>1749.03</v>
      </c>
      <c r="E925" s="2">
        <v>2973599046870</v>
      </c>
      <c r="F925" s="2">
        <v>0</v>
      </c>
      <c r="G925">
        <v>1048.45</v>
      </c>
      <c r="H925">
        <v>1067.48</v>
      </c>
      <c r="I925">
        <v>1044.72</v>
      </c>
      <c r="J925">
        <v>3983319055</v>
      </c>
      <c r="K925">
        <v>0</v>
      </c>
      <c r="L925" s="2">
        <f>VLOOKUP(A925,[1]aaabonddata!$A:$B,2,0)</f>
        <v>3.66</v>
      </c>
    </row>
    <row r="926" spans="1:12" x14ac:dyDescent="0.2">
      <c r="A926" s="3">
        <v>40112</v>
      </c>
      <c r="B926" s="2">
        <v>1746.75</v>
      </c>
      <c r="C926" s="2">
        <v>1778.48</v>
      </c>
      <c r="D926" s="2">
        <v>1739.96</v>
      </c>
      <c r="E926" s="2">
        <v>2961941523765</v>
      </c>
      <c r="F926" s="2">
        <v>0</v>
      </c>
      <c r="G926">
        <v>1043.42</v>
      </c>
      <c r="H926">
        <v>1066.0999999999999</v>
      </c>
      <c r="I926">
        <v>1038.8699999999999</v>
      </c>
      <c r="J926">
        <v>3964192221</v>
      </c>
      <c r="K926">
        <v>0</v>
      </c>
      <c r="L926" s="2">
        <f>VLOOKUP(A926,[1]aaabonddata!$A:$B,2,0)</f>
        <v>3.7</v>
      </c>
    </row>
    <row r="927" spans="1:12" x14ac:dyDescent="0.2">
      <c r="A927" s="3">
        <v>40113</v>
      </c>
      <c r="B927" s="2">
        <v>1722.46</v>
      </c>
      <c r="C927" s="2">
        <v>1751.65</v>
      </c>
      <c r="D927" s="2">
        <v>1715.11</v>
      </c>
      <c r="E927" s="2">
        <v>2920748273529</v>
      </c>
      <c r="F927" s="2">
        <v>0</v>
      </c>
      <c r="G927">
        <v>1024.55</v>
      </c>
      <c r="H927">
        <v>1046.8800000000001</v>
      </c>
      <c r="I927">
        <v>1019.87</v>
      </c>
      <c r="J927">
        <v>3892508011</v>
      </c>
      <c r="K927">
        <v>0</v>
      </c>
      <c r="L927" s="2">
        <f>VLOOKUP(A927,[1]aaabonddata!$A:$B,2,0)</f>
        <v>3.6</v>
      </c>
    </row>
    <row r="928" spans="1:12" x14ac:dyDescent="0.2">
      <c r="A928" s="3">
        <v>40114</v>
      </c>
      <c r="B928" s="2">
        <v>1682.06</v>
      </c>
      <c r="C928" s="2">
        <v>1719.82</v>
      </c>
      <c r="D928" s="2">
        <v>1679.35</v>
      </c>
      <c r="E928" s="2">
        <v>2852251303727</v>
      </c>
      <c r="F928" s="2">
        <v>0</v>
      </c>
      <c r="G928">
        <v>996.82</v>
      </c>
      <c r="H928">
        <v>1025.94</v>
      </c>
      <c r="I928">
        <v>995.35</v>
      </c>
      <c r="J928">
        <v>3787165098</v>
      </c>
      <c r="K928">
        <v>0</v>
      </c>
      <c r="L928" s="2">
        <f>VLOOKUP(A928,[1]aaabonddata!$A:$B,2,0)</f>
        <v>3.55</v>
      </c>
    </row>
    <row r="929" spans="1:12" x14ac:dyDescent="0.2">
      <c r="A929" s="3">
        <v>40115</v>
      </c>
      <c r="B929" s="2">
        <v>1711.27</v>
      </c>
      <c r="C929" s="2">
        <v>1714.36</v>
      </c>
      <c r="D929" s="2">
        <v>1688.68</v>
      </c>
      <c r="E929" s="2">
        <v>2899329122897</v>
      </c>
      <c r="F929" s="2">
        <v>199477784</v>
      </c>
      <c r="G929">
        <v>1022.95</v>
      </c>
      <c r="H929">
        <v>1024.82</v>
      </c>
      <c r="I929">
        <v>1009.21</v>
      </c>
      <c r="J929">
        <v>3793312954</v>
      </c>
      <c r="K929">
        <v>0</v>
      </c>
      <c r="L929" s="2">
        <f>VLOOKUP(A929,[1]aaabonddata!$A:$B,2,0)</f>
        <v>3.63</v>
      </c>
    </row>
    <row r="930" spans="1:12" x14ac:dyDescent="0.2">
      <c r="A930" s="3">
        <v>40116</v>
      </c>
      <c r="B930" s="2">
        <v>1667.13</v>
      </c>
      <c r="C930" s="2">
        <v>1712.93</v>
      </c>
      <c r="D930" s="2">
        <v>1663.94</v>
      </c>
      <c r="E930" s="2">
        <v>2824539966611</v>
      </c>
      <c r="F930" s="2">
        <v>0</v>
      </c>
      <c r="G930">
        <v>993.73</v>
      </c>
      <c r="H930">
        <v>1020.77</v>
      </c>
      <c r="I930">
        <v>991.2</v>
      </c>
      <c r="J930">
        <v>3684951580</v>
      </c>
      <c r="K930">
        <v>0</v>
      </c>
      <c r="L930" s="2">
        <f>VLOOKUP(A930,[1]aaabonddata!$A:$B,2,0)</f>
        <v>3.55</v>
      </c>
    </row>
    <row r="931" spans="1:12" x14ac:dyDescent="0.2">
      <c r="A931" s="3">
        <v>40119</v>
      </c>
      <c r="B931" s="2">
        <v>1672.91</v>
      </c>
      <c r="C931" s="2">
        <v>1689.3</v>
      </c>
      <c r="D931" s="2">
        <v>1652.44</v>
      </c>
      <c r="E931" s="2">
        <v>2834332391835</v>
      </c>
      <c r="F931" s="2">
        <v>110048104</v>
      </c>
      <c r="G931">
        <v>997.66</v>
      </c>
      <c r="H931">
        <v>1006.72</v>
      </c>
      <c r="I931">
        <v>984.62</v>
      </c>
      <c r="J931">
        <v>3699544515</v>
      </c>
      <c r="K931">
        <v>701446</v>
      </c>
      <c r="L931" s="2">
        <f>VLOOKUP(A931,[1]aaabonddata!$A:$B,2,0)</f>
        <v>3.61</v>
      </c>
    </row>
    <row r="932" spans="1:12" x14ac:dyDescent="0.2">
      <c r="A932" s="3">
        <v>40120</v>
      </c>
      <c r="B932" s="2">
        <v>1679.2</v>
      </c>
      <c r="C932" s="2">
        <v>1679.42</v>
      </c>
      <c r="D932" s="2">
        <v>1660.1</v>
      </c>
      <c r="E932" s="2">
        <v>2844994513214</v>
      </c>
      <c r="F932" s="2">
        <v>0</v>
      </c>
      <c r="G932">
        <v>999.16</v>
      </c>
      <c r="H932">
        <v>999.18</v>
      </c>
      <c r="I932">
        <v>986.72</v>
      </c>
      <c r="J932">
        <v>3705104616</v>
      </c>
      <c r="K932">
        <v>0</v>
      </c>
      <c r="L932" s="2">
        <f>VLOOKUP(A932,[1]aaabonddata!$A:$B,2,0)</f>
        <v>3.63</v>
      </c>
    </row>
    <row r="933" spans="1:12" x14ac:dyDescent="0.2">
      <c r="A933" s="3">
        <v>40121</v>
      </c>
      <c r="B933" s="2">
        <v>1680.67</v>
      </c>
      <c r="C933" s="2">
        <v>1701.47</v>
      </c>
      <c r="D933" s="2">
        <v>1678.17</v>
      </c>
      <c r="E933" s="2">
        <v>2847494935549</v>
      </c>
      <c r="F933" s="2">
        <v>515500475</v>
      </c>
      <c r="G933">
        <v>1003.21</v>
      </c>
      <c r="H933">
        <v>1016.28</v>
      </c>
      <c r="I933">
        <v>1001.98</v>
      </c>
      <c r="J933">
        <v>3720111873</v>
      </c>
      <c r="K933">
        <v>716112</v>
      </c>
      <c r="L933" s="2">
        <f>VLOOKUP(A933,[1]aaabonddata!$A:$B,2,0)</f>
        <v>3.66</v>
      </c>
    </row>
    <row r="934" spans="1:12" x14ac:dyDescent="0.2">
      <c r="A934" s="3">
        <v>40122</v>
      </c>
      <c r="B934" s="2">
        <v>1721.09</v>
      </c>
      <c r="C934" s="2">
        <v>1722.93</v>
      </c>
      <c r="D934" s="2">
        <v>1697.94</v>
      </c>
      <c r="E934" s="2">
        <v>2915961029067</v>
      </c>
      <c r="F934" s="2">
        <v>0</v>
      </c>
      <c r="G934">
        <v>1026.8699999999999</v>
      </c>
      <c r="H934">
        <v>1031.19</v>
      </c>
      <c r="I934">
        <v>1013.5</v>
      </c>
      <c r="J934">
        <v>3807849248</v>
      </c>
      <c r="K934">
        <v>0</v>
      </c>
      <c r="L934" s="2">
        <f>VLOOKUP(A934,[1]aaabonddata!$A:$B,2,0)</f>
        <v>3.63</v>
      </c>
    </row>
    <row r="935" spans="1:12" x14ac:dyDescent="0.2">
      <c r="A935" s="3">
        <v>40123</v>
      </c>
      <c r="B935" s="2">
        <v>1730.76</v>
      </c>
      <c r="C935" s="2">
        <v>1733.22</v>
      </c>
      <c r="D935" s="2">
        <v>1709.44</v>
      </c>
      <c r="E935" s="2">
        <v>2932359326064</v>
      </c>
      <c r="F935" s="2">
        <v>213650518</v>
      </c>
      <c r="G935">
        <v>1029.76</v>
      </c>
      <c r="H935">
        <v>1032.2</v>
      </c>
      <c r="I935">
        <v>1016.93</v>
      </c>
      <c r="J935">
        <v>3818575685</v>
      </c>
      <c r="K935">
        <v>244140</v>
      </c>
      <c r="L935" s="2">
        <f>VLOOKUP(A935,[1]aaabonddata!$A:$B,2,0)</f>
        <v>3.61</v>
      </c>
    </row>
    <row r="936" spans="1:12" x14ac:dyDescent="0.2">
      <c r="A936" s="3">
        <v>40126</v>
      </c>
      <c r="B936" s="2">
        <v>1768.4</v>
      </c>
      <c r="C936" s="2">
        <v>1768.41</v>
      </c>
      <c r="D936" s="2">
        <v>1742.97</v>
      </c>
      <c r="E936" s="2">
        <v>2996117486250</v>
      </c>
      <c r="F936" s="2">
        <v>77696394</v>
      </c>
      <c r="G936">
        <v>1056.57</v>
      </c>
      <c r="H936">
        <v>1057.28</v>
      </c>
      <c r="I936">
        <v>1037.56</v>
      </c>
      <c r="J936">
        <v>3918004393</v>
      </c>
      <c r="K936">
        <v>460475</v>
      </c>
      <c r="L936" s="2">
        <f>VLOOKUP(A936,[1]aaabonddata!$A:$B,2,0)</f>
        <v>3.6</v>
      </c>
    </row>
    <row r="937" spans="1:12" x14ac:dyDescent="0.2">
      <c r="A937" s="3">
        <v>40127</v>
      </c>
      <c r="B937" s="2">
        <v>1773.17</v>
      </c>
      <c r="C937" s="2">
        <v>1777.86</v>
      </c>
      <c r="D937" s="2">
        <v>1763.89</v>
      </c>
      <c r="E937" s="2">
        <v>3004212511265</v>
      </c>
      <c r="F937" s="2">
        <v>122778581</v>
      </c>
      <c r="G937">
        <v>1055.08</v>
      </c>
      <c r="H937">
        <v>1061.93</v>
      </c>
      <c r="I937">
        <v>1049.67</v>
      </c>
      <c r="J937">
        <v>3912458948</v>
      </c>
      <c r="K937">
        <v>824278</v>
      </c>
      <c r="L937" s="2">
        <f>VLOOKUP(A937,[1]aaabonddata!$A:$B,2,0)</f>
        <v>3.59</v>
      </c>
    </row>
    <row r="938" spans="1:12" x14ac:dyDescent="0.2">
      <c r="A938" s="3">
        <v>40128</v>
      </c>
      <c r="B938" s="2">
        <v>1782.95</v>
      </c>
      <c r="C938" s="2">
        <v>1793.52</v>
      </c>
      <c r="D938" s="2">
        <v>1772.47</v>
      </c>
      <c r="E938" s="2">
        <v>3020777133393</v>
      </c>
      <c r="F938" s="2">
        <v>0</v>
      </c>
      <c r="G938">
        <v>1062.9000000000001</v>
      </c>
      <c r="H938">
        <v>1071.97</v>
      </c>
      <c r="I938">
        <v>1055.8499999999999</v>
      </c>
      <c r="J938">
        <v>3941483312</v>
      </c>
      <c r="K938">
        <v>0</v>
      </c>
      <c r="L938" s="2">
        <f>VLOOKUP(A938,[1]aaabonddata!$A:$B,2,0)</f>
        <v>3.59</v>
      </c>
    </row>
    <row r="939" spans="1:12" x14ac:dyDescent="0.2">
      <c r="A939" s="3">
        <v>40129</v>
      </c>
      <c r="B939" s="2">
        <v>1773.14</v>
      </c>
      <c r="C939" s="2">
        <v>1794.12</v>
      </c>
      <c r="D939" s="2">
        <v>1769.64</v>
      </c>
      <c r="E939" s="2">
        <v>3004146484816</v>
      </c>
      <c r="F939" s="2">
        <v>84466732</v>
      </c>
      <c r="G939">
        <v>1053.68</v>
      </c>
      <c r="H939">
        <v>1070.8</v>
      </c>
      <c r="I939">
        <v>1051.8399999999999</v>
      </c>
      <c r="J939">
        <v>3907273090</v>
      </c>
      <c r="K939">
        <v>422059</v>
      </c>
      <c r="L939" s="2">
        <f>VLOOKUP(A939,[1]aaabonddata!$A:$B,2,0)</f>
        <v>3.56</v>
      </c>
    </row>
    <row r="940" spans="1:12" x14ac:dyDescent="0.2">
      <c r="A940" s="3">
        <v>40130</v>
      </c>
      <c r="B940" s="2">
        <v>1788.61</v>
      </c>
      <c r="C940" s="2">
        <v>1793.17</v>
      </c>
      <c r="D940" s="2">
        <v>1773.29</v>
      </c>
      <c r="E940" s="2">
        <v>3030363396510</v>
      </c>
      <c r="F940" s="2">
        <v>37800556</v>
      </c>
      <c r="G940">
        <v>1065.06</v>
      </c>
      <c r="H940">
        <v>1067.72</v>
      </c>
      <c r="I940">
        <v>1053.8599999999999</v>
      </c>
      <c r="J940">
        <v>3949477771</v>
      </c>
      <c r="K940">
        <v>177698</v>
      </c>
      <c r="L940" s="2">
        <f>VLOOKUP(A940,[1]aaabonddata!$A:$B,2,0)</f>
        <v>3.55</v>
      </c>
    </row>
    <row r="941" spans="1:12" x14ac:dyDescent="0.2">
      <c r="A941" s="3">
        <v>40133</v>
      </c>
      <c r="B941" s="2">
        <v>1807.56</v>
      </c>
      <c r="C941" s="2">
        <v>1814.25</v>
      </c>
      <c r="D941" s="2">
        <v>1793.63</v>
      </c>
      <c r="E941" s="2">
        <v>3062463031098</v>
      </c>
      <c r="F941" s="2">
        <v>97137470</v>
      </c>
      <c r="G941">
        <v>1080.1199999999999</v>
      </c>
      <c r="H941">
        <v>1084.1400000000001</v>
      </c>
      <c r="I941">
        <v>1068.95</v>
      </c>
      <c r="J941">
        <v>4005330879</v>
      </c>
      <c r="K941">
        <v>1254149</v>
      </c>
      <c r="L941" s="2">
        <f>VLOOKUP(A941,[1]aaabonddata!$A:$B,2,0)</f>
        <v>3.46</v>
      </c>
    </row>
    <row r="942" spans="1:12" x14ac:dyDescent="0.2">
      <c r="A942" s="3">
        <v>40134</v>
      </c>
      <c r="B942" s="2">
        <v>1812.21</v>
      </c>
      <c r="C942" s="2">
        <v>1812.21</v>
      </c>
      <c r="D942" s="2">
        <v>1797.74</v>
      </c>
      <c r="E942" s="2">
        <v>3069330722526</v>
      </c>
      <c r="F942" s="2">
        <v>817716463</v>
      </c>
      <c r="G942">
        <v>1083.0899999999999</v>
      </c>
      <c r="H942">
        <v>1083.0899999999999</v>
      </c>
      <c r="I942">
        <v>1072.1500000000001</v>
      </c>
      <c r="J942">
        <v>4016324358</v>
      </c>
      <c r="K942">
        <v>514647</v>
      </c>
      <c r="L942" s="2">
        <f>VLOOKUP(A942,[1]aaabonddata!$A:$B,2,0)</f>
        <v>3.44</v>
      </c>
    </row>
    <row r="943" spans="1:12" x14ac:dyDescent="0.2">
      <c r="A943" s="3">
        <v>40135</v>
      </c>
      <c r="B943" s="2">
        <v>1801.74</v>
      </c>
      <c r="C943" s="2">
        <v>1807.53</v>
      </c>
      <c r="D943" s="2">
        <v>1789.66</v>
      </c>
      <c r="E943" s="2">
        <v>3050794916197</v>
      </c>
      <c r="F943" s="2">
        <v>113161007</v>
      </c>
      <c r="G943">
        <v>1069.5899999999999</v>
      </c>
      <c r="H943">
        <v>1077.05</v>
      </c>
      <c r="I943">
        <v>1062.8900000000001</v>
      </c>
      <c r="J943">
        <v>3966263669</v>
      </c>
      <c r="K943">
        <v>1086956</v>
      </c>
      <c r="L943" s="2">
        <f>VLOOKUP(A943,[1]aaabonddata!$A:$B,2,0)</f>
        <v>3.47</v>
      </c>
    </row>
    <row r="944" spans="1:12" x14ac:dyDescent="0.2">
      <c r="A944" s="3">
        <v>40136</v>
      </c>
      <c r="B944" s="2">
        <v>1773.19</v>
      </c>
      <c r="C944" s="2">
        <v>1789</v>
      </c>
      <c r="D944" s="2">
        <v>1761.11</v>
      </c>
      <c r="E944" s="2">
        <v>3002461500259</v>
      </c>
      <c r="F944" s="2">
        <v>0</v>
      </c>
      <c r="G944">
        <v>1048.6099999999999</v>
      </c>
      <c r="H944">
        <v>1059</v>
      </c>
      <c r="I944">
        <v>1040.1199999999999</v>
      </c>
      <c r="J944">
        <v>3888484711</v>
      </c>
      <c r="K944">
        <v>0</v>
      </c>
      <c r="L944" s="2">
        <f>VLOOKUP(A944,[1]aaabonddata!$A:$B,2,0)</f>
        <v>3.39</v>
      </c>
    </row>
    <row r="945" spans="1:12" x14ac:dyDescent="0.2">
      <c r="A945" s="3">
        <v>40137</v>
      </c>
      <c r="B945" s="2">
        <v>1764.39</v>
      </c>
      <c r="C945" s="2">
        <v>1768.35</v>
      </c>
      <c r="D945" s="2">
        <v>1758</v>
      </c>
      <c r="E945" s="2">
        <v>2987552087408</v>
      </c>
      <c r="F945" s="2">
        <v>0</v>
      </c>
      <c r="G945">
        <v>1037.53</v>
      </c>
      <c r="H945">
        <v>1041.8</v>
      </c>
      <c r="I945">
        <v>1033.4000000000001</v>
      </c>
      <c r="J945">
        <v>3847398954</v>
      </c>
      <c r="K945">
        <v>0</v>
      </c>
      <c r="L945" s="2">
        <f>VLOOKUP(A945,[1]aaabonddata!$A:$B,2,0)</f>
        <v>3.41</v>
      </c>
    </row>
    <row r="946" spans="1:12" x14ac:dyDescent="0.2">
      <c r="A946" s="3">
        <v>40140</v>
      </c>
      <c r="B946" s="2">
        <v>1792.94</v>
      </c>
      <c r="C946" s="2">
        <v>1801.22</v>
      </c>
      <c r="D946" s="2">
        <v>1782.91</v>
      </c>
      <c r="E946" s="2">
        <v>3035908134591</v>
      </c>
      <c r="F946" s="2">
        <v>640210640</v>
      </c>
      <c r="G946">
        <v>1055.5899999999999</v>
      </c>
      <c r="H946">
        <v>1061.94</v>
      </c>
      <c r="I946">
        <v>1049.21</v>
      </c>
      <c r="J946">
        <v>3914367955</v>
      </c>
      <c r="K946">
        <v>382366</v>
      </c>
      <c r="L946" s="2">
        <f>VLOOKUP(A946,[1]aaabonddata!$A:$B,2,0)</f>
        <v>3.42</v>
      </c>
    </row>
    <row r="947" spans="1:12" x14ac:dyDescent="0.2">
      <c r="A947" s="3">
        <v>40141</v>
      </c>
      <c r="B947" s="2">
        <v>1786.25</v>
      </c>
      <c r="C947" s="2">
        <v>1792.18</v>
      </c>
      <c r="D947" s="2">
        <v>1776.1</v>
      </c>
      <c r="E947" s="2">
        <v>3024567491774</v>
      </c>
      <c r="F947" s="2">
        <v>0</v>
      </c>
      <c r="G947">
        <v>1051.55</v>
      </c>
      <c r="H947">
        <v>1056.1400000000001</v>
      </c>
      <c r="I947">
        <v>1045.03</v>
      </c>
      <c r="J947">
        <v>3899370392</v>
      </c>
      <c r="K947">
        <v>0</v>
      </c>
      <c r="L947" s="2">
        <f>VLOOKUP(A947,[1]aaabonddata!$A:$B,2,0)</f>
        <v>3.37</v>
      </c>
    </row>
    <row r="948" spans="1:12" x14ac:dyDescent="0.2">
      <c r="A948" s="3">
        <v>40142</v>
      </c>
      <c r="B948" s="2">
        <v>1793.67</v>
      </c>
      <c r="C948" s="2">
        <v>1795.27</v>
      </c>
      <c r="D948" s="2">
        <v>1786.87</v>
      </c>
      <c r="E948" s="2">
        <v>3037145830545</v>
      </c>
      <c r="F948" s="2">
        <v>0</v>
      </c>
      <c r="G948">
        <v>1056.94</v>
      </c>
      <c r="H948">
        <v>1057.78</v>
      </c>
      <c r="I948">
        <v>1052.26</v>
      </c>
      <c r="J948">
        <v>3919375259</v>
      </c>
      <c r="K948">
        <v>0</v>
      </c>
      <c r="L948" s="2">
        <f>VLOOKUP(A948,[1]aaabonddata!$A:$B,2,0)</f>
        <v>3.34</v>
      </c>
    </row>
    <row r="949" spans="1:12" x14ac:dyDescent="0.2">
      <c r="A949" s="3">
        <v>40144</v>
      </c>
      <c r="B949" s="2">
        <v>1765.46</v>
      </c>
      <c r="C949" s="2">
        <v>1779.26</v>
      </c>
      <c r="D949" s="2">
        <v>1742.2</v>
      </c>
      <c r="E949" s="2">
        <v>2989366644395</v>
      </c>
      <c r="F949" s="2">
        <v>368204553</v>
      </c>
      <c r="G949">
        <v>1038.75</v>
      </c>
      <c r="H949">
        <v>1045.81</v>
      </c>
      <c r="I949">
        <v>1025.3599999999999</v>
      </c>
      <c r="J949">
        <v>3851902969</v>
      </c>
      <c r="K949">
        <v>0</v>
      </c>
      <c r="L949" s="2">
        <f>VLOOKUP(A949,[1]aaabonddata!$A:$B,2,0)</f>
        <v>3.27</v>
      </c>
    </row>
    <row r="950" spans="1:12" x14ac:dyDescent="0.2">
      <c r="A950" s="3">
        <v>40147</v>
      </c>
      <c r="B950" s="2">
        <v>1767.43</v>
      </c>
      <c r="C950" s="2">
        <v>1770.87</v>
      </c>
      <c r="D950" s="2">
        <v>1750.88</v>
      </c>
      <c r="E950" s="2">
        <v>2992702278964</v>
      </c>
      <c r="F950" s="2">
        <v>0</v>
      </c>
      <c r="G950">
        <v>1037.6199999999999</v>
      </c>
      <c r="H950">
        <v>1040.1199999999999</v>
      </c>
      <c r="I950">
        <v>1026.0899999999999</v>
      </c>
      <c r="J950">
        <v>3847706862</v>
      </c>
      <c r="K950">
        <v>0</v>
      </c>
      <c r="L950" s="2">
        <f>VLOOKUP(A950,[1]aaabonddata!$A:$B,2,0)</f>
        <v>3.28</v>
      </c>
    </row>
    <row r="951" spans="1:12" x14ac:dyDescent="0.2">
      <c r="A951" s="3">
        <v>40148</v>
      </c>
      <c r="B951" s="2">
        <v>1787.71</v>
      </c>
      <c r="C951" s="2">
        <v>1798.48</v>
      </c>
      <c r="D951" s="2">
        <v>1782.85</v>
      </c>
      <c r="E951" s="2">
        <v>3027041474555</v>
      </c>
      <c r="F951" s="2">
        <v>0</v>
      </c>
      <c r="G951">
        <v>1057.75</v>
      </c>
      <c r="H951">
        <v>1061.6600000000001</v>
      </c>
      <c r="I951">
        <v>1048.43</v>
      </c>
      <c r="J951">
        <v>3922380810</v>
      </c>
      <c r="K951">
        <v>0</v>
      </c>
      <c r="L951" s="2">
        <f>VLOOKUP(A951,[1]aaabonddata!$A:$B,2,0)</f>
        <v>3.32</v>
      </c>
    </row>
    <row r="952" spans="1:12" x14ac:dyDescent="0.2">
      <c r="A952" s="3">
        <v>40149</v>
      </c>
      <c r="B952" s="2">
        <v>1790.82</v>
      </c>
      <c r="C952" s="2">
        <v>1805.97</v>
      </c>
      <c r="D952" s="2">
        <v>1786.23</v>
      </c>
      <c r="E952" s="2">
        <v>3032317777073</v>
      </c>
      <c r="F952" s="2">
        <v>111099049</v>
      </c>
      <c r="G952">
        <v>1064.8399999999999</v>
      </c>
      <c r="H952">
        <v>1071.08</v>
      </c>
      <c r="I952">
        <v>1058.76</v>
      </c>
      <c r="J952">
        <v>3948661226</v>
      </c>
      <c r="K952">
        <v>0</v>
      </c>
      <c r="L952" s="2">
        <f>VLOOKUP(A952,[1]aaabonddata!$A:$B,2,0)</f>
        <v>3.29</v>
      </c>
    </row>
    <row r="953" spans="1:12" x14ac:dyDescent="0.2">
      <c r="A953" s="3">
        <v>40150</v>
      </c>
      <c r="B953" s="2">
        <v>1782.91</v>
      </c>
      <c r="C953" s="2">
        <v>1806.35</v>
      </c>
      <c r="D953" s="2">
        <v>1781.76</v>
      </c>
      <c r="E953" s="2">
        <v>3018915121338</v>
      </c>
      <c r="F953" s="2">
        <v>0</v>
      </c>
      <c r="G953">
        <v>1061.1500000000001</v>
      </c>
      <c r="H953">
        <v>1073.6600000000001</v>
      </c>
      <c r="I953">
        <v>1060.46</v>
      </c>
      <c r="J953">
        <v>3934976487</v>
      </c>
      <c r="K953">
        <v>0</v>
      </c>
      <c r="L953" s="2">
        <f>VLOOKUP(A953,[1]aaabonddata!$A:$B,2,0)</f>
        <v>3.36</v>
      </c>
    </row>
    <row r="954" spans="1:12" x14ac:dyDescent="0.2">
      <c r="A954" s="3">
        <v>40151</v>
      </c>
      <c r="B954" s="2">
        <v>1791.91</v>
      </c>
      <c r="C954" s="2">
        <v>1815.6</v>
      </c>
      <c r="D954" s="2">
        <v>1773.31</v>
      </c>
      <c r="E954" s="2">
        <v>3034164353661</v>
      </c>
      <c r="F954" s="2">
        <v>26467261</v>
      </c>
      <c r="G954">
        <v>1077.07</v>
      </c>
      <c r="H954">
        <v>1086.27</v>
      </c>
      <c r="I954">
        <v>1062.2</v>
      </c>
      <c r="J954">
        <v>3993998213</v>
      </c>
      <c r="K954">
        <v>0</v>
      </c>
      <c r="L954" s="2">
        <f>VLOOKUP(A954,[1]aaabonddata!$A:$B,2,0)</f>
        <v>3.49</v>
      </c>
    </row>
    <row r="955" spans="1:12" x14ac:dyDescent="0.2">
      <c r="A955" s="3">
        <v>40154</v>
      </c>
      <c r="B955" s="2">
        <v>1783.65</v>
      </c>
      <c r="C955" s="2">
        <v>1797.63</v>
      </c>
      <c r="D955" s="2">
        <v>1779.47</v>
      </c>
      <c r="E955" s="2">
        <v>3020165110949</v>
      </c>
      <c r="F955" s="2">
        <v>0</v>
      </c>
      <c r="G955">
        <v>1078.05</v>
      </c>
      <c r="H955">
        <v>1087.54</v>
      </c>
      <c r="I955">
        <v>1074.3900000000001</v>
      </c>
      <c r="J955">
        <v>3997652870</v>
      </c>
      <c r="K955">
        <v>0</v>
      </c>
      <c r="L955" s="2">
        <f>VLOOKUP(A955,[1]aaabonddata!$A:$B,2,0)</f>
        <v>3.47</v>
      </c>
    </row>
    <row r="956" spans="1:12" x14ac:dyDescent="0.2">
      <c r="A956" s="3">
        <v>40155</v>
      </c>
      <c r="B956" s="2">
        <v>1772.73</v>
      </c>
      <c r="C956" s="2">
        <v>1786.04</v>
      </c>
      <c r="D956" s="2">
        <v>1760.86</v>
      </c>
      <c r="E956" s="2">
        <v>3001674947596</v>
      </c>
      <c r="F956" s="2">
        <v>0</v>
      </c>
      <c r="G956">
        <v>1072.22</v>
      </c>
      <c r="H956">
        <v>1079.0999999999999</v>
      </c>
      <c r="I956">
        <v>1060.95</v>
      </c>
      <c r="J956">
        <v>3976035756</v>
      </c>
      <c r="K956">
        <v>0</v>
      </c>
      <c r="L956" s="2">
        <f>VLOOKUP(A956,[1]aaabonddata!$A:$B,2,0)</f>
        <v>3.4</v>
      </c>
    </row>
    <row r="957" spans="1:12" x14ac:dyDescent="0.2">
      <c r="A957" s="3">
        <v>40156</v>
      </c>
      <c r="B957" s="2">
        <v>1789.7</v>
      </c>
      <c r="C957" s="2">
        <v>1791.13</v>
      </c>
      <c r="D957" s="2">
        <v>1759.34</v>
      </c>
      <c r="E957" s="2">
        <v>3030415877292</v>
      </c>
      <c r="F957" s="2">
        <v>226638827</v>
      </c>
      <c r="G957">
        <v>1080.25</v>
      </c>
      <c r="H957">
        <v>1081.42</v>
      </c>
      <c r="I957">
        <v>1063.72</v>
      </c>
      <c r="J957">
        <v>4005797720</v>
      </c>
      <c r="K957">
        <v>0</v>
      </c>
      <c r="L957" s="2">
        <f>VLOOKUP(A957,[1]aaabonddata!$A:$B,2,0)</f>
        <v>3.4</v>
      </c>
    </row>
    <row r="958" spans="1:12" x14ac:dyDescent="0.2">
      <c r="A958" s="3">
        <v>40157</v>
      </c>
      <c r="B958" s="2">
        <v>1799.37</v>
      </c>
      <c r="C958" s="2">
        <v>1808.23</v>
      </c>
      <c r="D958" s="2">
        <v>1797.03</v>
      </c>
      <c r="E958" s="2">
        <v>3046793660490</v>
      </c>
      <c r="F958" s="2">
        <v>0</v>
      </c>
      <c r="G958">
        <v>1081.8599999999999</v>
      </c>
      <c r="H958">
        <v>1089.76</v>
      </c>
      <c r="I958">
        <v>1081.02</v>
      </c>
      <c r="J958">
        <v>4011780521</v>
      </c>
      <c r="K958">
        <v>0</v>
      </c>
      <c r="L958" s="2">
        <f>VLOOKUP(A958,[1]aaabonddata!$A:$B,2,0)</f>
        <v>3.44</v>
      </c>
    </row>
    <row r="959" spans="1:12" x14ac:dyDescent="0.2">
      <c r="A959" s="3">
        <v>40158</v>
      </c>
      <c r="B959" s="2">
        <v>1792.06</v>
      </c>
      <c r="C959" s="2">
        <v>1810.31</v>
      </c>
      <c r="D959" s="2">
        <v>1784.82</v>
      </c>
      <c r="E959" s="2">
        <v>3034407532277</v>
      </c>
      <c r="F959" s="2">
        <v>32377835</v>
      </c>
      <c r="G959">
        <v>1075.7</v>
      </c>
      <c r="H959">
        <v>1088.44</v>
      </c>
      <c r="I959">
        <v>1070.95</v>
      </c>
      <c r="J959">
        <v>3988929606</v>
      </c>
      <c r="K959">
        <v>0</v>
      </c>
      <c r="L959" s="2">
        <f>VLOOKUP(A959,[1]aaabonddata!$A:$B,2,0)</f>
        <v>3.5</v>
      </c>
    </row>
    <row r="960" spans="1:12" x14ac:dyDescent="0.2">
      <c r="A960" s="3">
        <v>40161</v>
      </c>
      <c r="B960" s="2">
        <v>1809.09</v>
      </c>
      <c r="C960" s="2">
        <v>1810.75</v>
      </c>
      <c r="D960" s="2">
        <v>1794.3</v>
      </c>
      <c r="E960" s="2">
        <v>3063248038232</v>
      </c>
      <c r="F960" s="2">
        <v>0</v>
      </c>
      <c r="G960">
        <v>1089.3399999999999</v>
      </c>
      <c r="H960">
        <v>1090.06</v>
      </c>
      <c r="I960">
        <v>1078.5</v>
      </c>
      <c r="J960">
        <v>4039522825</v>
      </c>
      <c r="K960">
        <v>0</v>
      </c>
      <c r="L960" s="2">
        <f>VLOOKUP(A960,[1]aaabonddata!$A:$B,2,0)</f>
        <v>3.52</v>
      </c>
    </row>
    <row r="961" spans="1:12" x14ac:dyDescent="0.2">
      <c r="A961" s="3">
        <v>40162</v>
      </c>
      <c r="B961" s="2">
        <v>1798.21</v>
      </c>
      <c r="C961" s="2">
        <v>1813.38</v>
      </c>
      <c r="D961" s="2">
        <v>1793.6</v>
      </c>
      <c r="E961" s="2">
        <v>3044825993630</v>
      </c>
      <c r="F961" s="2">
        <v>0</v>
      </c>
      <c r="G961">
        <v>1085.73</v>
      </c>
      <c r="H961">
        <v>1095.06</v>
      </c>
      <c r="I961">
        <v>1083.1099999999999</v>
      </c>
      <c r="J961">
        <v>4026113627</v>
      </c>
      <c r="K961">
        <v>0</v>
      </c>
      <c r="L961" s="2">
        <f>VLOOKUP(A961,[1]aaabonddata!$A:$B,2,0)</f>
        <v>3.57</v>
      </c>
    </row>
    <row r="962" spans="1:12" x14ac:dyDescent="0.2">
      <c r="A962" s="3">
        <v>40163</v>
      </c>
      <c r="B962" s="2">
        <v>1800.82</v>
      </c>
      <c r="C962" s="2">
        <v>1814.49</v>
      </c>
      <c r="D962" s="2">
        <v>1798.52</v>
      </c>
      <c r="E962" s="2">
        <v>3049248276634</v>
      </c>
      <c r="F962" s="2">
        <v>0</v>
      </c>
      <c r="G962">
        <v>1102.3499999999999</v>
      </c>
      <c r="H962">
        <v>1107.71</v>
      </c>
      <c r="I962">
        <v>1091.77</v>
      </c>
      <c r="J962">
        <v>4087744324</v>
      </c>
      <c r="K962">
        <v>0</v>
      </c>
      <c r="L962" s="2">
        <f>VLOOKUP(A962,[1]aaabonddata!$A:$B,2,0)</f>
        <v>3.55</v>
      </c>
    </row>
    <row r="963" spans="1:12" x14ac:dyDescent="0.2">
      <c r="A963" s="3">
        <v>40164</v>
      </c>
      <c r="B963" s="2">
        <v>1778.27</v>
      </c>
      <c r="C963" s="2">
        <v>1794.79</v>
      </c>
      <c r="D963" s="2">
        <v>1777.08</v>
      </c>
      <c r="E963" s="2">
        <v>3011053804216</v>
      </c>
      <c r="F963" s="2">
        <v>0</v>
      </c>
      <c r="G963">
        <v>1088.06</v>
      </c>
      <c r="H963">
        <v>1100.6400000000001</v>
      </c>
      <c r="I963">
        <v>1087.51</v>
      </c>
      <c r="J963">
        <v>4034773010</v>
      </c>
      <c r="K963">
        <v>0</v>
      </c>
      <c r="L963" s="2">
        <f>VLOOKUP(A963,[1]aaabonddata!$A:$B,2,0)</f>
        <v>3.41</v>
      </c>
    </row>
    <row r="964" spans="1:12" x14ac:dyDescent="0.2">
      <c r="A964" s="3">
        <v>40165</v>
      </c>
      <c r="B964" s="2">
        <v>1807.36</v>
      </c>
      <c r="C964" s="2">
        <v>1808.26</v>
      </c>
      <c r="D964" s="2">
        <v>1790.14</v>
      </c>
      <c r="E964" s="2">
        <v>3060310564399</v>
      </c>
      <c r="F964" s="2">
        <v>0</v>
      </c>
      <c r="G964">
        <v>1105.72</v>
      </c>
      <c r="H964">
        <v>1105.9000000000001</v>
      </c>
      <c r="I964">
        <v>1093.3800000000001</v>
      </c>
      <c r="J964">
        <v>4100236779</v>
      </c>
      <c r="K964">
        <v>0</v>
      </c>
      <c r="L964" s="2">
        <f>VLOOKUP(A964,[1]aaabonddata!$A:$B,2,0)</f>
        <v>3.47</v>
      </c>
    </row>
    <row r="965" spans="1:12" x14ac:dyDescent="0.2">
      <c r="A965" s="3">
        <v>40168</v>
      </c>
      <c r="B965" s="2">
        <v>1828.79</v>
      </c>
      <c r="C965" s="2">
        <v>1835</v>
      </c>
      <c r="D965" s="2">
        <v>1818.39</v>
      </c>
      <c r="E965" s="2">
        <v>3154788761774</v>
      </c>
      <c r="F965" s="2">
        <v>75192497</v>
      </c>
      <c r="G965">
        <v>1119.6099999999999</v>
      </c>
      <c r="H965">
        <v>1122.26</v>
      </c>
      <c r="I965">
        <v>1111.68</v>
      </c>
      <c r="J965">
        <v>3847762059</v>
      </c>
      <c r="K965">
        <v>0</v>
      </c>
      <c r="L965" s="2">
        <f>VLOOKUP(A965,[1]aaabonddata!$A:$B,2,0)</f>
        <v>3.58</v>
      </c>
    </row>
    <row r="966" spans="1:12" x14ac:dyDescent="0.2">
      <c r="A966" s="3">
        <v>40169</v>
      </c>
      <c r="B966" s="2">
        <v>1839.51</v>
      </c>
      <c r="C966" s="2">
        <v>1841.64</v>
      </c>
      <c r="D966" s="2">
        <v>1832.1</v>
      </c>
      <c r="E966" s="2">
        <v>3173286084123</v>
      </c>
      <c r="F966" s="2">
        <v>0</v>
      </c>
      <c r="G966">
        <v>1124.94</v>
      </c>
      <c r="H966">
        <v>1127.3499999999999</v>
      </c>
      <c r="I966">
        <v>1120.8800000000001</v>
      </c>
      <c r="J966">
        <v>3866053106</v>
      </c>
      <c r="K966">
        <v>0</v>
      </c>
      <c r="L966" s="2">
        <f>VLOOKUP(A966,[1]aaabonddata!$A:$B,2,0)</f>
        <v>3.61</v>
      </c>
    </row>
    <row r="967" spans="1:12" x14ac:dyDescent="0.2">
      <c r="A967" s="3">
        <v>40170</v>
      </c>
      <c r="B967" s="2">
        <v>1851.99</v>
      </c>
      <c r="C967" s="2">
        <v>1853.15</v>
      </c>
      <c r="D967" s="2">
        <v>1839.12</v>
      </c>
      <c r="E967" s="2">
        <v>3194810255718</v>
      </c>
      <c r="F967" s="2">
        <v>244588638</v>
      </c>
      <c r="G967">
        <v>1134.6300000000001</v>
      </c>
      <c r="H967">
        <v>1135.27</v>
      </c>
      <c r="I967">
        <v>1126.1500000000001</v>
      </c>
      <c r="J967">
        <v>3899370740</v>
      </c>
      <c r="K967">
        <v>0</v>
      </c>
      <c r="L967" s="2">
        <f>VLOOKUP(A967,[1]aaabonddata!$A:$B,2,0)</f>
        <v>3.61</v>
      </c>
    </row>
    <row r="968" spans="1:12" x14ac:dyDescent="0.2">
      <c r="A968" s="3">
        <v>40171</v>
      </c>
      <c r="B968" s="2">
        <v>1869.84</v>
      </c>
      <c r="C968" s="2">
        <v>1869.9</v>
      </c>
      <c r="D968" s="2">
        <v>1855.78</v>
      </c>
      <c r="E968" s="2">
        <v>3225602973680</v>
      </c>
      <c r="F968" s="2">
        <v>13707675</v>
      </c>
      <c r="G968">
        <v>1148.27</v>
      </c>
      <c r="H968">
        <v>1148.28</v>
      </c>
      <c r="I968">
        <v>1136.32</v>
      </c>
      <c r="J968">
        <v>3946250769</v>
      </c>
      <c r="K968">
        <v>0</v>
      </c>
      <c r="L968" s="2">
        <f>VLOOKUP(A968,[1]aaabonddata!$A:$B,2,0)</f>
        <v>3.67</v>
      </c>
    </row>
    <row r="969" spans="1:12" x14ac:dyDescent="0.2">
      <c r="A969" s="3">
        <v>40175</v>
      </c>
      <c r="B969" s="2">
        <v>1878.18</v>
      </c>
      <c r="C969" s="2">
        <v>1882.58</v>
      </c>
      <c r="D969" s="2">
        <v>1868.14</v>
      </c>
      <c r="E969" s="2">
        <v>3239997949860</v>
      </c>
      <c r="F969" s="2">
        <v>0</v>
      </c>
      <c r="G969">
        <v>1145.3</v>
      </c>
      <c r="H969">
        <v>1154.4100000000001</v>
      </c>
      <c r="I969">
        <v>1139.3</v>
      </c>
      <c r="J969">
        <v>3936043272</v>
      </c>
      <c r="K969">
        <v>0</v>
      </c>
      <c r="L969" s="2">
        <f>VLOOKUP(A969,[1]aaabonddata!$A:$B,2,0)</f>
        <v>3.72</v>
      </c>
    </row>
    <row r="970" spans="1:12" x14ac:dyDescent="0.2">
      <c r="A970" s="3">
        <v>40176</v>
      </c>
      <c r="B970" s="2">
        <v>1872.02</v>
      </c>
      <c r="C970" s="2">
        <v>1881.06</v>
      </c>
      <c r="D970" s="2">
        <v>1871.13</v>
      </c>
      <c r="E970" s="2">
        <v>3229365884536</v>
      </c>
      <c r="F970" s="2">
        <v>0</v>
      </c>
      <c r="G970">
        <v>1139.97</v>
      </c>
      <c r="H970">
        <v>1145.25</v>
      </c>
      <c r="I970">
        <v>1137.3499999999999</v>
      </c>
      <c r="J970">
        <v>3917711968</v>
      </c>
      <c r="K970">
        <v>0</v>
      </c>
      <c r="L970" s="2">
        <f>VLOOKUP(A970,[1]aaabonddata!$A:$B,2,0)</f>
        <v>3.7</v>
      </c>
    </row>
    <row r="971" spans="1:12" x14ac:dyDescent="0.2">
      <c r="A971" s="3">
        <v>40177</v>
      </c>
      <c r="B971" s="2">
        <v>1878.65</v>
      </c>
      <c r="C971" s="2">
        <v>1881.15</v>
      </c>
      <c r="D971" s="2">
        <v>1869.6</v>
      </c>
      <c r="E971" s="2">
        <v>3242310152536</v>
      </c>
      <c r="F971" s="2">
        <v>0</v>
      </c>
      <c r="G971">
        <v>1149.73</v>
      </c>
      <c r="H971">
        <v>1149.76</v>
      </c>
      <c r="I971">
        <v>1139.97</v>
      </c>
      <c r="J971">
        <v>3951264065</v>
      </c>
      <c r="K971">
        <v>0</v>
      </c>
      <c r="L971" s="2">
        <f>VLOOKUP(A971,[1]aaabonddata!$A:$B,2,0)</f>
        <v>3.68</v>
      </c>
    </row>
    <row r="972" spans="1:12" x14ac:dyDescent="0.2">
      <c r="A972" s="3">
        <v>40178</v>
      </c>
      <c r="B972" s="2">
        <v>1860.31</v>
      </c>
      <c r="C972" s="2">
        <v>1882.46</v>
      </c>
      <c r="D972" s="2">
        <v>1860.31</v>
      </c>
      <c r="E972" s="2">
        <v>3210661152212</v>
      </c>
      <c r="F972" s="2">
        <v>0</v>
      </c>
      <c r="G972">
        <v>1137.92</v>
      </c>
      <c r="H972">
        <v>1152.5899999999999</v>
      </c>
      <c r="I972">
        <v>1137.92</v>
      </c>
      <c r="J972">
        <v>3910669983</v>
      </c>
      <c r="K972">
        <v>0</v>
      </c>
      <c r="L972" s="2">
        <f>VLOOKUP(A972,[1]aaabonddata!$A:$B,2,0)</f>
        <v>3.73</v>
      </c>
    </row>
    <row r="973" spans="1:12" x14ac:dyDescent="0.2">
      <c r="A973" s="3">
        <v>40182</v>
      </c>
      <c r="B973" s="2">
        <v>1886.7</v>
      </c>
      <c r="C973" s="2">
        <v>1890.02</v>
      </c>
      <c r="D973" s="2">
        <v>1881.63</v>
      </c>
      <c r="E973" s="2">
        <v>3256215218235</v>
      </c>
      <c r="F973" s="2">
        <v>256318820</v>
      </c>
      <c r="G973">
        <v>1156.6500000000001</v>
      </c>
      <c r="H973">
        <v>1160.51</v>
      </c>
      <c r="I973">
        <v>1152.28</v>
      </c>
      <c r="J973">
        <v>3975050340</v>
      </c>
      <c r="K973">
        <v>0</v>
      </c>
      <c r="L973" s="2">
        <f>VLOOKUP(A973,[1]aaabonddata!$A:$B,2,0)</f>
        <v>3.68</v>
      </c>
    </row>
    <row r="974" spans="1:12" x14ac:dyDescent="0.2">
      <c r="A974" s="3">
        <v>40183</v>
      </c>
      <c r="B974" s="2">
        <v>1888.43</v>
      </c>
      <c r="C974" s="2">
        <v>1891.33</v>
      </c>
      <c r="D974" s="2">
        <v>1877.52</v>
      </c>
      <c r="E974" s="2">
        <v>3259196910012</v>
      </c>
      <c r="F974" s="2">
        <v>0</v>
      </c>
      <c r="G974">
        <v>1157.06</v>
      </c>
      <c r="H974">
        <v>1160.28</v>
      </c>
      <c r="I974">
        <v>1149</v>
      </c>
      <c r="J974">
        <v>3976444060</v>
      </c>
      <c r="K974">
        <v>0</v>
      </c>
      <c r="L974" s="2">
        <f>VLOOKUP(A974,[1]aaabonddata!$A:$B,2,0)</f>
        <v>3.56</v>
      </c>
    </row>
    <row r="975" spans="1:12" x14ac:dyDescent="0.2">
      <c r="A975" s="3">
        <v>40184</v>
      </c>
      <c r="B975" s="2">
        <v>1878.42</v>
      </c>
      <c r="C975" s="2">
        <v>1893.21</v>
      </c>
      <c r="D975" s="2">
        <v>1873.9</v>
      </c>
      <c r="E975" s="2">
        <v>3241925490794</v>
      </c>
      <c r="F975" s="2">
        <v>0</v>
      </c>
      <c r="G975">
        <v>1151.8599999999999</v>
      </c>
      <c r="H975">
        <v>1161.1099999999999</v>
      </c>
      <c r="I975">
        <v>1148.79</v>
      </c>
      <c r="J975">
        <v>3958570948</v>
      </c>
      <c r="K975">
        <v>0</v>
      </c>
      <c r="L975" s="2">
        <f>VLOOKUP(A975,[1]aaabonddata!$A:$B,2,0)</f>
        <v>3.59</v>
      </c>
    </row>
    <row r="976" spans="1:12" x14ac:dyDescent="0.2">
      <c r="A976" s="3">
        <v>40185</v>
      </c>
      <c r="B976" s="2">
        <v>1876.72</v>
      </c>
      <c r="C976" s="2">
        <v>1881.33</v>
      </c>
      <c r="D976" s="2">
        <v>1867.62</v>
      </c>
      <c r="E976" s="2">
        <v>3238977258025</v>
      </c>
      <c r="F976" s="2">
        <v>0</v>
      </c>
      <c r="G976">
        <v>1142.26</v>
      </c>
      <c r="H976">
        <v>1149.6300000000001</v>
      </c>
      <c r="I976">
        <v>1138.2</v>
      </c>
      <c r="J976">
        <v>3925588917</v>
      </c>
      <c r="K976">
        <v>0</v>
      </c>
      <c r="L976" s="2">
        <f>VLOOKUP(A976,[1]aaabonddata!$A:$B,2,0)</f>
        <v>3.62</v>
      </c>
    </row>
    <row r="977" spans="1:12" x14ac:dyDescent="0.2">
      <c r="A977" s="3">
        <v>40186</v>
      </c>
      <c r="B977" s="2">
        <v>1892.59</v>
      </c>
      <c r="C977" s="2">
        <v>1893.25</v>
      </c>
      <c r="D977" s="2">
        <v>1868.55</v>
      </c>
      <c r="E977" s="2">
        <v>3266374446269</v>
      </c>
      <c r="F977" s="2">
        <v>0</v>
      </c>
      <c r="G977">
        <v>1154.76</v>
      </c>
      <c r="H977">
        <v>1155.8399999999999</v>
      </c>
      <c r="I977">
        <v>1138.1600000000001</v>
      </c>
      <c r="J977">
        <v>3968563239</v>
      </c>
      <c r="K977">
        <v>0</v>
      </c>
      <c r="L977" s="2">
        <f>VLOOKUP(A977,[1]aaabonddata!$A:$B,2,0)</f>
        <v>3.58</v>
      </c>
    </row>
    <row r="978" spans="1:12" x14ac:dyDescent="0.2">
      <c r="A978" s="3">
        <v>40189</v>
      </c>
      <c r="B978" s="2">
        <v>1886.24</v>
      </c>
      <c r="C978" s="2">
        <v>1897.49</v>
      </c>
      <c r="D978" s="2">
        <v>1876.25</v>
      </c>
      <c r="E978" s="2">
        <v>3255420993349</v>
      </c>
      <c r="F978" s="2">
        <v>0</v>
      </c>
      <c r="G978">
        <v>1150.82</v>
      </c>
      <c r="H978">
        <v>1161.47</v>
      </c>
      <c r="I978">
        <v>1143.4100000000001</v>
      </c>
      <c r="J978">
        <v>3955003937</v>
      </c>
      <c r="K978">
        <v>0</v>
      </c>
      <c r="L978" s="2">
        <f>VLOOKUP(A978,[1]aaabonddata!$A:$B,2,0)</f>
        <v>3.57</v>
      </c>
    </row>
    <row r="979" spans="1:12" x14ac:dyDescent="0.2">
      <c r="A979" s="3">
        <v>40190</v>
      </c>
      <c r="B979" s="2">
        <v>1861.79</v>
      </c>
      <c r="C979" s="2">
        <v>1876.37</v>
      </c>
      <c r="D979" s="2">
        <v>1852.31</v>
      </c>
      <c r="E979" s="2">
        <v>3213214667494</v>
      </c>
      <c r="F979" s="2">
        <v>0</v>
      </c>
      <c r="G979">
        <v>1130.7</v>
      </c>
      <c r="H979">
        <v>1145.31</v>
      </c>
      <c r="I979">
        <v>1124.0999999999999</v>
      </c>
      <c r="J979">
        <v>3885872398</v>
      </c>
      <c r="K979">
        <v>0</v>
      </c>
      <c r="L979" s="2">
        <f>VLOOKUP(A979,[1]aaabonddata!$A:$B,2,0)</f>
        <v>3.49</v>
      </c>
    </row>
    <row r="980" spans="1:12" x14ac:dyDescent="0.2">
      <c r="A980" s="3">
        <v>40191</v>
      </c>
      <c r="B980" s="2">
        <v>1886.13</v>
      </c>
      <c r="C980" s="2">
        <v>1890.81</v>
      </c>
      <c r="D980" s="2">
        <v>1855.27</v>
      </c>
      <c r="E980" s="2">
        <v>3255221652345</v>
      </c>
      <c r="F980" s="2">
        <v>0</v>
      </c>
      <c r="G980">
        <v>1149.75</v>
      </c>
      <c r="H980">
        <v>1153.55</v>
      </c>
      <c r="I980">
        <v>1127.44</v>
      </c>
      <c r="J980">
        <v>3951324910</v>
      </c>
      <c r="K980">
        <v>0</v>
      </c>
      <c r="L980" s="2">
        <f>VLOOKUP(A980,[1]aaabonddata!$A:$B,2,0)</f>
        <v>3.54</v>
      </c>
    </row>
    <row r="981" spans="1:12" x14ac:dyDescent="0.2">
      <c r="A981" s="3">
        <v>40192</v>
      </c>
      <c r="B981" s="2">
        <v>1886.52</v>
      </c>
      <c r="C981" s="2">
        <v>1891.73</v>
      </c>
      <c r="D981" s="2">
        <v>1880.35</v>
      </c>
      <c r="E981" s="2">
        <v>3255891611113</v>
      </c>
      <c r="F981" s="2">
        <v>196322196</v>
      </c>
      <c r="G981">
        <v>1151.0999999999999</v>
      </c>
      <c r="H981">
        <v>1153.67</v>
      </c>
      <c r="I981">
        <v>1144.29</v>
      </c>
      <c r="J981">
        <v>3955968568</v>
      </c>
      <c r="K981">
        <v>205423</v>
      </c>
      <c r="L981" s="2">
        <f>VLOOKUP(A981,[1]aaabonddata!$A:$B,2,0)</f>
        <v>3.47</v>
      </c>
    </row>
    <row r="982" spans="1:12" x14ac:dyDescent="0.2">
      <c r="A982" s="3">
        <v>40193</v>
      </c>
      <c r="B982" s="2">
        <v>1864.52</v>
      </c>
      <c r="C982" s="2">
        <v>1893.48</v>
      </c>
      <c r="D982" s="2">
        <v>1857.11</v>
      </c>
      <c r="E982" s="2">
        <v>3217933240770</v>
      </c>
      <c r="F982" s="2">
        <v>0</v>
      </c>
      <c r="G982">
        <v>1130.49</v>
      </c>
      <c r="H982">
        <v>1153.0899999999999</v>
      </c>
      <c r="I982">
        <v>1125.8900000000001</v>
      </c>
      <c r="J982">
        <v>3885143446</v>
      </c>
      <c r="K982">
        <v>0</v>
      </c>
      <c r="L982" s="2">
        <f>VLOOKUP(A982,[1]aaabonddata!$A:$B,2,0)</f>
        <v>3.42</v>
      </c>
    </row>
    <row r="983" spans="1:12" x14ac:dyDescent="0.2">
      <c r="A983" s="3">
        <v>40197</v>
      </c>
      <c r="B983" s="2">
        <v>1895.48</v>
      </c>
      <c r="C983" s="2">
        <v>1896.54</v>
      </c>
      <c r="D983" s="2">
        <v>1868.83</v>
      </c>
      <c r="E983" s="2">
        <v>3271364061234</v>
      </c>
      <c r="F983" s="2">
        <v>0</v>
      </c>
      <c r="G983">
        <v>1145.25</v>
      </c>
      <c r="H983">
        <v>1146.4100000000001</v>
      </c>
      <c r="I983">
        <v>1131.56</v>
      </c>
      <c r="J983">
        <v>3935864297</v>
      </c>
      <c r="K983">
        <v>0</v>
      </c>
      <c r="L983" s="2">
        <f>VLOOKUP(A983,[1]aaabonddata!$A:$B,2,0)</f>
        <v>3.49</v>
      </c>
    </row>
    <row r="984" spans="1:12" x14ac:dyDescent="0.2">
      <c r="A984" s="3">
        <v>40198</v>
      </c>
      <c r="B984" s="2">
        <v>1867.95</v>
      </c>
      <c r="C984" s="2">
        <v>1882.31</v>
      </c>
      <c r="D984" s="2">
        <v>1848.09</v>
      </c>
      <c r="E984" s="2">
        <v>3223851505500</v>
      </c>
      <c r="F984" s="2">
        <v>0</v>
      </c>
      <c r="G984">
        <v>1129.6600000000001</v>
      </c>
      <c r="H984">
        <v>1136.29</v>
      </c>
      <c r="I984">
        <v>1115.19</v>
      </c>
      <c r="J984">
        <v>3882277996</v>
      </c>
      <c r="K984">
        <v>0</v>
      </c>
      <c r="L984" s="2">
        <f>VLOOKUP(A984,[1]aaabonddata!$A:$B,2,0)</f>
        <v>3.44</v>
      </c>
    </row>
    <row r="985" spans="1:12" x14ac:dyDescent="0.2">
      <c r="A985" s="3">
        <v>40199</v>
      </c>
      <c r="B985" s="2">
        <v>1850.57</v>
      </c>
      <c r="C985" s="2">
        <v>1885.01</v>
      </c>
      <c r="D985" s="2">
        <v>1842.86</v>
      </c>
      <c r="E985" s="2">
        <v>3193848546096</v>
      </c>
      <c r="F985" s="2">
        <v>0</v>
      </c>
      <c r="G985">
        <v>1123.73</v>
      </c>
      <c r="H985">
        <v>1147.56</v>
      </c>
      <c r="I985">
        <v>1117.5899999999999</v>
      </c>
      <c r="J985">
        <v>3861897538</v>
      </c>
      <c r="K985">
        <v>0</v>
      </c>
      <c r="L985" s="2">
        <f>VLOOKUP(A985,[1]aaabonddata!$A:$B,2,0)</f>
        <v>3.39</v>
      </c>
    </row>
    <row r="986" spans="1:12" x14ac:dyDescent="0.2">
      <c r="A986" s="3">
        <v>40200</v>
      </c>
      <c r="B986" s="2">
        <v>1794.82</v>
      </c>
      <c r="C986" s="2">
        <v>1849.21</v>
      </c>
      <c r="D986" s="2">
        <v>1791.4</v>
      </c>
      <c r="E986" s="2">
        <v>3097627125193</v>
      </c>
      <c r="F986" s="2">
        <v>0</v>
      </c>
      <c r="G986">
        <v>1080.94</v>
      </c>
      <c r="H986">
        <v>1119.1600000000001</v>
      </c>
      <c r="I986">
        <v>1078.57</v>
      </c>
      <c r="J986">
        <v>3714844559</v>
      </c>
      <c r="K986">
        <v>0</v>
      </c>
      <c r="L986" s="2">
        <f>VLOOKUP(A986,[1]aaabonddata!$A:$B,2,0)</f>
        <v>3.37</v>
      </c>
    </row>
    <row r="987" spans="1:12" x14ac:dyDescent="0.2">
      <c r="A987" s="3">
        <v>40203</v>
      </c>
      <c r="B987" s="2">
        <v>1802.39</v>
      </c>
      <c r="C987" s="2">
        <v>1813.65</v>
      </c>
      <c r="D987" s="2">
        <v>1794.68</v>
      </c>
      <c r="E987" s="2">
        <v>3110707398591</v>
      </c>
      <c r="F987" s="2">
        <v>0</v>
      </c>
      <c r="G987">
        <v>1087.54</v>
      </c>
      <c r="H987">
        <v>1096.42</v>
      </c>
      <c r="I987">
        <v>1081.82</v>
      </c>
      <c r="J987">
        <v>3737523718</v>
      </c>
      <c r="K987">
        <v>0</v>
      </c>
      <c r="L987" s="2">
        <f>VLOOKUP(A987,[1]aaabonddata!$A:$B,2,0)</f>
        <v>3.4</v>
      </c>
    </row>
    <row r="988" spans="1:12" x14ac:dyDescent="0.2">
      <c r="A988" s="3">
        <v>40204</v>
      </c>
      <c r="B988" s="2">
        <v>1803.86</v>
      </c>
      <c r="C988" s="2">
        <v>1825.95</v>
      </c>
      <c r="D988" s="2">
        <v>1792.04</v>
      </c>
      <c r="E988" s="2">
        <v>3113235097724</v>
      </c>
      <c r="F988" s="2">
        <v>0</v>
      </c>
      <c r="G988">
        <v>1086.3</v>
      </c>
      <c r="H988">
        <v>1099.55</v>
      </c>
      <c r="I988">
        <v>1078.9100000000001</v>
      </c>
      <c r="J988">
        <v>3733286750</v>
      </c>
      <c r="K988">
        <v>0</v>
      </c>
      <c r="L988" s="2">
        <f>VLOOKUP(A988,[1]aaabonddata!$A:$B,2,0)</f>
        <v>3.4</v>
      </c>
    </row>
    <row r="989" spans="1:12" x14ac:dyDescent="0.2">
      <c r="A989" s="3">
        <v>40205</v>
      </c>
      <c r="B989" s="2">
        <v>1818.9</v>
      </c>
      <c r="C989" s="2">
        <v>1823.8</v>
      </c>
      <c r="D989" s="2">
        <v>1790.1</v>
      </c>
      <c r="E989" s="2">
        <v>3139198913628</v>
      </c>
      <c r="F989" s="2">
        <v>0</v>
      </c>
      <c r="G989">
        <v>1094.53</v>
      </c>
      <c r="H989">
        <v>1097.02</v>
      </c>
      <c r="I989">
        <v>1076.24</v>
      </c>
      <c r="J989">
        <v>3761560631</v>
      </c>
      <c r="K989">
        <v>0</v>
      </c>
      <c r="L989" s="2">
        <f>VLOOKUP(A989,[1]aaabonddata!$A:$B,2,0)</f>
        <v>3.41</v>
      </c>
    </row>
    <row r="990" spans="1:12" x14ac:dyDescent="0.2">
      <c r="A990" s="3">
        <v>40206</v>
      </c>
      <c r="B990" s="2">
        <v>1771.1</v>
      </c>
      <c r="C990" s="2">
        <v>1805.85</v>
      </c>
      <c r="D990" s="2">
        <v>1762.1</v>
      </c>
      <c r="E990" s="2">
        <v>3056688665290</v>
      </c>
      <c r="F990" s="2">
        <v>199636198</v>
      </c>
      <c r="G990">
        <v>1065.3</v>
      </c>
      <c r="H990">
        <v>1093.01</v>
      </c>
      <c r="I990">
        <v>1056.03</v>
      </c>
      <c r="J990">
        <v>3661119198</v>
      </c>
      <c r="K990">
        <v>0</v>
      </c>
      <c r="L990" s="2">
        <f>VLOOKUP(A990,[1]aaabonddata!$A:$B,2,0)</f>
        <v>3.42</v>
      </c>
    </row>
    <row r="991" spans="1:12" x14ac:dyDescent="0.2">
      <c r="A991" s="3">
        <v>40207</v>
      </c>
      <c r="B991" s="2">
        <v>1741.04</v>
      </c>
      <c r="C991" s="2">
        <v>1789.93</v>
      </c>
      <c r="D991" s="2">
        <v>1734.03</v>
      </c>
      <c r="E991" s="2">
        <v>3004810668348</v>
      </c>
      <c r="F991" s="2">
        <v>0</v>
      </c>
      <c r="G991">
        <v>1035.3800000000001</v>
      </c>
      <c r="H991">
        <v>1073.1099999999999</v>
      </c>
      <c r="I991">
        <v>1030</v>
      </c>
      <c r="J991">
        <v>3558283038</v>
      </c>
      <c r="K991">
        <v>0</v>
      </c>
      <c r="L991" s="2">
        <f>VLOOKUP(A991,[1]aaabonddata!$A:$B,2,0)</f>
        <v>3.37</v>
      </c>
    </row>
    <row r="992" spans="1:12" x14ac:dyDescent="0.2">
      <c r="A992" s="3">
        <v>40210</v>
      </c>
      <c r="B992" s="2">
        <v>1760.72</v>
      </c>
      <c r="C992" s="2">
        <v>1760.72</v>
      </c>
      <c r="D992" s="2">
        <v>1744.26</v>
      </c>
      <c r="E992" s="2">
        <v>3038787131027</v>
      </c>
      <c r="F992" s="2">
        <v>0</v>
      </c>
      <c r="G992">
        <v>1057.33</v>
      </c>
      <c r="H992">
        <v>1057.3800000000001</v>
      </c>
      <c r="I992">
        <v>1040.9000000000001</v>
      </c>
      <c r="J992">
        <v>3633722466</v>
      </c>
      <c r="K992">
        <v>0</v>
      </c>
      <c r="L992" s="2">
        <f>VLOOKUP(A992,[1]aaabonddata!$A:$B,2,0)</f>
        <v>3.52</v>
      </c>
    </row>
    <row r="993" spans="1:12" x14ac:dyDescent="0.2">
      <c r="A993" s="3">
        <v>40211</v>
      </c>
      <c r="B993" s="2">
        <v>1776.92</v>
      </c>
      <c r="C993" s="2">
        <v>1780.17</v>
      </c>
      <c r="D993" s="2">
        <v>1750.39</v>
      </c>
      <c r="E993" s="2">
        <v>3066740860913</v>
      </c>
      <c r="F993" s="2">
        <v>0</v>
      </c>
      <c r="G993">
        <v>1066.92</v>
      </c>
      <c r="H993">
        <v>1069.48</v>
      </c>
      <c r="I993">
        <v>1050.3399999999999</v>
      </c>
      <c r="J993">
        <v>3666658739</v>
      </c>
      <c r="K993">
        <v>0</v>
      </c>
      <c r="L993" s="2">
        <f>VLOOKUP(A993,[1]aaabonddata!$A:$B,2,0)</f>
        <v>3.5</v>
      </c>
    </row>
    <row r="994" spans="1:12" x14ac:dyDescent="0.2">
      <c r="A994" s="3">
        <v>40212</v>
      </c>
      <c r="B994" s="2">
        <v>1784.7</v>
      </c>
      <c r="C994" s="2">
        <v>1787.89</v>
      </c>
      <c r="D994" s="2">
        <v>1766.6</v>
      </c>
      <c r="E994" s="2">
        <v>3080162660295</v>
      </c>
      <c r="F994" s="2">
        <v>572064635</v>
      </c>
      <c r="G994">
        <v>1070.73</v>
      </c>
      <c r="H994">
        <v>1072.3</v>
      </c>
      <c r="I994">
        <v>1057.19</v>
      </c>
      <c r="J994">
        <v>3679758395</v>
      </c>
      <c r="K994">
        <v>803571</v>
      </c>
      <c r="L994" s="2">
        <f>VLOOKUP(A994,[1]aaabonddata!$A:$B,2,0)</f>
        <v>3.58</v>
      </c>
    </row>
    <row r="995" spans="1:12" x14ac:dyDescent="0.2">
      <c r="A995" s="3">
        <v>40213</v>
      </c>
      <c r="B995" s="2">
        <v>1732.99</v>
      </c>
      <c r="C995" s="2">
        <v>1775.37</v>
      </c>
      <c r="D995" s="2">
        <v>1732.99</v>
      </c>
      <c r="E995" s="2">
        <v>2990925849659</v>
      </c>
      <c r="F995" s="2">
        <v>0</v>
      </c>
      <c r="G995">
        <v>1035.92</v>
      </c>
      <c r="H995">
        <v>1060.55</v>
      </c>
      <c r="I995">
        <v>1035.92</v>
      </c>
      <c r="J995">
        <v>3560126509</v>
      </c>
      <c r="K995">
        <v>0</v>
      </c>
      <c r="L995" s="2">
        <f>VLOOKUP(A995,[1]aaabonddata!$A:$B,2,0)</f>
        <v>3.5</v>
      </c>
    </row>
    <row r="996" spans="1:12" x14ac:dyDescent="0.2">
      <c r="A996" s="3">
        <v>40214</v>
      </c>
      <c r="B996" s="2">
        <v>1746.12</v>
      </c>
      <c r="C996" s="2">
        <v>1748.77</v>
      </c>
      <c r="D996" s="2">
        <v>1712.89</v>
      </c>
      <c r="E996" s="2">
        <v>3013579768010</v>
      </c>
      <c r="F996" s="2">
        <v>0</v>
      </c>
      <c r="G996">
        <v>1051.0999999999999</v>
      </c>
      <c r="H996">
        <v>1052.82</v>
      </c>
      <c r="I996">
        <v>1028.3</v>
      </c>
      <c r="J996">
        <v>3612296832</v>
      </c>
      <c r="K996">
        <v>0</v>
      </c>
      <c r="L996" s="2">
        <f>VLOOKUP(A996,[1]aaabonddata!$A:$B,2,0)</f>
        <v>3.4</v>
      </c>
    </row>
    <row r="997" spans="1:12" x14ac:dyDescent="0.2">
      <c r="A997" s="3">
        <v>40217</v>
      </c>
      <c r="B997" s="2">
        <v>1734.88</v>
      </c>
      <c r="C997" s="2">
        <v>1755.65</v>
      </c>
      <c r="D997" s="2">
        <v>1734.12</v>
      </c>
      <c r="E997" s="2">
        <v>2994181745640</v>
      </c>
      <c r="F997" s="2">
        <v>314764287</v>
      </c>
      <c r="G997">
        <v>1046.04</v>
      </c>
      <c r="H997">
        <v>1060.71</v>
      </c>
      <c r="I997">
        <v>1041.95</v>
      </c>
      <c r="J997">
        <v>3594922551</v>
      </c>
      <c r="K997">
        <v>871309</v>
      </c>
      <c r="L997" s="2">
        <f>VLOOKUP(A997,[1]aaabonddata!$A:$B,2,0)</f>
        <v>3.46</v>
      </c>
    </row>
    <row r="998" spans="1:12" x14ac:dyDescent="0.2">
      <c r="A998" s="3">
        <v>40218</v>
      </c>
      <c r="B998" s="2">
        <v>1753.84</v>
      </c>
      <c r="C998" s="2">
        <v>1768.58</v>
      </c>
      <c r="D998" s="2">
        <v>1739.24</v>
      </c>
      <c r="E998" s="2">
        <v>3026911428210</v>
      </c>
      <c r="F998" s="2">
        <v>0</v>
      </c>
      <c r="G998">
        <v>1059.1099999999999</v>
      </c>
      <c r="H998">
        <v>1067.74</v>
      </c>
      <c r="I998">
        <v>1047.95</v>
      </c>
      <c r="J998">
        <v>3639825309</v>
      </c>
      <c r="K998">
        <v>0</v>
      </c>
      <c r="L998" s="2">
        <f>VLOOKUP(A998,[1]aaabonddata!$A:$B,2,0)</f>
        <v>3.51</v>
      </c>
    </row>
    <row r="999" spans="1:12" x14ac:dyDescent="0.2">
      <c r="A999" s="3">
        <v>40219</v>
      </c>
      <c r="B999" s="2">
        <v>1749.76</v>
      </c>
      <c r="C999" s="2">
        <v>1760.61</v>
      </c>
      <c r="D999" s="2">
        <v>1738.46</v>
      </c>
      <c r="E999" s="2">
        <v>3019859423323</v>
      </c>
      <c r="F999" s="2">
        <v>341664617</v>
      </c>
      <c r="G999">
        <v>1061</v>
      </c>
      <c r="H999">
        <v>1068.51</v>
      </c>
      <c r="I999">
        <v>1052.48</v>
      </c>
      <c r="J999">
        <v>3646317570</v>
      </c>
      <c r="K999">
        <v>786056</v>
      </c>
      <c r="L999" s="2">
        <f>VLOOKUP(A999,[1]aaabonddata!$A:$B,2,0)</f>
        <v>3.57</v>
      </c>
    </row>
    <row r="1000" spans="1:12" x14ac:dyDescent="0.2">
      <c r="A1000" s="3">
        <v>40220</v>
      </c>
      <c r="B1000" s="2">
        <v>1775.74</v>
      </c>
      <c r="C1000" s="2">
        <v>1780.05</v>
      </c>
      <c r="D1000" s="2">
        <v>1739.02</v>
      </c>
      <c r="E1000" s="2">
        <v>3064696729653</v>
      </c>
      <c r="F1000" s="2">
        <v>96000680</v>
      </c>
      <c r="G1000">
        <v>1079.3900000000001</v>
      </c>
      <c r="H1000">
        <v>1082.54</v>
      </c>
      <c r="I1000">
        <v>1053.44</v>
      </c>
      <c r="J1000">
        <v>3709541639</v>
      </c>
      <c r="K1000">
        <v>591941</v>
      </c>
      <c r="L1000" s="2">
        <f>VLOOKUP(A1000,[1]aaabonddata!$A:$B,2,0)</f>
        <v>3.55</v>
      </c>
    </row>
    <row r="1001" spans="1:12" x14ac:dyDescent="0.2">
      <c r="A1001" s="3">
        <v>40221</v>
      </c>
      <c r="B1001" s="2">
        <v>1779.11</v>
      </c>
      <c r="C1001" s="2">
        <v>1783.7</v>
      </c>
      <c r="D1001" s="2">
        <v>1756.65</v>
      </c>
      <c r="E1001" s="2">
        <v>3070514905080</v>
      </c>
      <c r="F1001" s="2">
        <v>0</v>
      </c>
      <c r="G1001">
        <v>1080.02</v>
      </c>
      <c r="H1001">
        <v>1084.93</v>
      </c>
      <c r="I1001">
        <v>1061.8599999999999</v>
      </c>
      <c r="J1001">
        <v>3711700864</v>
      </c>
      <c r="K1001">
        <v>0</v>
      </c>
      <c r="L1001" s="2">
        <f>VLOOKUP(A1001,[1]aaabonddata!$A:$B,2,0)</f>
        <v>3.5</v>
      </c>
    </row>
    <row r="1002" spans="1:12" x14ac:dyDescent="0.2">
      <c r="A1002" s="3">
        <v>40225</v>
      </c>
      <c r="B1002" s="2">
        <v>1802.06</v>
      </c>
      <c r="C1002" s="2">
        <v>1802.48</v>
      </c>
      <c r="D1002" s="2">
        <v>1782.73</v>
      </c>
      <c r="E1002" s="2">
        <v>3110129622957</v>
      </c>
      <c r="F1002" s="2">
        <v>843982185</v>
      </c>
      <c r="G1002">
        <v>1098.81</v>
      </c>
      <c r="H1002">
        <v>1099.28</v>
      </c>
      <c r="I1002">
        <v>1083.21</v>
      </c>
      <c r="J1002">
        <v>3776262151</v>
      </c>
      <c r="K1002">
        <v>1629753</v>
      </c>
      <c r="L1002" s="2">
        <f>VLOOKUP(A1002,[1]aaabonddata!$A:$B,2,0)</f>
        <v>3.46</v>
      </c>
    </row>
    <row r="1003" spans="1:12" x14ac:dyDescent="0.2">
      <c r="A1003" s="3">
        <v>40226</v>
      </c>
      <c r="B1003" s="2">
        <v>1810.86</v>
      </c>
      <c r="C1003" s="2">
        <v>1811.2</v>
      </c>
      <c r="D1003" s="2">
        <v>1799.25</v>
      </c>
      <c r="E1003" s="2">
        <v>3123106097487</v>
      </c>
      <c r="F1003" s="2">
        <v>279601960</v>
      </c>
      <c r="G1003">
        <v>1103.22</v>
      </c>
      <c r="H1003">
        <v>1104.83</v>
      </c>
      <c r="I1003">
        <v>1095.58</v>
      </c>
      <c r="J1003">
        <v>3791433386</v>
      </c>
      <c r="K1003">
        <v>1245950</v>
      </c>
      <c r="L1003" s="2">
        <f>VLOOKUP(A1003,[1]aaabonddata!$A:$B,2,0)</f>
        <v>3.55</v>
      </c>
    </row>
    <row r="1004" spans="1:12" x14ac:dyDescent="0.2">
      <c r="A1004" s="3">
        <v>40227</v>
      </c>
      <c r="B1004" s="2">
        <v>1823.39</v>
      </c>
      <c r="C1004" s="2">
        <v>1825.82</v>
      </c>
      <c r="D1004" s="2">
        <v>1806.76</v>
      </c>
      <c r="E1004" s="2">
        <v>3144711884022</v>
      </c>
      <c r="F1004" s="2">
        <v>319101328</v>
      </c>
      <c r="G1004">
        <v>1110.3900000000001</v>
      </c>
      <c r="H1004">
        <v>1111.83</v>
      </c>
      <c r="I1004">
        <v>1094.17</v>
      </c>
      <c r="J1004">
        <v>3816047140</v>
      </c>
      <c r="K1004">
        <v>0</v>
      </c>
      <c r="L1004" s="2">
        <f>VLOOKUP(A1004,[1]aaabonddata!$A:$B,2,0)</f>
        <v>3.58</v>
      </c>
    </row>
    <row r="1005" spans="1:12" x14ac:dyDescent="0.2">
      <c r="A1005" s="3">
        <v>40228</v>
      </c>
      <c r="B1005" s="2">
        <v>1823.32</v>
      </c>
      <c r="C1005" s="2">
        <v>1830.38</v>
      </c>
      <c r="D1005" s="2">
        <v>1813.08</v>
      </c>
      <c r="E1005" s="2">
        <v>3144591805672</v>
      </c>
      <c r="F1005" s="2">
        <v>229777172</v>
      </c>
      <c r="G1005">
        <v>1111.05</v>
      </c>
      <c r="H1005">
        <v>1116.23</v>
      </c>
      <c r="I1005">
        <v>1104.5999999999999</v>
      </c>
      <c r="J1005">
        <v>3818336023</v>
      </c>
      <c r="K1005">
        <v>0</v>
      </c>
      <c r="L1005" s="2">
        <f>VLOOKUP(A1005,[1]aaabonddata!$A:$B,2,0)</f>
        <v>3.59</v>
      </c>
    </row>
    <row r="1006" spans="1:12" x14ac:dyDescent="0.2">
      <c r="A1006" s="3">
        <v>40231</v>
      </c>
      <c r="B1006" s="2">
        <v>1817.63</v>
      </c>
      <c r="C1006" s="2">
        <v>1829.18</v>
      </c>
      <c r="D1006" s="2">
        <v>1811.52</v>
      </c>
      <c r="E1006" s="2">
        <v>3134775839631</v>
      </c>
      <c r="F1006" s="2">
        <v>77735988</v>
      </c>
      <c r="G1006">
        <v>1106.56</v>
      </c>
      <c r="H1006">
        <v>1115.79</v>
      </c>
      <c r="I1006">
        <v>1104.25</v>
      </c>
      <c r="J1006">
        <v>3802905018</v>
      </c>
      <c r="K1006">
        <v>441176</v>
      </c>
      <c r="L1006" s="2">
        <f>VLOOKUP(A1006,[1]aaabonddata!$A:$B,2,0)</f>
        <v>3.58</v>
      </c>
    </row>
    <row r="1007" spans="1:12" x14ac:dyDescent="0.2">
      <c r="A1007" s="3">
        <v>40232</v>
      </c>
      <c r="B1007" s="2">
        <v>1793.82</v>
      </c>
      <c r="C1007" s="2">
        <v>1817.96</v>
      </c>
      <c r="D1007" s="2">
        <v>1786.46</v>
      </c>
      <c r="E1007" s="2">
        <v>3093720627091</v>
      </c>
      <c r="F1007" s="2">
        <v>0</v>
      </c>
      <c r="G1007">
        <v>1087.68</v>
      </c>
      <c r="H1007">
        <v>1104.49</v>
      </c>
      <c r="I1007">
        <v>1082.1500000000001</v>
      </c>
      <c r="J1007">
        <v>3738024539</v>
      </c>
      <c r="K1007">
        <v>0</v>
      </c>
      <c r="L1007" s="2">
        <f>VLOOKUP(A1007,[1]aaabonddata!$A:$B,2,0)</f>
        <v>3.48</v>
      </c>
    </row>
    <row r="1008" spans="1:12" x14ac:dyDescent="0.2">
      <c r="A1008" s="3">
        <v>40233</v>
      </c>
      <c r="B1008" s="2">
        <v>1812.51</v>
      </c>
      <c r="C1008" s="2">
        <v>1819.5</v>
      </c>
      <c r="D1008" s="2">
        <v>1801.04</v>
      </c>
      <c r="E1008" s="2">
        <v>3125953743619</v>
      </c>
      <c r="F1008" s="2">
        <v>643292849</v>
      </c>
      <c r="G1008">
        <v>1103.1199999999999</v>
      </c>
      <c r="H1008">
        <v>1109.81</v>
      </c>
      <c r="I1008">
        <v>1096.32</v>
      </c>
      <c r="J1008">
        <v>3791063966</v>
      </c>
      <c r="K1008">
        <v>381508</v>
      </c>
      <c r="L1008" s="2">
        <f>VLOOKUP(A1008,[1]aaabonddata!$A:$B,2,0)</f>
        <v>3.48</v>
      </c>
    </row>
    <row r="1009" spans="1:12" x14ac:dyDescent="0.2">
      <c r="A1009" s="3">
        <v>40234</v>
      </c>
      <c r="B1009" s="2">
        <v>1812.91</v>
      </c>
      <c r="C1009" s="2">
        <v>1815.94</v>
      </c>
      <c r="D1009" s="2">
        <v>1781.12</v>
      </c>
      <c r="E1009" s="2">
        <v>3126643875403</v>
      </c>
      <c r="F1009" s="2">
        <v>35126265</v>
      </c>
      <c r="G1009">
        <v>1100.04</v>
      </c>
      <c r="H1009">
        <v>1102.03</v>
      </c>
      <c r="I1009">
        <v>1077.1199999999999</v>
      </c>
      <c r="J1009">
        <v>3780496763</v>
      </c>
      <c r="K1009">
        <v>0</v>
      </c>
      <c r="L1009" s="2">
        <f>VLOOKUP(A1009,[1]aaabonddata!$A:$B,2,0)</f>
        <v>3.41</v>
      </c>
    </row>
    <row r="1010" spans="1:12" x14ac:dyDescent="0.2">
      <c r="A1010" s="3">
        <v>40235</v>
      </c>
      <c r="B1010" s="2">
        <v>1818.68</v>
      </c>
      <c r="C1010" s="2">
        <v>1822.2</v>
      </c>
      <c r="D1010" s="2">
        <v>1804.09</v>
      </c>
      <c r="E1010" s="2">
        <v>3136589896064</v>
      </c>
      <c r="F1010" s="2">
        <v>0</v>
      </c>
      <c r="G1010">
        <v>1102.94</v>
      </c>
      <c r="H1010">
        <v>1104.55</v>
      </c>
      <c r="I1010">
        <v>1092.03</v>
      </c>
      <c r="J1010">
        <v>3790449388</v>
      </c>
      <c r="K1010">
        <v>0</v>
      </c>
      <c r="L1010" s="2">
        <f>VLOOKUP(A1010,[1]aaabonddata!$A:$B,2,0)</f>
        <v>3.36</v>
      </c>
    </row>
    <row r="1011" spans="1:12" x14ac:dyDescent="0.2">
      <c r="A1011" s="3">
        <v>40238</v>
      </c>
      <c r="B1011" s="2">
        <v>1846.4</v>
      </c>
      <c r="C1011" s="2">
        <v>1848.1</v>
      </c>
      <c r="D1011" s="2">
        <v>1826.61</v>
      </c>
      <c r="E1011" s="2">
        <v>3184393777845</v>
      </c>
      <c r="F1011" s="2">
        <v>0</v>
      </c>
      <c r="G1011">
        <v>1128.08</v>
      </c>
      <c r="H1011">
        <v>1129.0899999999999</v>
      </c>
      <c r="I1011">
        <v>1108.32</v>
      </c>
      <c r="J1011">
        <v>3876846139</v>
      </c>
      <c r="K1011">
        <v>0</v>
      </c>
      <c r="L1011" s="2">
        <f>VLOOKUP(A1011,[1]aaabonddata!$A:$B,2,0)</f>
        <v>3.4</v>
      </c>
    </row>
    <row r="1012" spans="1:12" x14ac:dyDescent="0.2">
      <c r="A1012" s="3">
        <v>40239</v>
      </c>
      <c r="B1012" s="2">
        <v>1851.21</v>
      </c>
      <c r="C1012" s="2">
        <v>1862.64</v>
      </c>
      <c r="D1012" s="2">
        <v>1847.03</v>
      </c>
      <c r="E1012" s="2">
        <v>3192682313503</v>
      </c>
      <c r="F1012" s="2">
        <v>0</v>
      </c>
      <c r="G1012">
        <v>1127.76</v>
      </c>
      <c r="H1012">
        <v>1137.71</v>
      </c>
      <c r="I1012">
        <v>1124.8900000000001</v>
      </c>
      <c r="J1012">
        <v>3875757461</v>
      </c>
      <c r="K1012">
        <v>0</v>
      </c>
      <c r="L1012" s="2">
        <f>VLOOKUP(A1012,[1]aaabonddata!$A:$B,2,0)</f>
        <v>3.4</v>
      </c>
    </row>
    <row r="1013" spans="1:12" x14ac:dyDescent="0.2">
      <c r="A1013" s="3">
        <v>40240</v>
      </c>
      <c r="B1013" s="2">
        <v>1851.57</v>
      </c>
      <c r="C1013" s="2">
        <v>1861.15</v>
      </c>
      <c r="D1013" s="2">
        <v>1846.22</v>
      </c>
      <c r="E1013" s="2">
        <v>3193314733710</v>
      </c>
      <c r="F1013" s="2">
        <v>110887847</v>
      </c>
      <c r="G1013">
        <v>1122.54</v>
      </c>
      <c r="H1013">
        <v>1132.78</v>
      </c>
      <c r="I1013">
        <v>1119.78</v>
      </c>
      <c r="J1013">
        <v>3857818650</v>
      </c>
      <c r="K1013">
        <v>0</v>
      </c>
      <c r="L1013" s="2">
        <f>VLOOKUP(A1013,[1]aaabonddata!$A:$B,2,0)</f>
        <v>3.41</v>
      </c>
    </row>
    <row r="1014" spans="1:12" x14ac:dyDescent="0.2">
      <c r="A1014" s="3">
        <v>40241</v>
      </c>
      <c r="B1014" s="2">
        <v>1859.72</v>
      </c>
      <c r="C1014" s="2">
        <v>1860.76</v>
      </c>
      <c r="D1014" s="2">
        <v>1844.92</v>
      </c>
      <c r="E1014" s="2">
        <v>3207375634130</v>
      </c>
      <c r="F1014" s="2">
        <v>0</v>
      </c>
      <c r="G1014">
        <v>1125.3900000000001</v>
      </c>
      <c r="H1014">
        <v>1125.96</v>
      </c>
      <c r="I1014">
        <v>1114.3499999999999</v>
      </c>
      <c r="J1014">
        <v>3867610937</v>
      </c>
      <c r="K1014">
        <v>0</v>
      </c>
      <c r="L1014" s="2">
        <f>VLOOKUP(A1014,[1]aaabonddata!$A:$B,2,0)</f>
        <v>3.41</v>
      </c>
    </row>
    <row r="1015" spans="1:12" x14ac:dyDescent="0.2">
      <c r="A1015" s="3">
        <v>40242</v>
      </c>
      <c r="B1015" s="2">
        <v>1888.56</v>
      </c>
      <c r="C1015" s="2">
        <v>1889.68</v>
      </c>
      <c r="D1015" s="2">
        <v>1869.1</v>
      </c>
      <c r="E1015" s="2">
        <v>3257099916627</v>
      </c>
      <c r="F1015" s="2">
        <v>0</v>
      </c>
      <c r="G1015">
        <v>1141.29</v>
      </c>
      <c r="H1015">
        <v>1143.58</v>
      </c>
      <c r="I1015">
        <v>1126.92</v>
      </c>
      <c r="J1015">
        <v>3922243643</v>
      </c>
      <c r="K1015">
        <v>0</v>
      </c>
      <c r="L1015" s="2">
        <f>VLOOKUP(A1015,[1]aaabonddata!$A:$B,2,0)</f>
        <v>3.46</v>
      </c>
    </row>
    <row r="1016" spans="1:12" x14ac:dyDescent="0.2">
      <c r="A1016" s="3">
        <v>40245</v>
      </c>
      <c r="B1016" s="2">
        <v>1890.89</v>
      </c>
      <c r="C1016" s="2">
        <v>1894.75</v>
      </c>
      <c r="D1016" s="2">
        <v>1887.66</v>
      </c>
      <c r="E1016" s="2">
        <v>3261132963454</v>
      </c>
      <c r="F1016" s="2">
        <v>200608378</v>
      </c>
      <c r="G1016">
        <v>1144.43</v>
      </c>
      <c r="H1016">
        <v>1147.76</v>
      </c>
      <c r="I1016">
        <v>1142.58</v>
      </c>
      <c r="J1016">
        <v>3933049666</v>
      </c>
      <c r="K1016">
        <v>0</v>
      </c>
      <c r="L1016" s="2">
        <f>VLOOKUP(A1016,[1]aaabonddata!$A:$B,2,0)</f>
        <v>3.46</v>
      </c>
    </row>
    <row r="1017" spans="1:12" x14ac:dyDescent="0.2">
      <c r="A1017" s="3">
        <v>40246</v>
      </c>
      <c r="B1017" s="2">
        <v>1901.38</v>
      </c>
      <c r="C1017" s="2">
        <v>1911.38</v>
      </c>
      <c r="D1017" s="2">
        <v>1885.99</v>
      </c>
      <c r="E1017" s="2">
        <v>3279213642557</v>
      </c>
      <c r="F1017" s="2">
        <v>37360909</v>
      </c>
      <c r="G1017">
        <v>1148.3599999999999</v>
      </c>
      <c r="H1017">
        <v>1155.8599999999999</v>
      </c>
      <c r="I1017">
        <v>1141.8399999999999</v>
      </c>
      <c r="J1017">
        <v>3946549406</v>
      </c>
      <c r="K1017">
        <v>0</v>
      </c>
      <c r="L1017" s="2">
        <f>VLOOKUP(A1017,[1]aaabonddata!$A:$B,2,0)</f>
        <v>3.45</v>
      </c>
    </row>
    <row r="1018" spans="1:12" x14ac:dyDescent="0.2">
      <c r="A1018" s="3">
        <v>40247</v>
      </c>
      <c r="B1018" s="2">
        <v>1917.35</v>
      </c>
      <c r="C1018" s="2">
        <v>1920.66</v>
      </c>
      <c r="D1018" s="2">
        <v>1901.11</v>
      </c>
      <c r="E1018" s="2">
        <v>3306766294363</v>
      </c>
      <c r="F1018" s="2">
        <v>253056083</v>
      </c>
      <c r="G1018">
        <v>1161.02</v>
      </c>
      <c r="H1018">
        <v>1162.99</v>
      </c>
      <c r="I1018">
        <v>1148.6600000000001</v>
      </c>
      <c r="J1018">
        <v>3990053422</v>
      </c>
      <c r="K1018">
        <v>0</v>
      </c>
      <c r="L1018" s="2">
        <f>VLOOKUP(A1018,[1]aaabonddata!$A:$B,2,0)</f>
        <v>3.48</v>
      </c>
    </row>
    <row r="1019" spans="1:12" x14ac:dyDescent="0.2">
      <c r="A1019" s="3">
        <v>40248</v>
      </c>
      <c r="B1019" s="2">
        <v>1923.81</v>
      </c>
      <c r="C1019" s="2">
        <v>1923.81</v>
      </c>
      <c r="D1019" s="2">
        <v>1908.39</v>
      </c>
      <c r="E1019" s="2">
        <v>3317902578728</v>
      </c>
      <c r="F1019" s="2">
        <v>0</v>
      </c>
      <c r="G1019">
        <v>1160.98</v>
      </c>
      <c r="H1019">
        <v>1160.98</v>
      </c>
      <c r="I1019">
        <v>1150.79</v>
      </c>
      <c r="J1019">
        <v>3989921024</v>
      </c>
      <c r="K1019">
        <v>0</v>
      </c>
      <c r="L1019" s="2">
        <f>VLOOKUP(A1019,[1]aaabonddata!$A:$B,2,0)</f>
        <v>3.5</v>
      </c>
    </row>
    <row r="1020" spans="1:12" x14ac:dyDescent="0.2">
      <c r="A1020" s="3">
        <v>40249</v>
      </c>
      <c r="B1020" s="2">
        <v>1924.43</v>
      </c>
      <c r="C1020" s="2">
        <v>1930.17</v>
      </c>
      <c r="D1020" s="2">
        <v>1916.41</v>
      </c>
      <c r="E1020" s="2">
        <v>3318971628651</v>
      </c>
      <c r="F1020" s="2">
        <v>0</v>
      </c>
      <c r="G1020">
        <v>1159.56</v>
      </c>
      <c r="H1020">
        <v>1163.25</v>
      </c>
      <c r="I1020">
        <v>1154.6199999999999</v>
      </c>
      <c r="J1020">
        <v>3985042923</v>
      </c>
      <c r="K1020">
        <v>0</v>
      </c>
      <c r="L1020" s="2">
        <f>VLOOKUP(A1020,[1]aaabonddata!$A:$B,2,0)</f>
        <v>3.47</v>
      </c>
    </row>
    <row r="1021" spans="1:12" x14ac:dyDescent="0.2">
      <c r="A1021" s="3">
        <v>40252</v>
      </c>
      <c r="B1021" s="2">
        <v>1920.09</v>
      </c>
      <c r="C1021" s="2">
        <v>1924.49</v>
      </c>
      <c r="D1021" s="2">
        <v>1906.01</v>
      </c>
      <c r="E1021" s="2">
        <v>3311481326802</v>
      </c>
      <c r="F1021" s="2">
        <v>0</v>
      </c>
      <c r="G1021">
        <v>1156.32</v>
      </c>
      <c r="H1021">
        <v>1160.18</v>
      </c>
      <c r="I1021">
        <v>1148.5899999999999</v>
      </c>
      <c r="J1021">
        <v>3973915285</v>
      </c>
      <c r="K1021">
        <v>0</v>
      </c>
      <c r="L1021" s="2">
        <f>VLOOKUP(A1021,[1]aaabonddata!$A:$B,2,0)</f>
        <v>3.46</v>
      </c>
    </row>
    <row r="1022" spans="1:12" x14ac:dyDescent="0.2">
      <c r="A1022" s="3">
        <v>40253</v>
      </c>
      <c r="B1022" s="2">
        <v>1932.24</v>
      </c>
      <c r="C1022" s="2">
        <v>1933.96</v>
      </c>
      <c r="D1022" s="2">
        <v>1918.98</v>
      </c>
      <c r="E1022" s="2">
        <v>3332431812402</v>
      </c>
      <c r="F1022" s="2">
        <v>0</v>
      </c>
      <c r="G1022">
        <v>1168.58</v>
      </c>
      <c r="H1022">
        <v>1170.06</v>
      </c>
      <c r="I1022">
        <v>1156.47</v>
      </c>
      <c r="J1022">
        <v>4016041077</v>
      </c>
      <c r="K1022">
        <v>0</v>
      </c>
      <c r="L1022" s="2">
        <f>VLOOKUP(A1022,[1]aaabonddata!$A:$B,2,0)</f>
        <v>3.41</v>
      </c>
    </row>
    <row r="1023" spans="1:12" x14ac:dyDescent="0.2">
      <c r="A1023" s="3">
        <v>40254</v>
      </c>
      <c r="B1023" s="2">
        <v>1936.22</v>
      </c>
      <c r="C1023" s="2">
        <v>1945.9</v>
      </c>
      <c r="D1023" s="2">
        <v>1930.91</v>
      </c>
      <c r="E1023" s="2">
        <v>3339305725995</v>
      </c>
      <c r="F1023" s="2">
        <v>0</v>
      </c>
      <c r="G1023">
        <v>1173.05</v>
      </c>
      <c r="H1023">
        <v>1180.54</v>
      </c>
      <c r="I1023">
        <v>1170.07</v>
      </c>
      <c r="J1023">
        <v>4031414006</v>
      </c>
      <c r="K1023">
        <v>0</v>
      </c>
      <c r="L1023" s="2">
        <f>VLOOKUP(A1023,[1]aaabonddata!$A:$B,2,0)</f>
        <v>3.42</v>
      </c>
    </row>
    <row r="1024" spans="1:12" x14ac:dyDescent="0.2">
      <c r="A1024" s="3">
        <v>40255</v>
      </c>
      <c r="B1024" s="2">
        <v>1943.94</v>
      </c>
      <c r="C1024" s="2">
        <v>1945.28</v>
      </c>
      <c r="D1024" s="2">
        <v>1934.17</v>
      </c>
      <c r="E1024" s="2">
        <v>3352611013811</v>
      </c>
      <c r="F1024" s="2">
        <v>0</v>
      </c>
      <c r="G1024">
        <v>1173.0999999999999</v>
      </c>
      <c r="H1024">
        <v>1176.74</v>
      </c>
      <c r="I1024">
        <v>1167.5899999999999</v>
      </c>
      <c r="J1024">
        <v>4031569059</v>
      </c>
      <c r="K1024">
        <v>0</v>
      </c>
      <c r="L1024" s="2">
        <f>VLOOKUP(A1024,[1]aaabonddata!$A:$B,2,0)</f>
        <v>3.45</v>
      </c>
    </row>
    <row r="1025" spans="1:12" x14ac:dyDescent="0.2">
      <c r="A1025" s="3">
        <v>40256</v>
      </c>
      <c r="B1025" s="2">
        <v>1932.43</v>
      </c>
      <c r="C1025" s="2">
        <v>1949.14</v>
      </c>
      <c r="D1025" s="2">
        <v>1924.72</v>
      </c>
      <c r="E1025" s="2">
        <v>3332764234483</v>
      </c>
      <c r="F1025" s="2">
        <v>0</v>
      </c>
      <c r="G1025">
        <v>1160.75</v>
      </c>
      <c r="H1025">
        <v>1175.24</v>
      </c>
      <c r="I1025">
        <v>1156.26</v>
      </c>
      <c r="J1025">
        <v>3989139394</v>
      </c>
      <c r="K1025">
        <v>0</v>
      </c>
      <c r="L1025" s="2">
        <f>VLOOKUP(A1025,[1]aaabonddata!$A:$B,2,0)</f>
        <v>3.43</v>
      </c>
    </row>
    <row r="1026" spans="1:12" x14ac:dyDescent="0.2">
      <c r="A1026" s="3">
        <v>40259</v>
      </c>
      <c r="B1026" s="2">
        <v>1949.59</v>
      </c>
      <c r="C1026" s="2">
        <v>1956.48</v>
      </c>
      <c r="D1026" s="2">
        <v>1921.71</v>
      </c>
      <c r="E1026" s="2">
        <v>3366637868721</v>
      </c>
      <c r="F1026" s="2">
        <v>0</v>
      </c>
      <c r="G1026">
        <v>1177.04</v>
      </c>
      <c r="H1026">
        <v>1180.43</v>
      </c>
      <c r="I1026">
        <v>1154.0999999999999</v>
      </c>
      <c r="J1026">
        <v>3853323137</v>
      </c>
      <c r="K1026">
        <v>0</v>
      </c>
      <c r="L1026" s="2">
        <f>VLOOKUP(A1026,[1]aaabonddata!$A:$B,2,0)</f>
        <v>3.45</v>
      </c>
    </row>
    <row r="1027" spans="1:12" x14ac:dyDescent="0.2">
      <c r="A1027" s="3">
        <v>40260</v>
      </c>
      <c r="B1027" s="2">
        <v>1963.2</v>
      </c>
      <c r="C1027" s="2">
        <v>1964.14</v>
      </c>
      <c r="D1027" s="2">
        <v>1943.25</v>
      </c>
      <c r="E1027" s="2">
        <v>3390147831081</v>
      </c>
      <c r="F1027" s="2">
        <v>0</v>
      </c>
      <c r="G1027">
        <v>1191.29</v>
      </c>
      <c r="H1027">
        <v>1192.51</v>
      </c>
      <c r="I1027">
        <v>1177.57</v>
      </c>
      <c r="J1027">
        <v>3899963241</v>
      </c>
      <c r="K1027">
        <v>0</v>
      </c>
      <c r="L1027" s="2">
        <f>VLOOKUP(A1027,[1]aaabonddata!$A:$B,2,0)</f>
        <v>3.45</v>
      </c>
    </row>
    <row r="1028" spans="1:12" x14ac:dyDescent="0.2">
      <c r="A1028" s="3">
        <v>40261</v>
      </c>
      <c r="B1028" s="2">
        <v>1951.84</v>
      </c>
      <c r="C1028" s="2">
        <v>1958.6</v>
      </c>
      <c r="D1028" s="2">
        <v>1948.85</v>
      </c>
      <c r="E1028" s="2">
        <v>3370527747799</v>
      </c>
      <c r="F1028" s="2">
        <v>95473951</v>
      </c>
      <c r="G1028">
        <v>1180.74</v>
      </c>
      <c r="H1028">
        <v>1188.04</v>
      </c>
      <c r="I1028">
        <v>1179.6400000000001</v>
      </c>
      <c r="J1028">
        <v>3865434517</v>
      </c>
      <c r="K1028">
        <v>0</v>
      </c>
      <c r="L1028" s="2">
        <f>VLOOKUP(A1028,[1]aaabonddata!$A:$B,2,0)</f>
        <v>3.54</v>
      </c>
    </row>
    <row r="1029" spans="1:12" x14ac:dyDescent="0.2">
      <c r="A1029" s="3">
        <v>40262</v>
      </c>
      <c r="B1029" s="2">
        <v>1949.15</v>
      </c>
      <c r="C1029" s="2">
        <v>1976.38</v>
      </c>
      <c r="D1029" s="2">
        <v>1948.5</v>
      </c>
      <c r="E1029" s="2">
        <v>3365891079564</v>
      </c>
      <c r="F1029" s="2">
        <v>0</v>
      </c>
      <c r="G1029">
        <v>1176.8499999999999</v>
      </c>
      <c r="H1029">
        <v>1195.8699999999999</v>
      </c>
      <c r="I1029">
        <v>1176.45</v>
      </c>
      <c r="J1029">
        <v>3852717851</v>
      </c>
      <c r="K1029">
        <v>0</v>
      </c>
      <c r="L1029" s="2">
        <f>VLOOKUP(A1029,[1]aaabonddata!$A:$B,2,0)</f>
        <v>3.57</v>
      </c>
    </row>
    <row r="1030" spans="1:12" x14ac:dyDescent="0.2">
      <c r="A1030" s="3">
        <v>40263</v>
      </c>
      <c r="B1030" s="2">
        <v>1952.63</v>
      </c>
      <c r="C1030" s="2">
        <v>1965.52</v>
      </c>
      <c r="D1030" s="2">
        <v>1942.21</v>
      </c>
      <c r="E1030" s="2">
        <v>3371894638750</v>
      </c>
      <c r="F1030" s="2">
        <v>0</v>
      </c>
      <c r="G1030">
        <v>1173.03</v>
      </c>
      <c r="H1030">
        <v>1183.54</v>
      </c>
      <c r="I1030">
        <v>1166.9000000000001</v>
      </c>
      <c r="J1030">
        <v>3840213021</v>
      </c>
      <c r="K1030">
        <v>0</v>
      </c>
      <c r="L1030" s="2">
        <f>VLOOKUP(A1030,[1]aaabonddata!$A:$B,2,0)</f>
        <v>3.51</v>
      </c>
    </row>
    <row r="1031" spans="1:12" x14ac:dyDescent="0.2">
      <c r="A1031" s="3">
        <v>40266</v>
      </c>
      <c r="B1031" s="2">
        <v>1961.22</v>
      </c>
      <c r="C1031" s="2">
        <v>1968.43</v>
      </c>
      <c r="D1031" s="2">
        <v>1956.6</v>
      </c>
      <c r="E1031" s="2">
        <v>3386727237680</v>
      </c>
      <c r="F1031" s="2">
        <v>0</v>
      </c>
      <c r="G1031">
        <v>1176.3699999999999</v>
      </c>
      <c r="H1031">
        <v>1182.05</v>
      </c>
      <c r="I1031">
        <v>1173.3499999999999</v>
      </c>
      <c r="J1031">
        <v>3851132031</v>
      </c>
      <c r="K1031">
        <v>0</v>
      </c>
      <c r="L1031" s="2">
        <f>VLOOKUP(A1031,[1]aaabonddata!$A:$B,2,0)</f>
        <v>3.54</v>
      </c>
    </row>
    <row r="1032" spans="1:12" x14ac:dyDescent="0.2">
      <c r="A1032" s="3">
        <v>40267</v>
      </c>
      <c r="B1032" s="2">
        <v>1967.96</v>
      </c>
      <c r="C1032" s="2">
        <v>1974.47</v>
      </c>
      <c r="D1032" s="2">
        <v>1955.22</v>
      </c>
      <c r="E1032" s="2">
        <v>3398376051058</v>
      </c>
      <c r="F1032" s="2">
        <v>22061922</v>
      </c>
      <c r="G1032">
        <v>1178.24</v>
      </c>
      <c r="H1032">
        <v>1182.8499999999999</v>
      </c>
      <c r="I1032">
        <v>1167.92</v>
      </c>
      <c r="J1032">
        <v>3857246984</v>
      </c>
      <c r="K1032">
        <v>0</v>
      </c>
      <c r="L1032" s="2">
        <f>VLOOKUP(A1032,[1]aaabonddata!$A:$B,2,0)</f>
        <v>3.54</v>
      </c>
    </row>
    <row r="1033" spans="1:12" x14ac:dyDescent="0.2">
      <c r="A1033" s="3">
        <v>40268</v>
      </c>
      <c r="B1033" s="2">
        <v>1958.34</v>
      </c>
      <c r="C1033" s="2">
        <v>1969.9</v>
      </c>
      <c r="D1033" s="2">
        <v>1955.15</v>
      </c>
      <c r="E1033" s="2">
        <v>3381761890229</v>
      </c>
      <c r="F1033" s="2">
        <v>0</v>
      </c>
      <c r="G1033">
        <v>1172.6300000000001</v>
      </c>
      <c r="H1033">
        <v>1181.75</v>
      </c>
      <c r="I1033">
        <v>1169.96</v>
      </c>
      <c r="J1033">
        <v>3838895333</v>
      </c>
      <c r="K1033">
        <v>0</v>
      </c>
      <c r="L1033" s="2">
        <f>VLOOKUP(A1033,[1]aaabonddata!$A:$B,2,0)</f>
        <v>3.5</v>
      </c>
    </row>
    <row r="1034" spans="1:12" x14ac:dyDescent="0.2">
      <c r="A1034" s="3">
        <v>40269</v>
      </c>
      <c r="B1034" s="2">
        <v>1959.56</v>
      </c>
      <c r="C1034" s="2">
        <v>1979.49</v>
      </c>
      <c r="D1034" s="2">
        <v>1943.97</v>
      </c>
      <c r="E1034" s="2">
        <v>3383871207225</v>
      </c>
      <c r="F1034" s="2">
        <v>0</v>
      </c>
      <c r="G1034">
        <v>1172.55</v>
      </c>
      <c r="H1034">
        <v>1189.21</v>
      </c>
      <c r="I1034">
        <v>1163.1099999999999</v>
      </c>
      <c r="J1034">
        <v>3838633271</v>
      </c>
      <c r="K1034">
        <v>0</v>
      </c>
      <c r="L1034" s="2">
        <f>VLOOKUP(A1034,[1]aaabonddata!$A:$B,2,0)</f>
        <v>3.52</v>
      </c>
    </row>
    <row r="1035" spans="1:12" x14ac:dyDescent="0.2">
      <c r="A1035" s="3">
        <v>40273</v>
      </c>
      <c r="B1035" s="2">
        <v>1977.83</v>
      </c>
      <c r="C1035" s="2">
        <v>1981.07</v>
      </c>
      <c r="D1035" s="2">
        <v>1958.01</v>
      </c>
      <c r="E1035" s="2">
        <v>3415409383854</v>
      </c>
      <c r="F1035" s="2">
        <v>450599457</v>
      </c>
      <c r="G1035">
        <v>1191.27</v>
      </c>
      <c r="H1035">
        <v>1192.54</v>
      </c>
      <c r="I1035">
        <v>1174.98</v>
      </c>
      <c r="J1035">
        <v>3899919848</v>
      </c>
      <c r="K1035">
        <v>0</v>
      </c>
      <c r="L1035" s="2">
        <f>VLOOKUP(A1035,[1]aaabonddata!$A:$B,2,0)</f>
        <v>3.66</v>
      </c>
    </row>
    <row r="1036" spans="1:12" x14ac:dyDescent="0.2">
      <c r="A1036" s="3">
        <v>40274</v>
      </c>
      <c r="B1036" s="2">
        <v>1981.95</v>
      </c>
      <c r="C1036" s="2">
        <v>1988.04</v>
      </c>
      <c r="D1036" s="2">
        <v>1968.17</v>
      </c>
      <c r="E1036" s="2">
        <v>3422533474134</v>
      </c>
      <c r="F1036" s="2">
        <v>0</v>
      </c>
      <c r="G1036">
        <v>1195.6500000000001</v>
      </c>
      <c r="H1036">
        <v>1199.1199999999999</v>
      </c>
      <c r="I1036">
        <v>1182.6500000000001</v>
      </c>
      <c r="J1036">
        <v>3914236757</v>
      </c>
      <c r="K1036">
        <v>0</v>
      </c>
      <c r="L1036" s="2">
        <f>VLOOKUP(A1036,[1]aaabonddata!$A:$B,2,0)</f>
        <v>3.62</v>
      </c>
    </row>
    <row r="1037" spans="1:12" x14ac:dyDescent="0.2">
      <c r="A1037" s="3">
        <v>40275</v>
      </c>
      <c r="B1037" s="2">
        <v>1977.3</v>
      </c>
      <c r="C1037" s="2">
        <v>1987.34</v>
      </c>
      <c r="D1037" s="2">
        <v>1967.14</v>
      </c>
      <c r="E1037" s="2">
        <v>3414503126079</v>
      </c>
      <c r="F1037" s="2">
        <v>0</v>
      </c>
      <c r="G1037">
        <v>1190.5899999999999</v>
      </c>
      <c r="H1037">
        <v>1197.74</v>
      </c>
      <c r="I1037">
        <v>1184.53</v>
      </c>
      <c r="J1037">
        <v>3897692728</v>
      </c>
      <c r="K1037">
        <v>0</v>
      </c>
      <c r="L1037" s="2">
        <f>VLOOKUP(A1037,[1]aaabonddata!$A:$B,2,0)</f>
        <v>3.53</v>
      </c>
    </row>
    <row r="1038" spans="1:12" x14ac:dyDescent="0.2">
      <c r="A1038" s="3">
        <v>40276</v>
      </c>
      <c r="B1038" s="2">
        <v>1980.73</v>
      </c>
      <c r="C1038" s="2">
        <v>1984.9</v>
      </c>
      <c r="D1038" s="2">
        <v>1962.04</v>
      </c>
      <c r="E1038" s="2">
        <v>3420423783828</v>
      </c>
      <c r="F1038" s="2">
        <v>0</v>
      </c>
      <c r="G1038">
        <v>1188.44</v>
      </c>
      <c r="H1038">
        <v>1190.96</v>
      </c>
      <c r="I1038">
        <v>1176.1199999999999</v>
      </c>
      <c r="J1038">
        <v>3890647187</v>
      </c>
      <c r="K1038">
        <v>0</v>
      </c>
      <c r="L1038" s="2">
        <f>VLOOKUP(A1038,[1]aaabonddata!$A:$B,2,0)</f>
        <v>3.54</v>
      </c>
    </row>
    <row r="1039" spans="1:12" x14ac:dyDescent="0.2">
      <c r="A1039" s="3">
        <v>40277</v>
      </c>
      <c r="B1039" s="2">
        <v>1994.43</v>
      </c>
      <c r="C1039" s="2">
        <v>1994.48</v>
      </c>
      <c r="D1039" s="2">
        <v>1978.04</v>
      </c>
      <c r="E1039" s="2">
        <v>3444079102501</v>
      </c>
      <c r="F1039" s="2">
        <v>0</v>
      </c>
      <c r="G1039">
        <v>1202.1300000000001</v>
      </c>
      <c r="H1039">
        <v>1202.3399999999999</v>
      </c>
      <c r="I1039">
        <v>1187.6300000000001</v>
      </c>
      <c r="J1039">
        <v>3935476646</v>
      </c>
      <c r="K1039">
        <v>0</v>
      </c>
      <c r="L1039" s="2">
        <f>VLOOKUP(A1039,[1]aaabonddata!$A:$B,2,0)</f>
        <v>3.54</v>
      </c>
    </row>
    <row r="1040" spans="1:12" x14ac:dyDescent="0.2">
      <c r="A1040" s="3">
        <v>40280</v>
      </c>
      <c r="B1040" s="2">
        <v>1995.65</v>
      </c>
      <c r="C1040" s="2">
        <v>2000.56</v>
      </c>
      <c r="D1040" s="2">
        <v>1990.78</v>
      </c>
      <c r="E1040" s="2">
        <v>3446190002299</v>
      </c>
      <c r="F1040" s="2">
        <v>196245909</v>
      </c>
      <c r="G1040">
        <v>1205.92</v>
      </c>
      <c r="H1040">
        <v>1210.56</v>
      </c>
      <c r="I1040">
        <v>1199.21</v>
      </c>
      <c r="J1040">
        <v>3947865456</v>
      </c>
      <c r="K1040">
        <v>198491</v>
      </c>
      <c r="L1040" s="2">
        <f>VLOOKUP(A1040,[1]aaabonddata!$A:$B,2,0)</f>
        <v>3.5</v>
      </c>
    </row>
    <row r="1041" spans="1:12" x14ac:dyDescent="0.2">
      <c r="A1041" s="3">
        <v>40281</v>
      </c>
      <c r="B1041" s="2">
        <v>2003.81</v>
      </c>
      <c r="C1041" s="2">
        <v>2006.51</v>
      </c>
      <c r="D1041" s="2">
        <v>1986.83</v>
      </c>
      <c r="E1041" s="2">
        <v>3460276457497</v>
      </c>
      <c r="F1041" s="2">
        <v>523930983</v>
      </c>
      <c r="G1041">
        <v>1210.4000000000001</v>
      </c>
      <c r="H1041">
        <v>1212.17</v>
      </c>
      <c r="I1041">
        <v>1199.77</v>
      </c>
      <c r="J1041">
        <v>3962542384</v>
      </c>
      <c r="K1041">
        <v>0</v>
      </c>
      <c r="L1041" s="2">
        <f>VLOOKUP(A1041,[1]aaabonddata!$A:$B,2,0)</f>
        <v>3.49</v>
      </c>
    </row>
    <row r="1042" spans="1:12" x14ac:dyDescent="0.2">
      <c r="A1042" s="3">
        <v>40282</v>
      </c>
      <c r="B1042" s="2">
        <v>2028.82</v>
      </c>
      <c r="C1042" s="2">
        <v>2029.06</v>
      </c>
      <c r="D1042" s="2">
        <v>2012.98</v>
      </c>
      <c r="E1042" s="2">
        <v>3503460518909</v>
      </c>
      <c r="F1042" s="2">
        <v>0</v>
      </c>
      <c r="G1042">
        <v>1238.7</v>
      </c>
      <c r="H1042">
        <v>1239.83</v>
      </c>
      <c r="I1042">
        <v>1223.21</v>
      </c>
      <c r="J1042">
        <v>4055169585</v>
      </c>
      <c r="K1042">
        <v>0</v>
      </c>
      <c r="L1042" s="2">
        <f>VLOOKUP(A1042,[1]aaabonddata!$A:$B,2,0)</f>
        <v>3.5</v>
      </c>
    </row>
    <row r="1043" spans="1:12" x14ac:dyDescent="0.2">
      <c r="A1043" s="3">
        <v>40283</v>
      </c>
      <c r="B1043" s="2">
        <v>2038.64</v>
      </c>
      <c r="C1043" s="2">
        <v>2040.49</v>
      </c>
      <c r="D1043" s="2">
        <v>2027.52</v>
      </c>
      <c r="E1043" s="2">
        <v>3520429910091</v>
      </c>
      <c r="F1043" s="2">
        <v>0</v>
      </c>
      <c r="G1043">
        <v>1243.28</v>
      </c>
      <c r="H1043">
        <v>1247.3</v>
      </c>
      <c r="I1043">
        <v>1235.98</v>
      </c>
      <c r="J1043">
        <v>4070181640</v>
      </c>
      <c r="K1043">
        <v>0</v>
      </c>
      <c r="L1043" s="2">
        <f>VLOOKUP(A1043,[1]aaabonddata!$A:$B,2,0)</f>
        <v>3.48</v>
      </c>
    </row>
    <row r="1044" spans="1:12" x14ac:dyDescent="0.2">
      <c r="A1044" s="3">
        <v>40284</v>
      </c>
      <c r="B1044" s="2">
        <v>2012.84</v>
      </c>
      <c r="C1044" s="2">
        <v>2037.47</v>
      </c>
      <c r="D1044" s="2">
        <v>2000.77</v>
      </c>
      <c r="E1044" s="2">
        <v>3475875537183</v>
      </c>
      <c r="F1044" s="2">
        <v>0</v>
      </c>
      <c r="G1044">
        <v>1226.6500000000001</v>
      </c>
      <c r="H1044">
        <v>1238.82</v>
      </c>
      <c r="I1044">
        <v>1216.77</v>
      </c>
      <c r="J1044">
        <v>4015734860</v>
      </c>
      <c r="K1044">
        <v>0</v>
      </c>
      <c r="L1044" s="2">
        <f>VLOOKUP(A1044,[1]aaabonddata!$A:$B,2,0)</f>
        <v>3.39</v>
      </c>
    </row>
    <row r="1045" spans="1:12" x14ac:dyDescent="0.2">
      <c r="A1045" s="3">
        <v>40287</v>
      </c>
      <c r="B1045" s="2">
        <v>2013.53</v>
      </c>
      <c r="C1045" s="2">
        <v>2018.93</v>
      </c>
      <c r="D1045" s="2">
        <v>1988.37</v>
      </c>
      <c r="E1045" s="2">
        <v>3477053499071</v>
      </c>
      <c r="F1045" s="2">
        <v>0</v>
      </c>
      <c r="G1045">
        <v>1220.8900000000001</v>
      </c>
      <c r="H1045">
        <v>1226.93</v>
      </c>
      <c r="I1045">
        <v>1204.48</v>
      </c>
      <c r="J1045">
        <v>3996877127</v>
      </c>
      <c r="K1045">
        <v>0</v>
      </c>
      <c r="L1045" s="2">
        <f>VLOOKUP(A1045,[1]aaabonddata!$A:$B,2,0)</f>
        <v>3.42</v>
      </c>
    </row>
    <row r="1046" spans="1:12" x14ac:dyDescent="0.2">
      <c r="A1046" s="3">
        <v>40288</v>
      </c>
      <c r="B1046" s="2">
        <v>2023.6</v>
      </c>
      <c r="C1046" s="2">
        <v>2027.44</v>
      </c>
      <c r="D1046" s="2">
        <v>2009.55</v>
      </c>
      <c r="E1046" s="2">
        <v>3494441661706</v>
      </c>
      <c r="F1046" s="2">
        <v>0</v>
      </c>
      <c r="G1046">
        <v>1236.79</v>
      </c>
      <c r="H1046">
        <v>1237.74</v>
      </c>
      <c r="I1046">
        <v>1223.56</v>
      </c>
      <c r="J1046">
        <v>4048926962</v>
      </c>
      <c r="K1046">
        <v>0</v>
      </c>
      <c r="L1046" s="2">
        <f>VLOOKUP(A1046,[1]aaabonddata!$A:$B,2,0)</f>
        <v>3.42</v>
      </c>
    </row>
    <row r="1047" spans="1:12" x14ac:dyDescent="0.2">
      <c r="A1047" s="3">
        <v>40289</v>
      </c>
      <c r="B1047" s="2">
        <v>2034.53</v>
      </c>
      <c r="C1047" s="2">
        <v>2040.83</v>
      </c>
      <c r="D1047" s="2">
        <v>2021.72</v>
      </c>
      <c r="E1047" s="2">
        <v>3515152196357</v>
      </c>
      <c r="F1047" s="2">
        <v>0</v>
      </c>
      <c r="G1047">
        <v>1234.17</v>
      </c>
      <c r="H1047">
        <v>1244.02</v>
      </c>
      <c r="I1047">
        <v>1223.49</v>
      </c>
      <c r="J1047">
        <v>4040345923</v>
      </c>
      <c r="K1047">
        <v>0</v>
      </c>
      <c r="L1047" s="2">
        <f>VLOOKUP(A1047,[1]aaabonddata!$A:$B,2,0)</f>
        <v>3.38</v>
      </c>
    </row>
    <row r="1048" spans="1:12" x14ac:dyDescent="0.2">
      <c r="A1048" s="3">
        <v>40290</v>
      </c>
      <c r="B1048" s="2">
        <v>2045.16</v>
      </c>
      <c r="C1048" s="2">
        <v>2047.11</v>
      </c>
      <c r="D1048" s="2">
        <v>2002.97</v>
      </c>
      <c r="E1048" s="2">
        <v>3533503144915</v>
      </c>
      <c r="F1048" s="2">
        <v>0</v>
      </c>
      <c r="G1048">
        <v>1246.18</v>
      </c>
      <c r="H1048">
        <v>1247.8499999999999</v>
      </c>
      <c r="I1048">
        <v>1211.04</v>
      </c>
      <c r="J1048">
        <v>4079660009</v>
      </c>
      <c r="K1048">
        <v>0</v>
      </c>
      <c r="L1048" s="2">
        <f>VLOOKUP(A1048,[1]aaabonddata!$A:$B,2,0)</f>
        <v>3.4</v>
      </c>
    </row>
    <row r="1049" spans="1:12" x14ac:dyDescent="0.2">
      <c r="A1049" s="3">
        <v>40291</v>
      </c>
      <c r="B1049" s="2">
        <v>2055.33</v>
      </c>
      <c r="C1049" s="2">
        <v>2055.63</v>
      </c>
      <c r="D1049" s="2">
        <v>2036.99</v>
      </c>
      <c r="E1049" s="2">
        <v>3551085227192</v>
      </c>
      <c r="F1049" s="2">
        <v>0</v>
      </c>
      <c r="G1049">
        <v>1254.03</v>
      </c>
      <c r="H1049">
        <v>1254.5999999999999</v>
      </c>
      <c r="I1049">
        <v>1238.73</v>
      </c>
      <c r="J1049">
        <v>4105376336</v>
      </c>
      <c r="K1049">
        <v>0</v>
      </c>
      <c r="L1049" s="2">
        <f>VLOOKUP(A1049,[1]aaabonddata!$A:$B,2,0)</f>
        <v>3.45</v>
      </c>
    </row>
    <row r="1050" spans="1:12" x14ac:dyDescent="0.2">
      <c r="A1050" s="3">
        <v>40294</v>
      </c>
      <c r="B1050" s="2">
        <v>2049.09</v>
      </c>
      <c r="C1050" s="2">
        <v>2059.42</v>
      </c>
      <c r="D1050" s="2">
        <v>2045.64</v>
      </c>
      <c r="E1050" s="2">
        <v>3540307765658</v>
      </c>
      <c r="F1050" s="2">
        <v>0</v>
      </c>
      <c r="G1050">
        <v>1249.93</v>
      </c>
      <c r="H1050">
        <v>1258.07</v>
      </c>
      <c r="I1050">
        <v>1246.06</v>
      </c>
      <c r="J1050">
        <v>4091936630</v>
      </c>
      <c r="K1050">
        <v>0</v>
      </c>
      <c r="L1050" s="2">
        <f>VLOOKUP(A1050,[1]aaabonddata!$A:$B,2,0)</f>
        <v>3.42</v>
      </c>
    </row>
    <row r="1051" spans="1:12" x14ac:dyDescent="0.2">
      <c r="A1051" s="3">
        <v>40295</v>
      </c>
      <c r="B1051" s="2">
        <v>2006.25</v>
      </c>
      <c r="C1051" s="2">
        <v>2049.9</v>
      </c>
      <c r="D1051" s="2">
        <v>2001.02</v>
      </c>
      <c r="E1051" s="2">
        <v>3466277076498</v>
      </c>
      <c r="F1051" s="2">
        <v>0</v>
      </c>
      <c r="G1051">
        <v>1219.67</v>
      </c>
      <c r="H1051">
        <v>1250.08</v>
      </c>
      <c r="I1051">
        <v>1217.24</v>
      </c>
      <c r="J1051">
        <v>3992894852</v>
      </c>
      <c r="K1051">
        <v>0</v>
      </c>
      <c r="L1051" s="2">
        <f>VLOOKUP(A1051,[1]aaabonddata!$A:$B,2,0)</f>
        <v>3.3</v>
      </c>
    </row>
    <row r="1052" spans="1:12" x14ac:dyDescent="0.2">
      <c r="A1052" s="3">
        <v>40296</v>
      </c>
      <c r="B1052" s="2">
        <v>2007.59</v>
      </c>
      <c r="C1052" s="2">
        <v>2017.92</v>
      </c>
      <c r="D1052" s="2">
        <v>1991.95</v>
      </c>
      <c r="E1052" s="2">
        <v>3468602290069</v>
      </c>
      <c r="F1052" s="2">
        <v>0</v>
      </c>
      <c r="G1052">
        <v>1224.5899999999999</v>
      </c>
      <c r="H1052">
        <v>1230.3900000000001</v>
      </c>
      <c r="I1052">
        <v>1212.03</v>
      </c>
      <c r="J1052">
        <v>4008989216</v>
      </c>
      <c r="K1052">
        <v>0</v>
      </c>
      <c r="L1052" s="2">
        <f>VLOOKUP(A1052,[1]aaabonddata!$A:$B,2,0)</f>
        <v>3.38</v>
      </c>
    </row>
    <row r="1053" spans="1:12" x14ac:dyDescent="0.2">
      <c r="A1053" s="3">
        <v>40297</v>
      </c>
      <c r="B1053" s="2">
        <v>2042.89</v>
      </c>
      <c r="C1053" s="2">
        <v>2045.86</v>
      </c>
      <c r="D1053" s="2">
        <v>2019.32</v>
      </c>
      <c r="E1053" s="2">
        <v>3529592247840</v>
      </c>
      <c r="F1053" s="2">
        <v>199650018</v>
      </c>
      <c r="G1053">
        <v>1238.8</v>
      </c>
      <c r="H1053">
        <v>1240.04</v>
      </c>
      <c r="I1053">
        <v>1225.3800000000001</v>
      </c>
      <c r="J1053">
        <v>4055513037</v>
      </c>
      <c r="K1053">
        <v>0</v>
      </c>
      <c r="L1053" s="2">
        <f>VLOOKUP(A1053,[1]aaabonddata!$A:$B,2,0)</f>
        <v>3.33</v>
      </c>
    </row>
    <row r="1054" spans="1:12" x14ac:dyDescent="0.2">
      <c r="A1054" s="3">
        <v>40298</v>
      </c>
      <c r="B1054" s="2">
        <v>2000.63</v>
      </c>
      <c r="C1054" s="2">
        <v>2044.39</v>
      </c>
      <c r="D1054" s="2">
        <v>2000.26</v>
      </c>
      <c r="E1054" s="2">
        <v>3456581267174</v>
      </c>
      <c r="F1054" s="2">
        <v>0</v>
      </c>
      <c r="G1054">
        <v>1205.67</v>
      </c>
      <c r="H1054">
        <v>1236.18</v>
      </c>
      <c r="I1054">
        <v>1205.32</v>
      </c>
      <c r="J1054">
        <v>3947065305</v>
      </c>
      <c r="K1054">
        <v>0</v>
      </c>
      <c r="L1054" s="2">
        <f>VLOOKUP(A1054,[1]aaabonddata!$A:$B,2,0)</f>
        <v>3.28</v>
      </c>
    </row>
    <row r="1055" spans="1:12" x14ac:dyDescent="0.2">
      <c r="A1055" s="3">
        <v>40301</v>
      </c>
      <c r="B1055" s="2">
        <v>2031.6</v>
      </c>
      <c r="C1055" s="2">
        <v>2039.52</v>
      </c>
      <c r="D1055" s="2">
        <v>2010.91</v>
      </c>
      <c r="E1055" s="2">
        <v>3510074415005</v>
      </c>
      <c r="F1055" s="2">
        <v>0</v>
      </c>
      <c r="G1055">
        <v>1226.3399999999999</v>
      </c>
      <c r="H1055">
        <v>1230.25</v>
      </c>
      <c r="I1055">
        <v>1211.25</v>
      </c>
      <c r="J1055">
        <v>4014706816</v>
      </c>
      <c r="K1055">
        <v>0</v>
      </c>
      <c r="L1055" s="2">
        <f>VLOOKUP(A1055,[1]aaabonddata!$A:$B,2,0)</f>
        <v>3.33</v>
      </c>
    </row>
    <row r="1056" spans="1:12" x14ac:dyDescent="0.2">
      <c r="A1056" s="3">
        <v>40302</v>
      </c>
      <c r="B1056" s="2">
        <v>1968.97</v>
      </c>
      <c r="C1056" s="2">
        <v>2003.59</v>
      </c>
      <c r="D1056" s="2">
        <v>1955.39</v>
      </c>
      <c r="E1056" s="2">
        <v>3401876854905</v>
      </c>
      <c r="F1056" s="2">
        <v>0</v>
      </c>
      <c r="G1056">
        <v>1184.31</v>
      </c>
      <c r="H1056">
        <v>1209.99</v>
      </c>
      <c r="I1056">
        <v>1173.6500000000001</v>
      </c>
      <c r="J1056">
        <v>3877114921</v>
      </c>
      <c r="K1056">
        <v>0</v>
      </c>
      <c r="L1056" s="2">
        <f>VLOOKUP(A1056,[1]aaabonddata!$A:$B,2,0)</f>
        <v>3.26</v>
      </c>
    </row>
    <row r="1057" spans="1:12" x14ac:dyDescent="0.2">
      <c r="A1057" s="3">
        <v>40303</v>
      </c>
      <c r="B1057" s="2">
        <v>1958.26</v>
      </c>
      <c r="C1057" s="2">
        <v>1971.1</v>
      </c>
      <c r="D1057" s="2">
        <v>1936.56</v>
      </c>
      <c r="E1057" s="2">
        <v>3383367137366</v>
      </c>
      <c r="F1057" s="2">
        <v>661379292</v>
      </c>
      <c r="G1057">
        <v>1175.4100000000001</v>
      </c>
      <c r="H1057">
        <v>1188.8900000000001</v>
      </c>
      <c r="I1057">
        <v>1166.77</v>
      </c>
      <c r="J1057">
        <v>3847988534</v>
      </c>
      <c r="K1057">
        <v>715583</v>
      </c>
      <c r="L1057" s="2">
        <f>VLOOKUP(A1057,[1]aaabonddata!$A:$B,2,0)</f>
        <v>3.2</v>
      </c>
    </row>
    <row r="1058" spans="1:12" x14ac:dyDescent="0.2">
      <c r="A1058" s="3">
        <v>40304</v>
      </c>
      <c r="B1058" s="2">
        <v>1893.75</v>
      </c>
      <c r="C1058" s="2">
        <v>1964.1</v>
      </c>
      <c r="D1058" s="2">
        <v>1752.31</v>
      </c>
      <c r="E1058" s="2">
        <v>3271909800681</v>
      </c>
      <c r="F1058" s="2">
        <v>39283838</v>
      </c>
      <c r="G1058">
        <v>1139.3</v>
      </c>
      <c r="H1058">
        <v>1182.5999999999999</v>
      </c>
      <c r="I1058">
        <v>1069.53</v>
      </c>
      <c r="J1058">
        <v>3729759386</v>
      </c>
      <c r="K1058">
        <v>202757</v>
      </c>
      <c r="L1058" s="2">
        <f>VLOOKUP(A1058,[1]aaabonddata!$A:$B,2,0)</f>
        <v>3.08</v>
      </c>
    </row>
    <row r="1059" spans="1:12" x14ac:dyDescent="0.2">
      <c r="A1059" s="3">
        <v>40305</v>
      </c>
      <c r="B1059" s="2">
        <v>1849.44</v>
      </c>
      <c r="C1059" s="2">
        <v>1901.89</v>
      </c>
      <c r="D1059" s="2">
        <v>1808.07</v>
      </c>
      <c r="E1059" s="2">
        <v>3195362106315</v>
      </c>
      <c r="F1059" s="2">
        <v>0</v>
      </c>
      <c r="G1059">
        <v>1114.24</v>
      </c>
      <c r="H1059">
        <v>1144</v>
      </c>
      <c r="I1059">
        <v>1086.82</v>
      </c>
      <c r="J1059">
        <v>3647720699</v>
      </c>
      <c r="K1059">
        <v>0</v>
      </c>
      <c r="L1059" s="2">
        <f>VLOOKUP(A1059,[1]aaabonddata!$A:$B,2,0)</f>
        <v>3.15</v>
      </c>
    </row>
    <row r="1060" spans="1:12" x14ac:dyDescent="0.2">
      <c r="A1060" s="3">
        <v>40308</v>
      </c>
      <c r="B1060" s="2">
        <v>1942.61</v>
      </c>
      <c r="C1060" s="2">
        <v>1942.64</v>
      </c>
      <c r="D1060" s="2">
        <v>1923.52</v>
      </c>
      <c r="E1060" s="2">
        <v>3356336316875</v>
      </c>
      <c r="F1060" s="2">
        <v>299625575</v>
      </c>
      <c r="G1060">
        <v>1173.52</v>
      </c>
      <c r="H1060">
        <v>1173.52</v>
      </c>
      <c r="I1060">
        <v>1160.04</v>
      </c>
      <c r="J1060">
        <v>3841796622</v>
      </c>
      <c r="K1060">
        <v>0</v>
      </c>
      <c r="L1060" s="2">
        <f>VLOOKUP(A1060,[1]aaabonddata!$A:$B,2,0)</f>
        <v>3.21</v>
      </c>
    </row>
    <row r="1061" spans="1:12" x14ac:dyDescent="0.2">
      <c r="A1061" s="3">
        <v>40309</v>
      </c>
      <c r="B1061" s="2">
        <v>1940.48</v>
      </c>
      <c r="C1061" s="2">
        <v>1966.48</v>
      </c>
      <c r="D1061" s="2">
        <v>1918.12</v>
      </c>
      <c r="E1061" s="2">
        <v>3352655950130</v>
      </c>
      <c r="F1061" s="2">
        <v>0</v>
      </c>
      <c r="G1061">
        <v>1171.06</v>
      </c>
      <c r="H1061">
        <v>1189.02</v>
      </c>
      <c r="I1061">
        <v>1156.43</v>
      </c>
      <c r="J1061">
        <v>3833747061</v>
      </c>
      <c r="K1061">
        <v>0</v>
      </c>
      <c r="L1061" s="2">
        <f>VLOOKUP(A1061,[1]aaabonddata!$A:$B,2,0)</f>
        <v>3.21</v>
      </c>
    </row>
    <row r="1062" spans="1:12" x14ac:dyDescent="0.2">
      <c r="A1062" s="3">
        <v>40310</v>
      </c>
      <c r="B1062" s="2">
        <v>1975.58</v>
      </c>
      <c r="C1062" s="2">
        <v>1977.42</v>
      </c>
      <c r="D1062" s="2">
        <v>1947.2</v>
      </c>
      <c r="E1062" s="2">
        <v>3414943224497</v>
      </c>
      <c r="F1062" s="2">
        <v>157734505</v>
      </c>
      <c r="G1062">
        <v>1199.23</v>
      </c>
      <c r="H1062">
        <v>1200.1199999999999</v>
      </c>
      <c r="I1062">
        <v>1175.76</v>
      </c>
      <c r="J1062">
        <v>3925964773</v>
      </c>
      <c r="K1062">
        <v>811001</v>
      </c>
      <c r="L1062" s="2">
        <f>VLOOKUP(A1062,[1]aaabonddata!$A:$B,2,0)</f>
        <v>3.23</v>
      </c>
    </row>
    <row r="1063" spans="1:12" x14ac:dyDescent="0.2">
      <c r="A1063" s="3">
        <v>40311</v>
      </c>
      <c r="B1063" s="2">
        <v>1945.52</v>
      </c>
      <c r="C1063" s="2">
        <v>1983.13</v>
      </c>
      <c r="D1063" s="2">
        <v>1940.44</v>
      </c>
      <c r="E1063" s="2">
        <v>3362978170722</v>
      </c>
      <c r="F1063" s="2">
        <v>58753421</v>
      </c>
      <c r="G1063">
        <v>1177.93</v>
      </c>
      <c r="H1063">
        <v>1206.47</v>
      </c>
      <c r="I1063">
        <v>1174.47</v>
      </c>
      <c r="J1063">
        <v>3856239622</v>
      </c>
      <c r="K1063">
        <v>521014</v>
      </c>
      <c r="L1063" s="2">
        <f>VLOOKUP(A1063,[1]aaabonddata!$A:$B,2,0)</f>
        <v>3.2</v>
      </c>
    </row>
    <row r="1064" spans="1:12" x14ac:dyDescent="0.2">
      <c r="A1064" s="3">
        <v>40312</v>
      </c>
      <c r="B1064" s="2">
        <v>1907.1</v>
      </c>
      <c r="C1064" s="2">
        <v>1929.91</v>
      </c>
      <c r="D1064" s="2">
        <v>1885.51</v>
      </c>
      <c r="E1064" s="2">
        <v>3296566265156</v>
      </c>
      <c r="F1064" s="2">
        <v>0</v>
      </c>
      <c r="G1064">
        <v>1148.55</v>
      </c>
      <c r="H1064">
        <v>1164.25</v>
      </c>
      <c r="I1064">
        <v>1131.3800000000001</v>
      </c>
      <c r="J1064">
        <v>3760065783</v>
      </c>
      <c r="K1064">
        <v>0</v>
      </c>
      <c r="L1064" s="2">
        <f>VLOOKUP(A1064,[1]aaabonddata!$A:$B,2,0)</f>
        <v>3.1</v>
      </c>
    </row>
    <row r="1065" spans="1:12" x14ac:dyDescent="0.2">
      <c r="A1065" s="3">
        <v>40315</v>
      </c>
      <c r="B1065" s="2">
        <v>1915.45</v>
      </c>
      <c r="C1065" s="2">
        <v>1920.75</v>
      </c>
      <c r="D1065" s="2">
        <v>1872.92</v>
      </c>
      <c r="E1065" s="2">
        <v>3311003388166</v>
      </c>
      <c r="F1065" s="2">
        <v>277707952</v>
      </c>
      <c r="G1065">
        <v>1155.57</v>
      </c>
      <c r="H1065">
        <v>1158.1500000000001</v>
      </c>
      <c r="I1065">
        <v>1127.29</v>
      </c>
      <c r="J1065">
        <v>3783029257</v>
      </c>
      <c r="K1065">
        <v>1812122</v>
      </c>
      <c r="L1065" s="2">
        <f>VLOOKUP(A1065,[1]aaabonddata!$A:$B,2,0)</f>
        <v>3.11</v>
      </c>
    </row>
    <row r="1066" spans="1:12" x14ac:dyDescent="0.2">
      <c r="A1066" s="3">
        <v>40316</v>
      </c>
      <c r="B1066" s="2">
        <v>1887.06</v>
      </c>
      <c r="C1066" s="2">
        <v>1933.25</v>
      </c>
      <c r="D1066" s="2">
        <v>1878.55</v>
      </c>
      <c r="E1066" s="2">
        <v>3261928729327</v>
      </c>
      <c r="F1066" s="2">
        <v>737085936</v>
      </c>
      <c r="G1066">
        <v>1135.48</v>
      </c>
      <c r="H1066">
        <v>1167.6500000000001</v>
      </c>
      <c r="I1066">
        <v>1129.9100000000001</v>
      </c>
      <c r="J1066">
        <v>3717266019</v>
      </c>
      <c r="K1066">
        <v>439040</v>
      </c>
      <c r="L1066" s="2">
        <f>VLOOKUP(A1066,[1]aaabonddata!$A:$B,2,0)</f>
        <v>3.05</v>
      </c>
    </row>
    <row r="1067" spans="1:12" x14ac:dyDescent="0.2">
      <c r="A1067" s="3">
        <v>40317</v>
      </c>
      <c r="B1067" s="2">
        <v>1873.42</v>
      </c>
      <c r="C1067" s="2">
        <v>1894.41</v>
      </c>
      <c r="D1067" s="2">
        <v>1850.96</v>
      </c>
      <c r="E1067" s="2">
        <v>3238347550309</v>
      </c>
      <c r="F1067" s="2">
        <v>112679588</v>
      </c>
      <c r="G1067">
        <v>1130.82</v>
      </c>
      <c r="H1067">
        <v>1145.6400000000001</v>
      </c>
      <c r="I1067">
        <v>1114.46</v>
      </c>
      <c r="J1067">
        <v>3702022456</v>
      </c>
      <c r="K1067">
        <v>1044932</v>
      </c>
      <c r="L1067" s="2">
        <f>VLOOKUP(A1067,[1]aaabonddata!$A:$B,2,0)</f>
        <v>3.08</v>
      </c>
    </row>
    <row r="1068" spans="1:12" x14ac:dyDescent="0.2">
      <c r="A1068" s="3">
        <v>40318</v>
      </c>
      <c r="B1068" s="2">
        <v>1800.12</v>
      </c>
      <c r="C1068" s="2">
        <v>1839.99</v>
      </c>
      <c r="D1068" s="2">
        <v>1798.2</v>
      </c>
      <c r="E1068" s="2">
        <v>3111646797082</v>
      </c>
      <c r="F1068" s="2">
        <v>0</v>
      </c>
      <c r="G1068">
        <v>1090.77</v>
      </c>
      <c r="H1068">
        <v>1114.6500000000001</v>
      </c>
      <c r="I1068">
        <v>1084.3699999999999</v>
      </c>
      <c r="J1068">
        <v>3570905539</v>
      </c>
      <c r="K1068">
        <v>0</v>
      </c>
      <c r="L1068" s="2">
        <f>VLOOKUP(A1068,[1]aaabonddata!$A:$B,2,0)</f>
        <v>3.08</v>
      </c>
    </row>
    <row r="1069" spans="1:12" x14ac:dyDescent="0.2">
      <c r="A1069" s="3">
        <v>40319</v>
      </c>
      <c r="B1069" s="2">
        <v>1822.77</v>
      </c>
      <c r="C1069" s="2">
        <v>1834.69</v>
      </c>
      <c r="D1069" s="2">
        <v>1767.94</v>
      </c>
      <c r="E1069" s="2">
        <v>3150795359859</v>
      </c>
      <c r="F1069" s="2">
        <v>0</v>
      </c>
      <c r="G1069">
        <v>1109.31</v>
      </c>
      <c r="H1069">
        <v>1119.56</v>
      </c>
      <c r="I1069">
        <v>1071.17</v>
      </c>
      <c r="J1069">
        <v>3631590154</v>
      </c>
      <c r="K1069">
        <v>0</v>
      </c>
      <c r="L1069" s="2">
        <f>VLOOKUP(A1069,[1]aaabonddata!$A:$B,2,0)</f>
        <v>3.05</v>
      </c>
    </row>
    <row r="1070" spans="1:12" x14ac:dyDescent="0.2">
      <c r="A1070" s="3">
        <v>40322</v>
      </c>
      <c r="B1070" s="2">
        <v>1815.28</v>
      </c>
      <c r="C1070" s="2">
        <v>1841.11</v>
      </c>
      <c r="D1070" s="2">
        <v>1814.17</v>
      </c>
      <c r="E1070" s="2">
        <v>3137845430922</v>
      </c>
      <c r="F1070" s="2">
        <v>91331725</v>
      </c>
      <c r="G1070">
        <v>1096.01</v>
      </c>
      <c r="H1070">
        <v>1114.0899999999999</v>
      </c>
      <c r="I1070">
        <v>1095.0999999999999</v>
      </c>
      <c r="J1070">
        <v>3588054246</v>
      </c>
      <c r="K1070">
        <v>560000</v>
      </c>
      <c r="L1070" s="2">
        <f>VLOOKUP(A1070,[1]aaabonddata!$A:$B,2,0)</f>
        <v>3.07</v>
      </c>
    </row>
    <row r="1071" spans="1:12" x14ac:dyDescent="0.2">
      <c r="A1071" s="3">
        <v>40323</v>
      </c>
      <c r="B1071" s="2">
        <v>1815.68</v>
      </c>
      <c r="C1071" s="2">
        <v>1818.28</v>
      </c>
      <c r="D1071" s="2">
        <v>1756.63</v>
      </c>
      <c r="E1071" s="2">
        <v>3138530307531</v>
      </c>
      <c r="F1071" s="2">
        <v>37488270</v>
      </c>
      <c r="G1071">
        <v>1094.29</v>
      </c>
      <c r="H1071">
        <v>1094.96</v>
      </c>
      <c r="I1071">
        <v>1055.99</v>
      </c>
      <c r="J1071">
        <v>3582433843</v>
      </c>
      <c r="K1071">
        <v>0</v>
      </c>
      <c r="L1071" s="2">
        <f>VLOOKUP(A1071,[1]aaabonddata!$A:$B,2,0)</f>
        <v>3.05</v>
      </c>
    </row>
    <row r="1072" spans="1:12" x14ac:dyDescent="0.2">
      <c r="A1072" s="3">
        <v>40324</v>
      </c>
      <c r="B1072" s="2">
        <v>1796.47</v>
      </c>
      <c r="C1072" s="2">
        <v>1850.8</v>
      </c>
      <c r="D1072" s="2">
        <v>1793.03</v>
      </c>
      <c r="E1072" s="2">
        <v>3101966717272</v>
      </c>
      <c r="F1072" s="2">
        <v>1103433601</v>
      </c>
      <c r="G1072">
        <v>1085.93</v>
      </c>
      <c r="H1072">
        <v>1118.93</v>
      </c>
      <c r="I1072">
        <v>1084.2</v>
      </c>
      <c r="J1072">
        <v>3555048279</v>
      </c>
      <c r="K1072">
        <v>1171011</v>
      </c>
      <c r="L1072" s="2">
        <f>VLOOKUP(A1072,[1]aaabonddata!$A:$B,2,0)</f>
        <v>3.15</v>
      </c>
    </row>
    <row r="1073" spans="1:12" x14ac:dyDescent="0.2">
      <c r="A1073" s="3">
        <v>40325</v>
      </c>
      <c r="B1073" s="2">
        <v>1862.71</v>
      </c>
      <c r="C1073" s="2">
        <v>1863.87</v>
      </c>
      <c r="D1073" s="2">
        <v>1831.78</v>
      </c>
      <c r="E1073" s="2">
        <v>3216348687273</v>
      </c>
      <c r="F1073" s="2">
        <v>113386520</v>
      </c>
      <c r="G1073">
        <v>1135.8599999999999</v>
      </c>
      <c r="H1073">
        <v>1136.1099999999999</v>
      </c>
      <c r="I1073">
        <v>1112.3599999999999</v>
      </c>
      <c r="J1073">
        <v>3718510612</v>
      </c>
      <c r="K1073">
        <v>0</v>
      </c>
      <c r="L1073" s="2">
        <f>VLOOKUP(A1073,[1]aaabonddata!$A:$B,2,0)</f>
        <v>3.24</v>
      </c>
    </row>
    <row r="1074" spans="1:12" x14ac:dyDescent="0.2">
      <c r="A1074" s="3">
        <v>40326</v>
      </c>
      <c r="B1074" s="2">
        <v>1852.39</v>
      </c>
      <c r="C1074" s="2">
        <v>1867.72</v>
      </c>
      <c r="D1074" s="2">
        <v>1836.23</v>
      </c>
      <c r="E1074" s="2">
        <v>3198525579893</v>
      </c>
      <c r="F1074" s="2">
        <v>0</v>
      </c>
      <c r="G1074">
        <v>1125.4000000000001</v>
      </c>
      <c r="H1074">
        <v>1134.96</v>
      </c>
      <c r="I1074">
        <v>1113.94</v>
      </c>
      <c r="J1074">
        <v>3684264158</v>
      </c>
      <c r="K1074">
        <v>0</v>
      </c>
      <c r="L1074" s="2">
        <f>VLOOKUP(A1074,[1]aaabonddata!$A:$B,2,0)</f>
        <v>3.2</v>
      </c>
    </row>
    <row r="1075" spans="1:12" x14ac:dyDescent="0.2">
      <c r="A1075" s="3">
        <v>40330</v>
      </c>
      <c r="B1075" s="2">
        <v>1835.04</v>
      </c>
      <c r="C1075" s="2">
        <v>1878.04</v>
      </c>
      <c r="D1075" s="2">
        <v>1832.96</v>
      </c>
      <c r="E1075" s="2">
        <v>3168562083271</v>
      </c>
      <c r="F1075" s="2">
        <v>0</v>
      </c>
      <c r="G1075">
        <v>1106.8800000000001</v>
      </c>
      <c r="H1075">
        <v>1139.05</v>
      </c>
      <c r="I1075">
        <v>1105.6099999999999</v>
      </c>
      <c r="J1075">
        <v>3623633746</v>
      </c>
      <c r="K1075">
        <v>0</v>
      </c>
      <c r="L1075" s="2">
        <f>VLOOKUP(A1075,[1]aaabonddata!$A:$B,2,0)</f>
        <v>3.18</v>
      </c>
    </row>
    <row r="1076" spans="1:12" x14ac:dyDescent="0.2">
      <c r="A1076" s="3">
        <v>40331</v>
      </c>
      <c r="B1076" s="2">
        <v>1879.59</v>
      </c>
      <c r="C1076" s="2">
        <v>1879.59</v>
      </c>
      <c r="D1076" s="2">
        <v>1832.58</v>
      </c>
      <c r="E1076" s="2">
        <v>3245501683694</v>
      </c>
      <c r="F1076" s="2">
        <v>1140110862</v>
      </c>
      <c r="G1076">
        <v>1138.28</v>
      </c>
      <c r="H1076">
        <v>1138.29</v>
      </c>
      <c r="I1076">
        <v>1104.51</v>
      </c>
      <c r="J1076">
        <v>3726428870</v>
      </c>
      <c r="K1076">
        <v>237741</v>
      </c>
      <c r="L1076" s="2">
        <f>VLOOKUP(A1076,[1]aaabonddata!$A:$B,2,0)</f>
        <v>3.22</v>
      </c>
    </row>
    <row r="1077" spans="1:12" x14ac:dyDescent="0.2">
      <c r="A1077" s="3">
        <v>40332</v>
      </c>
      <c r="B1077" s="2">
        <v>1895.66</v>
      </c>
      <c r="C1077" s="2">
        <v>1898.93</v>
      </c>
      <c r="D1077" s="2">
        <v>1871.59</v>
      </c>
      <c r="E1077" s="2">
        <v>3273235204149</v>
      </c>
      <c r="F1077" s="2">
        <v>37654079</v>
      </c>
      <c r="G1077">
        <v>1155.03</v>
      </c>
      <c r="H1077">
        <v>1157.43</v>
      </c>
      <c r="I1077">
        <v>1137.3599999999999</v>
      </c>
      <c r="J1077">
        <v>3781272070</v>
      </c>
      <c r="K1077">
        <v>0</v>
      </c>
      <c r="L1077" s="2">
        <f>VLOOKUP(A1077,[1]aaabonddata!$A:$B,2,0)</f>
        <v>3.27</v>
      </c>
    </row>
    <row r="1078" spans="1:12" x14ac:dyDescent="0.2">
      <c r="A1078" s="3">
        <v>40333</v>
      </c>
      <c r="B1078" s="2">
        <v>1832.04</v>
      </c>
      <c r="C1078" s="2">
        <v>1879.31</v>
      </c>
      <c r="D1078" s="2">
        <v>1824.71</v>
      </c>
      <c r="E1078" s="2">
        <v>3163390245698</v>
      </c>
      <c r="F1078" s="2">
        <v>0</v>
      </c>
      <c r="G1078">
        <v>1111.79</v>
      </c>
      <c r="H1078">
        <v>1146.5</v>
      </c>
      <c r="I1078">
        <v>1107.3900000000001</v>
      </c>
      <c r="J1078">
        <v>3639720663</v>
      </c>
      <c r="K1078">
        <v>0</v>
      </c>
      <c r="L1078" s="2">
        <f>VLOOKUP(A1078,[1]aaabonddata!$A:$B,2,0)</f>
        <v>3.07</v>
      </c>
    </row>
    <row r="1079" spans="1:12" x14ac:dyDescent="0.2">
      <c r="A1079" s="3">
        <v>40336</v>
      </c>
      <c r="B1079" s="2">
        <v>1798.16</v>
      </c>
      <c r="C1079" s="2">
        <v>1845.3</v>
      </c>
      <c r="D1079" s="2">
        <v>1795.54</v>
      </c>
      <c r="E1079" s="2">
        <v>3104886579282</v>
      </c>
      <c r="F1079" s="2">
        <v>0</v>
      </c>
      <c r="G1079">
        <v>1082.3399999999999</v>
      </c>
      <c r="H1079">
        <v>1121.3599999999999</v>
      </c>
      <c r="I1079">
        <v>1079.98</v>
      </c>
      <c r="J1079">
        <v>3543317133</v>
      </c>
      <c r="K1079">
        <v>0</v>
      </c>
      <c r="L1079" s="2">
        <f>VLOOKUP(A1079,[1]aaabonddata!$A:$B,2,0)</f>
        <v>3.08</v>
      </c>
    </row>
    <row r="1080" spans="1:12" x14ac:dyDescent="0.2">
      <c r="A1080" s="3">
        <v>40337</v>
      </c>
      <c r="B1080" s="2">
        <v>1795.7</v>
      </c>
      <c r="C1080" s="2">
        <v>1805.84</v>
      </c>
      <c r="D1080" s="2">
        <v>1770.46</v>
      </c>
      <c r="E1080" s="2">
        <v>3100641697313</v>
      </c>
      <c r="F1080" s="2">
        <v>0</v>
      </c>
      <c r="G1080">
        <v>1081.6600000000001</v>
      </c>
      <c r="H1080">
        <v>1086.3599999999999</v>
      </c>
      <c r="I1080">
        <v>1062.57</v>
      </c>
      <c r="J1080">
        <v>3541066535</v>
      </c>
      <c r="K1080">
        <v>0</v>
      </c>
      <c r="L1080" s="2">
        <f>VLOOKUP(A1080,[1]aaabonddata!$A:$B,2,0)</f>
        <v>3.09</v>
      </c>
    </row>
    <row r="1081" spans="1:12" x14ac:dyDescent="0.2">
      <c r="A1081" s="3">
        <v>40338</v>
      </c>
      <c r="B1081" s="2">
        <v>1778.92</v>
      </c>
      <c r="C1081" s="2">
        <v>1823.21</v>
      </c>
      <c r="D1081" s="2">
        <v>1774.05</v>
      </c>
      <c r="E1081" s="2">
        <v>3071660062197</v>
      </c>
      <c r="F1081" s="2">
        <v>253166103</v>
      </c>
      <c r="G1081">
        <v>1073.92</v>
      </c>
      <c r="H1081">
        <v>1106.72</v>
      </c>
      <c r="I1081">
        <v>1070.53</v>
      </c>
      <c r="J1081">
        <v>3515739699</v>
      </c>
      <c r="K1081">
        <v>0</v>
      </c>
      <c r="L1081" s="2">
        <f>VLOOKUP(A1081,[1]aaabonddata!$A:$B,2,0)</f>
        <v>3.11</v>
      </c>
    </row>
    <row r="1082" spans="1:12" x14ac:dyDescent="0.2">
      <c r="A1082" s="3">
        <v>40339</v>
      </c>
      <c r="B1082" s="2">
        <v>1830.09</v>
      </c>
      <c r="C1082" s="2">
        <v>1831.81</v>
      </c>
      <c r="D1082" s="2">
        <v>1796.32</v>
      </c>
      <c r="E1082" s="2">
        <v>3160017378590</v>
      </c>
      <c r="F1082" s="2">
        <v>0</v>
      </c>
      <c r="G1082">
        <v>1107.47</v>
      </c>
      <c r="H1082">
        <v>1108.31</v>
      </c>
      <c r="I1082">
        <v>1088.33</v>
      </c>
      <c r="J1082">
        <v>3625573412</v>
      </c>
      <c r="K1082">
        <v>0</v>
      </c>
      <c r="L1082" s="2">
        <f>VLOOKUP(A1082,[1]aaabonddata!$A:$B,2,0)</f>
        <v>3.26</v>
      </c>
    </row>
    <row r="1083" spans="1:12" x14ac:dyDescent="0.2">
      <c r="A1083" s="3">
        <v>40340</v>
      </c>
      <c r="B1083" s="2">
        <v>1847.15</v>
      </c>
      <c r="C1083" s="2">
        <v>1848.62</v>
      </c>
      <c r="D1083" s="2">
        <v>1811.99</v>
      </c>
      <c r="E1083" s="2">
        <v>3189484425828</v>
      </c>
      <c r="F1083" s="2">
        <v>0</v>
      </c>
      <c r="G1083">
        <v>1119.07</v>
      </c>
      <c r="H1083">
        <v>1120.3499999999999</v>
      </c>
      <c r="I1083">
        <v>1094.6500000000001</v>
      </c>
      <c r="J1083">
        <v>3663553090</v>
      </c>
      <c r="K1083">
        <v>0</v>
      </c>
      <c r="L1083" s="2">
        <f>VLOOKUP(A1083,[1]aaabonddata!$A:$B,2,0)</f>
        <v>3.14</v>
      </c>
    </row>
    <row r="1084" spans="1:12" x14ac:dyDescent="0.2">
      <c r="A1084" s="3">
        <v>40343</v>
      </c>
      <c r="B1084" s="2">
        <v>1845.48</v>
      </c>
      <c r="C1084" s="2">
        <v>1876.94</v>
      </c>
      <c r="D1084" s="2">
        <v>1844.16</v>
      </c>
      <c r="E1084" s="2">
        <v>3186596376975</v>
      </c>
      <c r="F1084" s="2">
        <v>0</v>
      </c>
      <c r="G1084">
        <v>1120.1600000000001</v>
      </c>
      <c r="H1084">
        <v>1140.3800000000001</v>
      </c>
      <c r="I1084">
        <v>1118.9100000000001</v>
      </c>
      <c r="J1084">
        <v>3667098590</v>
      </c>
      <c r="K1084">
        <v>0</v>
      </c>
      <c r="L1084" s="2">
        <f>VLOOKUP(A1084,[1]aaabonddata!$A:$B,2,0)</f>
        <v>3.18</v>
      </c>
    </row>
    <row r="1085" spans="1:12" x14ac:dyDescent="0.2">
      <c r="A1085" s="3">
        <v>40344</v>
      </c>
      <c r="B1085" s="2">
        <v>1897.48</v>
      </c>
      <c r="C1085" s="2">
        <v>1898.79</v>
      </c>
      <c r="D1085" s="2">
        <v>1855.69</v>
      </c>
      <c r="E1085" s="2">
        <v>3276393391137</v>
      </c>
      <c r="F1085" s="2">
        <v>0</v>
      </c>
      <c r="G1085">
        <v>1162.71</v>
      </c>
      <c r="H1085">
        <v>1164.3399999999999</v>
      </c>
      <c r="I1085">
        <v>1127.3800000000001</v>
      </c>
      <c r="J1085">
        <v>3806420291</v>
      </c>
      <c r="K1085">
        <v>0</v>
      </c>
      <c r="L1085" s="2">
        <f>VLOOKUP(A1085,[1]aaabonddata!$A:$B,2,0)</f>
        <v>3.21</v>
      </c>
    </row>
    <row r="1086" spans="1:12" x14ac:dyDescent="0.2">
      <c r="A1086" s="3">
        <v>40345</v>
      </c>
      <c r="B1086" s="2">
        <v>1905.31</v>
      </c>
      <c r="C1086" s="2">
        <v>1913.21</v>
      </c>
      <c r="D1086" s="2">
        <v>1888.22</v>
      </c>
      <c r="E1086" s="2">
        <v>3289900616477</v>
      </c>
      <c r="F1086" s="2">
        <v>0</v>
      </c>
      <c r="G1086">
        <v>1164.52</v>
      </c>
      <c r="H1086">
        <v>1171.46</v>
      </c>
      <c r="I1086">
        <v>1152.1400000000001</v>
      </c>
      <c r="J1086">
        <v>3812351462</v>
      </c>
      <c r="K1086">
        <v>0</v>
      </c>
      <c r="L1086" s="2">
        <f>VLOOKUP(A1086,[1]aaabonddata!$A:$B,2,0)</f>
        <v>3.19</v>
      </c>
    </row>
    <row r="1087" spans="1:12" x14ac:dyDescent="0.2">
      <c r="A1087" s="3">
        <v>40346</v>
      </c>
      <c r="B1087" s="2">
        <v>1910.65</v>
      </c>
      <c r="C1087" s="2">
        <v>1916.24</v>
      </c>
      <c r="D1087" s="2">
        <v>1894.27</v>
      </c>
      <c r="E1087" s="2">
        <v>3299128594129</v>
      </c>
      <c r="F1087" s="2">
        <v>0</v>
      </c>
      <c r="G1087">
        <v>1167.79</v>
      </c>
      <c r="H1087">
        <v>1171.53</v>
      </c>
      <c r="I1087">
        <v>1153.24</v>
      </c>
      <c r="J1087">
        <v>3823031897</v>
      </c>
      <c r="K1087">
        <v>0</v>
      </c>
      <c r="L1087" s="2">
        <f>VLOOKUP(A1087,[1]aaabonddata!$A:$B,2,0)</f>
        <v>3.1</v>
      </c>
    </row>
    <row r="1088" spans="1:12" x14ac:dyDescent="0.2">
      <c r="A1088" s="3">
        <v>40347</v>
      </c>
      <c r="B1088" s="2">
        <v>1913.48</v>
      </c>
      <c r="C1088" s="2">
        <v>1925.2</v>
      </c>
      <c r="D1088" s="2">
        <v>1906.85</v>
      </c>
      <c r="E1088" s="2">
        <v>3304015377861</v>
      </c>
      <c r="F1088" s="2">
        <v>0</v>
      </c>
      <c r="G1088">
        <v>1167.55</v>
      </c>
      <c r="H1088">
        <v>1175.73</v>
      </c>
      <c r="I1088">
        <v>1163.3900000000001</v>
      </c>
      <c r="J1088">
        <v>3822250931</v>
      </c>
      <c r="K1088">
        <v>0</v>
      </c>
      <c r="L1088" s="2">
        <f>VLOOKUP(A1088,[1]aaabonddata!$A:$B,2,0)</f>
        <v>3.14</v>
      </c>
    </row>
    <row r="1089" spans="1:12" x14ac:dyDescent="0.2">
      <c r="A1089" s="3">
        <v>40350</v>
      </c>
      <c r="B1089" s="2">
        <v>1895.84</v>
      </c>
      <c r="C1089" s="2">
        <v>1939.77</v>
      </c>
      <c r="D1089" s="2">
        <v>1885.2</v>
      </c>
      <c r="E1089" s="2">
        <v>3273536146964</v>
      </c>
      <c r="F1089" s="2">
        <v>0</v>
      </c>
      <c r="G1089">
        <v>1157.05</v>
      </c>
      <c r="H1089">
        <v>1184.8</v>
      </c>
      <c r="I1089">
        <v>1149.79</v>
      </c>
      <c r="J1089">
        <v>3765826475</v>
      </c>
      <c r="K1089">
        <v>0</v>
      </c>
      <c r="L1089" s="2">
        <f>VLOOKUP(A1089,[1]aaabonddata!$A:$B,2,0)</f>
        <v>3.14</v>
      </c>
    </row>
    <row r="1090" spans="1:12" x14ac:dyDescent="0.2">
      <c r="A1090" s="3">
        <v>40351</v>
      </c>
      <c r="B1090" s="2">
        <v>1880.54</v>
      </c>
      <c r="C1090" s="2">
        <v>1917.26</v>
      </c>
      <c r="D1090" s="2">
        <v>1877.97</v>
      </c>
      <c r="E1090" s="2">
        <v>3247113886682</v>
      </c>
      <c r="F1090" s="2">
        <v>0</v>
      </c>
      <c r="G1090">
        <v>1140.92</v>
      </c>
      <c r="H1090">
        <v>1171.08</v>
      </c>
      <c r="I1090">
        <v>1139.0899999999999</v>
      </c>
      <c r="J1090">
        <v>3713329367</v>
      </c>
      <c r="K1090">
        <v>0</v>
      </c>
      <c r="L1090" s="2">
        <f>VLOOKUP(A1090,[1]aaabonddata!$A:$B,2,0)</f>
        <v>3.08</v>
      </c>
    </row>
    <row r="1091" spans="1:12" x14ac:dyDescent="0.2">
      <c r="A1091" s="3">
        <v>40352</v>
      </c>
      <c r="B1091" s="2">
        <v>1874.42</v>
      </c>
      <c r="C1091" s="2">
        <v>1889.73</v>
      </c>
      <c r="D1091" s="2">
        <v>1859.05</v>
      </c>
      <c r="E1091" s="2">
        <v>3236547656804</v>
      </c>
      <c r="F1091" s="2">
        <v>96083821</v>
      </c>
      <c r="G1091">
        <v>1139.3499999999999</v>
      </c>
      <c r="H1091">
        <v>1150.8599999999999</v>
      </c>
      <c r="I1091">
        <v>1128.0899999999999</v>
      </c>
      <c r="J1091">
        <v>3708218464</v>
      </c>
      <c r="K1091">
        <v>0</v>
      </c>
      <c r="L1091" s="2">
        <f>VLOOKUP(A1091,[1]aaabonddata!$A:$B,2,0)</f>
        <v>3.04</v>
      </c>
    </row>
    <row r="1092" spans="1:12" x14ac:dyDescent="0.2">
      <c r="A1092" s="3">
        <v>40353</v>
      </c>
      <c r="B1092" s="2">
        <v>1844.59</v>
      </c>
      <c r="C1092" s="2">
        <v>1871.13</v>
      </c>
      <c r="D1092" s="2">
        <v>1839.32</v>
      </c>
      <c r="E1092" s="2">
        <v>3185042681893</v>
      </c>
      <c r="F1092" s="2">
        <v>0</v>
      </c>
      <c r="G1092">
        <v>1112.24</v>
      </c>
      <c r="H1092">
        <v>1135.02</v>
      </c>
      <c r="I1092">
        <v>1108.05</v>
      </c>
      <c r="J1092">
        <v>3620004072</v>
      </c>
      <c r="K1092">
        <v>0</v>
      </c>
      <c r="L1092" s="2">
        <f>VLOOKUP(A1092,[1]aaabonddata!$A:$B,2,0)</f>
        <v>3.04</v>
      </c>
    </row>
    <row r="1093" spans="1:12" x14ac:dyDescent="0.2">
      <c r="A1093" s="3">
        <v>40354</v>
      </c>
      <c r="B1093" s="2">
        <v>1838.52</v>
      </c>
      <c r="C1093" s="2">
        <v>1857.31</v>
      </c>
      <c r="D1093" s="2">
        <v>1829.3</v>
      </c>
      <c r="E1093" s="2">
        <v>3174555791774</v>
      </c>
      <c r="F1093" s="2">
        <v>0</v>
      </c>
      <c r="G1093">
        <v>1110.6099999999999</v>
      </c>
      <c r="H1093">
        <v>1120.17</v>
      </c>
      <c r="I1093">
        <v>1098.8900000000001</v>
      </c>
      <c r="J1093">
        <v>3614700049</v>
      </c>
      <c r="K1093">
        <v>0</v>
      </c>
      <c r="L1093" s="2">
        <f>VLOOKUP(A1093,[1]aaabonddata!$A:$B,2,0)</f>
        <v>3</v>
      </c>
    </row>
    <row r="1094" spans="1:12" x14ac:dyDescent="0.2">
      <c r="A1094" s="3">
        <v>40357</v>
      </c>
      <c r="B1094" s="2">
        <v>1836</v>
      </c>
      <c r="C1094" s="2">
        <v>1852.66</v>
      </c>
      <c r="D1094" s="2">
        <v>1823.51</v>
      </c>
      <c r="E1094" s="2">
        <v>3170210608386</v>
      </c>
      <c r="F1094" s="2">
        <v>0</v>
      </c>
      <c r="G1094">
        <v>1109.78</v>
      </c>
      <c r="H1094">
        <v>1122.17</v>
      </c>
      <c r="I1094">
        <v>1102</v>
      </c>
      <c r="J1094">
        <v>3611986341</v>
      </c>
      <c r="K1094">
        <v>0</v>
      </c>
      <c r="L1094" s="2">
        <f>VLOOKUP(A1094,[1]aaabonddata!$A:$B,2,0)</f>
        <v>2.94</v>
      </c>
    </row>
    <row r="1095" spans="1:12" x14ac:dyDescent="0.2">
      <c r="A1095" s="3">
        <v>40358</v>
      </c>
      <c r="B1095" s="2">
        <v>1764.06</v>
      </c>
      <c r="C1095" s="2">
        <v>1807.09</v>
      </c>
      <c r="D1095" s="2">
        <v>1752.56</v>
      </c>
      <c r="E1095" s="2">
        <v>3045987220860</v>
      </c>
      <c r="F1095" s="2">
        <v>0</v>
      </c>
      <c r="G1095">
        <v>1063.3699999999999</v>
      </c>
      <c r="H1095">
        <v>1090.04</v>
      </c>
      <c r="I1095">
        <v>1056.24</v>
      </c>
      <c r="J1095">
        <v>3460949480</v>
      </c>
      <c r="K1095">
        <v>0</v>
      </c>
      <c r="L1095" s="2">
        <f>VLOOKUP(A1095,[1]aaabonddata!$A:$B,2,0)</f>
        <v>2.9</v>
      </c>
    </row>
    <row r="1096" spans="1:12" x14ac:dyDescent="0.2">
      <c r="A1096" s="3">
        <v>40359</v>
      </c>
      <c r="B1096" s="2">
        <v>1739.14</v>
      </c>
      <c r="C1096" s="2">
        <v>1776.61</v>
      </c>
      <c r="D1096" s="2">
        <v>1734.9</v>
      </c>
      <c r="E1096" s="2">
        <v>3002965521492</v>
      </c>
      <c r="F1096" s="2">
        <v>0</v>
      </c>
      <c r="G1096">
        <v>1050.1199999999999</v>
      </c>
      <c r="H1096">
        <v>1074.05</v>
      </c>
      <c r="I1096">
        <v>1047.94</v>
      </c>
      <c r="J1096">
        <v>3417808875</v>
      </c>
      <c r="K1096">
        <v>0</v>
      </c>
      <c r="L1096" s="2">
        <f>VLOOKUP(A1096,[1]aaabonddata!$A:$B,2,0)</f>
        <v>2.91</v>
      </c>
    </row>
    <row r="1097" spans="1:12" x14ac:dyDescent="0.2">
      <c r="A1097" s="3">
        <v>40360</v>
      </c>
      <c r="B1097" s="2">
        <v>1734.41</v>
      </c>
      <c r="C1097" s="2">
        <v>1747.25</v>
      </c>
      <c r="D1097" s="2">
        <v>1700.04</v>
      </c>
      <c r="E1097" s="2">
        <v>2994804318323</v>
      </c>
      <c r="F1097" s="2">
        <v>0</v>
      </c>
      <c r="G1097">
        <v>1051.6600000000001</v>
      </c>
      <c r="H1097">
        <v>1059.26</v>
      </c>
      <c r="I1097">
        <v>1028.56</v>
      </c>
      <c r="J1097">
        <v>3422831543</v>
      </c>
      <c r="K1097">
        <v>0</v>
      </c>
      <c r="L1097" s="2">
        <f>VLOOKUP(A1097,[1]aaabonddata!$A:$B,2,0)</f>
        <v>2.93</v>
      </c>
    </row>
    <row r="1098" spans="1:12" x14ac:dyDescent="0.2">
      <c r="A1098" s="3">
        <v>40361</v>
      </c>
      <c r="B1098" s="2">
        <v>1728.34</v>
      </c>
      <c r="C1098" s="2">
        <v>1742.36</v>
      </c>
      <c r="D1098" s="2">
        <v>1712.92</v>
      </c>
      <c r="E1098" s="2">
        <v>2984318692912</v>
      </c>
      <c r="F1098" s="2">
        <v>256845500</v>
      </c>
      <c r="G1098">
        <v>1047.45</v>
      </c>
      <c r="H1098">
        <v>1055.08</v>
      </c>
      <c r="I1098">
        <v>1036.57</v>
      </c>
      <c r="J1098">
        <v>3409125960</v>
      </c>
      <c r="K1098">
        <v>0</v>
      </c>
      <c r="L1098" s="2">
        <f>VLOOKUP(A1098,[1]aaabonddata!$A:$B,2,0)</f>
        <v>2.96</v>
      </c>
    </row>
    <row r="1099" spans="1:12" x14ac:dyDescent="0.2">
      <c r="A1099" s="3">
        <v>40365</v>
      </c>
      <c r="B1099" s="2">
        <v>1734.68</v>
      </c>
      <c r="C1099" s="2">
        <v>1763.88</v>
      </c>
      <c r="D1099" s="2">
        <v>1719.2</v>
      </c>
      <c r="E1099" s="2">
        <v>2995270363126</v>
      </c>
      <c r="F1099" s="2">
        <v>0</v>
      </c>
      <c r="G1099">
        <v>1049.4000000000001</v>
      </c>
      <c r="H1099">
        <v>1070.5</v>
      </c>
      <c r="I1099">
        <v>1039.53</v>
      </c>
      <c r="J1099">
        <v>3415456308</v>
      </c>
      <c r="K1099">
        <v>0</v>
      </c>
      <c r="L1099" s="2">
        <f>VLOOKUP(A1099,[1]aaabonddata!$A:$B,2,0)</f>
        <v>2.92</v>
      </c>
    </row>
    <row r="1100" spans="1:12" x14ac:dyDescent="0.2">
      <c r="A1100" s="3">
        <v>40366</v>
      </c>
      <c r="B1100" s="2">
        <v>1789.72</v>
      </c>
      <c r="C1100" s="2">
        <v>1790.18</v>
      </c>
      <c r="D1100" s="2">
        <v>1736.99</v>
      </c>
      <c r="E1100" s="2">
        <v>3090294061497</v>
      </c>
      <c r="F1100" s="2">
        <v>22113935</v>
      </c>
      <c r="G1100">
        <v>1093.6099999999999</v>
      </c>
      <c r="H1100">
        <v>1094.0899999999999</v>
      </c>
      <c r="I1100">
        <v>1052.83</v>
      </c>
      <c r="J1100">
        <v>3559364823</v>
      </c>
      <c r="K1100">
        <v>0</v>
      </c>
      <c r="L1100" s="2">
        <f>VLOOKUP(A1100,[1]aaabonddata!$A:$B,2,0)</f>
        <v>2.94</v>
      </c>
    </row>
    <row r="1101" spans="1:12" x14ac:dyDescent="0.2">
      <c r="A1101" s="3">
        <v>40367</v>
      </c>
      <c r="B1101" s="2">
        <v>1798.31</v>
      </c>
      <c r="C1101" s="2">
        <v>1805.83</v>
      </c>
      <c r="D1101" s="2">
        <v>1777.44</v>
      </c>
      <c r="E1101" s="2">
        <v>3105131553943</v>
      </c>
      <c r="F1101" s="2">
        <v>0</v>
      </c>
      <c r="G1101">
        <v>1096.3699999999999</v>
      </c>
      <c r="H1101">
        <v>1103.23</v>
      </c>
      <c r="I1101">
        <v>1083.01</v>
      </c>
      <c r="J1101">
        <v>3568350977</v>
      </c>
      <c r="K1101">
        <v>0</v>
      </c>
      <c r="L1101" s="2">
        <f>VLOOKUP(A1101,[1]aaabonddata!$A:$B,2,0)</f>
        <v>2.96</v>
      </c>
    </row>
    <row r="1102" spans="1:12" x14ac:dyDescent="0.2">
      <c r="A1102" s="3">
        <v>40368</v>
      </c>
      <c r="B1102" s="2">
        <v>1814.79</v>
      </c>
      <c r="C1102" s="2">
        <v>1815.24</v>
      </c>
      <c r="D1102" s="2">
        <v>1793</v>
      </c>
      <c r="E1102" s="2">
        <v>3133584291236</v>
      </c>
      <c r="F1102" s="2">
        <v>0</v>
      </c>
      <c r="G1102">
        <v>1107.1400000000001</v>
      </c>
      <c r="H1102">
        <v>1107.52</v>
      </c>
      <c r="I1102">
        <v>1093.3599999999999</v>
      </c>
      <c r="J1102">
        <v>3603391826</v>
      </c>
      <c r="K1102">
        <v>0</v>
      </c>
      <c r="L1102" s="2">
        <f>VLOOKUP(A1102,[1]aaabonddata!$A:$B,2,0)</f>
        <v>2.99</v>
      </c>
    </row>
    <row r="1103" spans="1:12" x14ac:dyDescent="0.2">
      <c r="A1103" s="3">
        <v>40371</v>
      </c>
      <c r="B1103" s="2">
        <v>1821.03</v>
      </c>
      <c r="C1103" s="2">
        <v>1831.62</v>
      </c>
      <c r="D1103" s="2">
        <v>1808.7</v>
      </c>
      <c r="E1103" s="2">
        <v>3144370050007</v>
      </c>
      <c r="F1103" s="2">
        <v>196962667</v>
      </c>
      <c r="G1103">
        <v>1117.5</v>
      </c>
      <c r="H1103">
        <v>1122.54</v>
      </c>
      <c r="I1103">
        <v>1106.21</v>
      </c>
      <c r="J1103">
        <v>3637126202</v>
      </c>
      <c r="K1103">
        <v>215517</v>
      </c>
      <c r="L1103" s="2">
        <f>VLOOKUP(A1103,[1]aaabonddata!$A:$B,2,0)</f>
        <v>2.96</v>
      </c>
    </row>
    <row r="1104" spans="1:12" x14ac:dyDescent="0.2">
      <c r="A1104" s="3">
        <v>40372</v>
      </c>
      <c r="B1104" s="2">
        <v>1845.03</v>
      </c>
      <c r="C1104" s="2">
        <v>1851.25</v>
      </c>
      <c r="D1104" s="2">
        <v>1822.25</v>
      </c>
      <c r="E1104" s="2">
        <v>3185796886246</v>
      </c>
      <c r="F1104" s="2">
        <v>0</v>
      </c>
      <c r="G1104">
        <v>1139.8399999999999</v>
      </c>
      <c r="H1104">
        <v>1144.57</v>
      </c>
      <c r="I1104">
        <v>1124.1099999999999</v>
      </c>
      <c r="J1104">
        <v>3709832170</v>
      </c>
      <c r="K1104">
        <v>0</v>
      </c>
      <c r="L1104" s="2">
        <f>VLOOKUP(A1104,[1]aaabonddata!$A:$B,2,0)</f>
        <v>3.01</v>
      </c>
    </row>
    <row r="1105" spans="1:12" x14ac:dyDescent="0.2">
      <c r="A1105" s="3">
        <v>40373</v>
      </c>
      <c r="B1105" s="2">
        <v>1853.41</v>
      </c>
      <c r="C1105" s="2">
        <v>1863.52</v>
      </c>
      <c r="D1105" s="2">
        <v>1840.62</v>
      </c>
      <c r="E1105" s="2">
        <v>3200275889231</v>
      </c>
      <c r="F1105" s="2">
        <v>0</v>
      </c>
      <c r="G1105">
        <v>1144.8399999999999</v>
      </c>
      <c r="H1105">
        <v>1153.98</v>
      </c>
      <c r="I1105">
        <v>1137.03</v>
      </c>
      <c r="J1105">
        <v>3726078834</v>
      </c>
      <c r="K1105">
        <v>0</v>
      </c>
      <c r="L1105" s="2">
        <f>VLOOKUP(A1105,[1]aaabonddata!$A:$B,2,0)</f>
        <v>2.93</v>
      </c>
    </row>
    <row r="1106" spans="1:12" x14ac:dyDescent="0.2">
      <c r="A1106" s="3">
        <v>40374</v>
      </c>
      <c r="B1106" s="2">
        <v>1856.24</v>
      </c>
      <c r="C1106" s="2">
        <v>1860.35</v>
      </c>
      <c r="D1106" s="2">
        <v>1830.7</v>
      </c>
      <c r="E1106" s="2">
        <v>3205154402101</v>
      </c>
      <c r="F1106" s="2">
        <v>0</v>
      </c>
      <c r="G1106">
        <v>1146.1300000000001</v>
      </c>
      <c r="H1106">
        <v>1148.4000000000001</v>
      </c>
      <c r="I1106">
        <v>1129.32</v>
      </c>
      <c r="J1106">
        <v>3730306892</v>
      </c>
      <c r="K1106">
        <v>0</v>
      </c>
      <c r="L1106" s="2">
        <f>VLOOKUP(A1106,[1]aaabonddata!$A:$B,2,0)</f>
        <v>2.88</v>
      </c>
    </row>
    <row r="1107" spans="1:12" x14ac:dyDescent="0.2">
      <c r="A1107" s="3">
        <v>40375</v>
      </c>
      <c r="B1107" s="2">
        <v>1803.48</v>
      </c>
      <c r="C1107" s="2">
        <v>1850.73</v>
      </c>
      <c r="D1107" s="2">
        <v>1802.54</v>
      </c>
      <c r="E1107" s="2">
        <v>3114062709927</v>
      </c>
      <c r="F1107" s="2">
        <v>0</v>
      </c>
      <c r="G1107">
        <v>1109.05</v>
      </c>
      <c r="H1107">
        <v>1141.6300000000001</v>
      </c>
      <c r="I1107">
        <v>1107.8699999999999</v>
      </c>
      <c r="J1107">
        <v>3609614850</v>
      </c>
      <c r="K1107">
        <v>0</v>
      </c>
      <c r="L1107" s="2">
        <f>VLOOKUP(A1107,[1]aaabonddata!$A:$B,2,0)</f>
        <v>2.82</v>
      </c>
    </row>
    <row r="1108" spans="1:12" x14ac:dyDescent="0.2">
      <c r="A1108" s="3">
        <v>40378</v>
      </c>
      <c r="B1108" s="2">
        <v>1819.28</v>
      </c>
      <c r="C1108" s="2">
        <v>1822.71</v>
      </c>
      <c r="D1108" s="2">
        <v>1794.56</v>
      </c>
      <c r="E1108" s="2">
        <v>3141336635563</v>
      </c>
      <c r="F1108" s="2">
        <v>0</v>
      </c>
      <c r="G1108">
        <v>1127.95</v>
      </c>
      <c r="H1108">
        <v>1130.06</v>
      </c>
      <c r="I1108">
        <v>1109.97</v>
      </c>
      <c r="J1108">
        <v>3671116237</v>
      </c>
      <c r="K1108">
        <v>0</v>
      </c>
      <c r="L1108" s="2">
        <f>VLOOKUP(A1108,[1]aaabonddata!$A:$B,2,0)</f>
        <v>2.85</v>
      </c>
    </row>
    <row r="1109" spans="1:12" x14ac:dyDescent="0.2">
      <c r="A1109" s="3">
        <v>40379</v>
      </c>
      <c r="B1109" s="2">
        <v>1840.67</v>
      </c>
      <c r="C1109" s="2">
        <v>1841.16</v>
      </c>
      <c r="D1109" s="2">
        <v>1784.55</v>
      </c>
      <c r="E1109" s="2">
        <v>3178279446921</v>
      </c>
      <c r="F1109" s="2">
        <v>0</v>
      </c>
      <c r="G1109">
        <v>1136.9100000000001</v>
      </c>
      <c r="H1109">
        <v>1137.5899999999999</v>
      </c>
      <c r="I1109">
        <v>1097.83</v>
      </c>
      <c r="J1109">
        <v>3700297201</v>
      </c>
      <c r="K1109">
        <v>0</v>
      </c>
      <c r="L1109" s="2">
        <f>VLOOKUP(A1109,[1]aaabonddata!$A:$B,2,0)</f>
        <v>2.82</v>
      </c>
    </row>
    <row r="1110" spans="1:12" x14ac:dyDescent="0.2">
      <c r="A1110" s="3">
        <v>40380</v>
      </c>
      <c r="B1110" s="2">
        <v>1817.3</v>
      </c>
      <c r="C1110" s="2">
        <v>1859.85</v>
      </c>
      <c r="D1110" s="2">
        <v>1813.28</v>
      </c>
      <c r="E1110" s="2">
        <v>3137923181020</v>
      </c>
      <c r="F1110" s="2">
        <v>0</v>
      </c>
      <c r="G1110">
        <v>1111.05</v>
      </c>
      <c r="H1110">
        <v>1138.4100000000001</v>
      </c>
      <c r="I1110">
        <v>1108.1099999999999</v>
      </c>
      <c r="J1110">
        <v>3616112944</v>
      </c>
      <c r="K1110">
        <v>0</v>
      </c>
      <c r="L1110" s="2">
        <f>VLOOKUP(A1110,[1]aaabonddata!$A:$B,2,0)</f>
        <v>2.79</v>
      </c>
    </row>
    <row r="1111" spans="1:12" x14ac:dyDescent="0.2">
      <c r="A1111" s="3">
        <v>40381</v>
      </c>
      <c r="B1111" s="2">
        <v>1863.1</v>
      </c>
      <c r="C1111" s="2">
        <v>1870.41</v>
      </c>
      <c r="D1111" s="2">
        <v>1842.38</v>
      </c>
      <c r="E1111" s="2">
        <v>3217011501030</v>
      </c>
      <c r="F1111" s="2">
        <v>0</v>
      </c>
      <c r="G1111">
        <v>1143.58</v>
      </c>
      <c r="H1111">
        <v>1147.95</v>
      </c>
      <c r="I1111">
        <v>1125.23</v>
      </c>
      <c r="J1111">
        <v>3722004895</v>
      </c>
      <c r="K1111">
        <v>0</v>
      </c>
      <c r="L1111" s="2">
        <f>VLOOKUP(A1111,[1]aaabonddata!$A:$B,2,0)</f>
        <v>2.81</v>
      </c>
    </row>
    <row r="1112" spans="1:12" x14ac:dyDescent="0.2">
      <c r="A1112" s="3">
        <v>40382</v>
      </c>
      <c r="B1112" s="2">
        <v>1875.38</v>
      </c>
      <c r="C1112" s="2">
        <v>1875.38</v>
      </c>
      <c r="D1112" s="2">
        <v>1846.32</v>
      </c>
      <c r="E1112" s="2">
        <v>3238216228757</v>
      </c>
      <c r="F1112" s="2">
        <v>0</v>
      </c>
      <c r="G1112">
        <v>1153.8399999999999</v>
      </c>
      <c r="H1112">
        <v>1153.8399999999999</v>
      </c>
      <c r="I1112">
        <v>1132.3900000000001</v>
      </c>
      <c r="J1112">
        <v>3755391670</v>
      </c>
      <c r="K1112">
        <v>0</v>
      </c>
      <c r="L1112" s="2">
        <f>VLOOKUP(A1112,[1]aaabonddata!$A:$B,2,0)</f>
        <v>2.85</v>
      </c>
    </row>
    <row r="1113" spans="1:12" x14ac:dyDescent="0.2">
      <c r="A1113" s="3">
        <v>40385</v>
      </c>
      <c r="B1113" s="2">
        <v>1890.4</v>
      </c>
      <c r="C1113" s="2">
        <v>1890.4</v>
      </c>
      <c r="D1113" s="2">
        <v>1867.84</v>
      </c>
      <c r="E1113" s="2">
        <v>3264145367096</v>
      </c>
      <c r="F1113" s="2">
        <v>0</v>
      </c>
      <c r="G1113">
        <v>1165.1600000000001</v>
      </c>
      <c r="H1113">
        <v>1165.1600000000001</v>
      </c>
      <c r="I1113">
        <v>1146.51</v>
      </c>
      <c r="J1113">
        <v>3792244273</v>
      </c>
      <c r="K1113">
        <v>0</v>
      </c>
      <c r="L1113" s="2">
        <f>VLOOKUP(A1113,[1]aaabonddata!$A:$B,2,0)</f>
        <v>2.85</v>
      </c>
    </row>
    <row r="1114" spans="1:12" x14ac:dyDescent="0.2">
      <c r="A1114" s="3">
        <v>40386</v>
      </c>
      <c r="B1114" s="2">
        <v>1888.81</v>
      </c>
      <c r="C1114" s="2">
        <v>1900.15</v>
      </c>
      <c r="D1114" s="2">
        <v>1880.22</v>
      </c>
      <c r="E1114" s="2">
        <v>3261403956488</v>
      </c>
      <c r="F1114" s="2">
        <v>0</v>
      </c>
      <c r="G1114">
        <v>1161.17</v>
      </c>
      <c r="H1114">
        <v>1169.72</v>
      </c>
      <c r="I1114">
        <v>1155.8699999999999</v>
      </c>
      <c r="J1114">
        <v>3779242499</v>
      </c>
      <c r="K1114">
        <v>0</v>
      </c>
      <c r="L1114" s="2">
        <f>VLOOKUP(A1114,[1]aaabonddata!$A:$B,2,0)</f>
        <v>2.85</v>
      </c>
    </row>
    <row r="1115" spans="1:12" x14ac:dyDescent="0.2">
      <c r="A1115" s="3">
        <v>40387</v>
      </c>
      <c r="B1115" s="2">
        <v>1872.62</v>
      </c>
      <c r="C1115" s="2">
        <v>1894.69</v>
      </c>
      <c r="D1115" s="2">
        <v>1866.68</v>
      </c>
      <c r="E1115" s="2">
        <v>3233449042736</v>
      </c>
      <c r="F1115" s="2">
        <v>28683168</v>
      </c>
      <c r="G1115">
        <v>1147.3800000000001</v>
      </c>
      <c r="H1115">
        <v>1165.29</v>
      </c>
      <c r="I1115">
        <v>1143.06</v>
      </c>
      <c r="J1115">
        <v>3734376124</v>
      </c>
      <c r="K1115">
        <v>0</v>
      </c>
      <c r="L1115" s="2">
        <f>VLOOKUP(A1115,[1]aaabonddata!$A:$B,2,0)</f>
        <v>2.79</v>
      </c>
    </row>
    <row r="1116" spans="1:12" x14ac:dyDescent="0.2">
      <c r="A1116" s="3">
        <v>40388</v>
      </c>
      <c r="B1116" s="2">
        <v>1860.3</v>
      </c>
      <c r="C1116" s="2">
        <v>1887.41</v>
      </c>
      <c r="D1116" s="2">
        <v>1841.36</v>
      </c>
      <c r="E1116" s="2">
        <v>3212169214790</v>
      </c>
      <c r="F1116" s="2">
        <v>199657869</v>
      </c>
      <c r="G1116">
        <v>1139.94</v>
      </c>
      <c r="H1116">
        <v>1157.26</v>
      </c>
      <c r="I1116">
        <v>1124.67</v>
      </c>
      <c r="J1116">
        <v>3710156174</v>
      </c>
      <c r="K1116">
        <v>0</v>
      </c>
      <c r="L1116" s="2">
        <f>VLOOKUP(A1116,[1]aaabonddata!$A:$B,2,0)</f>
        <v>2.78</v>
      </c>
    </row>
    <row r="1117" spans="1:12" x14ac:dyDescent="0.2">
      <c r="A1117" s="3">
        <v>40389</v>
      </c>
      <c r="B1117" s="2">
        <v>1864</v>
      </c>
      <c r="C1117" s="2">
        <v>1874.64</v>
      </c>
      <c r="D1117" s="2">
        <v>1833.9</v>
      </c>
      <c r="E1117" s="2">
        <v>3218565350362</v>
      </c>
      <c r="F1117" s="2">
        <v>0</v>
      </c>
      <c r="G1117">
        <v>1138.97</v>
      </c>
      <c r="H1117">
        <v>1144.81</v>
      </c>
      <c r="I1117">
        <v>1119.74</v>
      </c>
      <c r="J1117">
        <v>3706985959</v>
      </c>
      <c r="K1117">
        <v>0</v>
      </c>
      <c r="L1117" s="2">
        <f>VLOOKUP(A1117,[1]aaabonddata!$A:$B,2,0)</f>
        <v>2.77</v>
      </c>
    </row>
    <row r="1118" spans="1:12" x14ac:dyDescent="0.2">
      <c r="A1118" s="3">
        <v>40392</v>
      </c>
      <c r="B1118" s="2">
        <v>1898.99</v>
      </c>
      <c r="C1118" s="2">
        <v>1902.67</v>
      </c>
      <c r="D1118" s="2">
        <v>1879.77</v>
      </c>
      <c r="E1118" s="2">
        <v>3278971060056</v>
      </c>
      <c r="F1118" s="2">
        <v>481729241</v>
      </c>
      <c r="G1118">
        <v>1159.0999999999999</v>
      </c>
      <c r="H1118">
        <v>1162.68</v>
      </c>
      <c r="I1118">
        <v>1145.71</v>
      </c>
      <c r="J1118">
        <v>3772518011</v>
      </c>
      <c r="K1118">
        <v>0</v>
      </c>
      <c r="L1118" s="2">
        <f>VLOOKUP(A1118,[1]aaabonddata!$A:$B,2,0)</f>
        <v>2.68</v>
      </c>
    </row>
    <row r="1119" spans="1:12" x14ac:dyDescent="0.2">
      <c r="A1119" s="3">
        <v>40393</v>
      </c>
      <c r="B1119" s="2">
        <v>1891.81</v>
      </c>
      <c r="C1119" s="2">
        <v>1898.63</v>
      </c>
      <c r="D1119" s="2">
        <v>1881.58</v>
      </c>
      <c r="E1119" s="2">
        <v>3266580797575</v>
      </c>
      <c r="F1119" s="2">
        <v>0</v>
      </c>
      <c r="G1119">
        <v>1155.29</v>
      </c>
      <c r="H1119">
        <v>1161</v>
      </c>
      <c r="I1119">
        <v>1149.2</v>
      </c>
      <c r="J1119">
        <v>3760104999</v>
      </c>
      <c r="K1119">
        <v>0</v>
      </c>
      <c r="L1119" s="2">
        <f>VLOOKUP(A1119,[1]aaabonddata!$A:$B,2,0)</f>
        <v>2.61</v>
      </c>
    </row>
    <row r="1120" spans="1:12" x14ac:dyDescent="0.2">
      <c r="A1120" s="3">
        <v>40394</v>
      </c>
      <c r="B1120" s="2">
        <v>1909.2</v>
      </c>
      <c r="C1120" s="2">
        <v>1911.01</v>
      </c>
      <c r="D1120" s="2">
        <v>1891.23</v>
      </c>
      <c r="E1120" s="2">
        <v>3296606402961</v>
      </c>
      <c r="F1120" s="2">
        <v>665761248</v>
      </c>
      <c r="G1120">
        <v>1166.05</v>
      </c>
      <c r="H1120">
        <v>1167.1099999999999</v>
      </c>
      <c r="I1120">
        <v>1149.1099999999999</v>
      </c>
      <c r="J1120">
        <v>3795129186</v>
      </c>
      <c r="K1120">
        <v>735637</v>
      </c>
      <c r="L1120" s="2">
        <f>VLOOKUP(A1120,[1]aaabonddata!$A:$B,2,0)</f>
        <v>2.65</v>
      </c>
    </row>
    <row r="1121" spans="1:12" x14ac:dyDescent="0.2">
      <c r="A1121" s="3">
        <v>40395</v>
      </c>
      <c r="B1121" s="2">
        <v>1904.95</v>
      </c>
      <c r="C1121" s="2">
        <v>1907.8</v>
      </c>
      <c r="D1121" s="2">
        <v>1892.5</v>
      </c>
      <c r="E1121" s="2">
        <v>3289271493055</v>
      </c>
      <c r="F1121" s="2">
        <v>37139060</v>
      </c>
      <c r="G1121">
        <v>1159.19</v>
      </c>
      <c r="H1121">
        <v>1163.6099999999999</v>
      </c>
      <c r="I1121">
        <v>1151.83</v>
      </c>
      <c r="J1121">
        <v>3772787674</v>
      </c>
      <c r="K1121">
        <v>198906</v>
      </c>
      <c r="L1121" s="2">
        <f>VLOOKUP(A1121,[1]aaabonddata!$A:$B,2,0)</f>
        <v>2.62</v>
      </c>
    </row>
    <row r="1122" spans="1:12" x14ac:dyDescent="0.2">
      <c r="A1122" s="3">
        <v>40396</v>
      </c>
      <c r="B1122" s="2">
        <v>1902.88</v>
      </c>
      <c r="C1122" s="2">
        <v>1905.01</v>
      </c>
      <c r="D1122" s="2">
        <v>1873.44</v>
      </c>
      <c r="E1122" s="2">
        <v>3285687967530</v>
      </c>
      <c r="F1122" s="2">
        <v>47817172</v>
      </c>
      <c r="G1122">
        <v>1158.1300000000001</v>
      </c>
      <c r="H1122">
        <v>1160.78</v>
      </c>
      <c r="I1122">
        <v>1139.19</v>
      </c>
      <c r="J1122">
        <v>3769364230</v>
      </c>
      <c r="K1122">
        <v>231124</v>
      </c>
      <c r="L1122" s="2">
        <f>VLOOKUP(A1122,[1]aaabonddata!$A:$B,2,0)</f>
        <v>2.56</v>
      </c>
    </row>
    <row r="1123" spans="1:12" x14ac:dyDescent="0.2">
      <c r="A1123" s="3">
        <v>40399</v>
      </c>
      <c r="B1123" s="2">
        <v>1915.17</v>
      </c>
      <c r="C1123" s="2">
        <v>1918.78</v>
      </c>
      <c r="D1123" s="2">
        <v>1902.98</v>
      </c>
      <c r="E1123" s="2">
        <v>3306913407291</v>
      </c>
      <c r="F1123" s="2">
        <v>110300432</v>
      </c>
      <c r="G1123">
        <v>1164.8699999999999</v>
      </c>
      <c r="H1123">
        <v>1168.06</v>
      </c>
      <c r="I1123">
        <v>1155.3699999999999</v>
      </c>
      <c r="J1123">
        <v>3791282240</v>
      </c>
      <c r="K1123">
        <v>597014</v>
      </c>
      <c r="L1123" s="2">
        <f>VLOOKUP(A1123,[1]aaabonddata!$A:$B,2,0)</f>
        <v>2.57</v>
      </c>
    </row>
    <row r="1124" spans="1:12" x14ac:dyDescent="0.2">
      <c r="A1124" s="3">
        <v>40400</v>
      </c>
      <c r="B1124" s="2">
        <v>1899.24</v>
      </c>
      <c r="C1124" s="2">
        <v>1908.73</v>
      </c>
      <c r="D1124" s="2">
        <v>1882.6</v>
      </c>
      <c r="E1124" s="2">
        <v>3279410918634</v>
      </c>
      <c r="F1124" s="2">
        <v>63126845</v>
      </c>
      <c r="G1124">
        <v>1148.3</v>
      </c>
      <c r="H1124">
        <v>1154.8800000000001</v>
      </c>
      <c r="I1124">
        <v>1138.02</v>
      </c>
      <c r="J1124">
        <v>3737359553</v>
      </c>
      <c r="K1124">
        <v>0</v>
      </c>
      <c r="L1124" s="2">
        <f>VLOOKUP(A1124,[1]aaabonddata!$A:$B,2,0)</f>
        <v>2.54</v>
      </c>
    </row>
    <row r="1125" spans="1:12" x14ac:dyDescent="0.2">
      <c r="A1125" s="3">
        <v>40401</v>
      </c>
      <c r="B1125" s="2">
        <v>1845.38</v>
      </c>
      <c r="C1125" s="2">
        <v>1866</v>
      </c>
      <c r="D1125" s="2">
        <v>1838.89</v>
      </c>
      <c r="E1125" s="2">
        <v>3186408474268</v>
      </c>
      <c r="F1125" s="2">
        <v>129425648</v>
      </c>
      <c r="G1125">
        <v>1113.52</v>
      </c>
      <c r="H1125">
        <v>1125.56</v>
      </c>
      <c r="I1125">
        <v>1106.26</v>
      </c>
      <c r="J1125">
        <v>3624142933</v>
      </c>
      <c r="K1125">
        <v>779396</v>
      </c>
      <c r="L1125" s="2">
        <f>VLOOKUP(A1125,[1]aaabonddata!$A:$B,2,0)</f>
        <v>2.5</v>
      </c>
    </row>
    <row r="1126" spans="1:12" x14ac:dyDescent="0.2">
      <c r="A1126" s="3">
        <v>40402</v>
      </c>
      <c r="B1126" s="2">
        <v>1832.17</v>
      </c>
      <c r="C1126" s="2">
        <v>1839.24</v>
      </c>
      <c r="D1126" s="2">
        <v>1807.46</v>
      </c>
      <c r="E1126" s="2">
        <v>3163591190205</v>
      </c>
      <c r="F1126" s="2">
        <v>96738967</v>
      </c>
      <c r="G1126">
        <v>1093.76</v>
      </c>
      <c r="H1126">
        <v>1098.3399999999999</v>
      </c>
      <c r="I1126">
        <v>1080.1099999999999</v>
      </c>
      <c r="J1126">
        <v>3559837275</v>
      </c>
      <c r="K1126">
        <v>811688</v>
      </c>
      <c r="L1126" s="2">
        <f>VLOOKUP(A1126,[1]aaabonddata!$A:$B,2,0)</f>
        <v>2.52</v>
      </c>
    </row>
    <row r="1127" spans="1:12" x14ac:dyDescent="0.2">
      <c r="A1127" s="3">
        <v>40403</v>
      </c>
      <c r="B1127" s="2">
        <v>1818.8</v>
      </c>
      <c r="C1127" s="2">
        <v>1832.46</v>
      </c>
      <c r="D1127" s="2">
        <v>1818.3</v>
      </c>
      <c r="E1127" s="2">
        <v>3140517288314</v>
      </c>
      <c r="F1127" s="2">
        <v>0</v>
      </c>
      <c r="G1127">
        <v>1089.95</v>
      </c>
      <c r="H1127">
        <v>1099.76</v>
      </c>
      <c r="I1127">
        <v>1089.9100000000001</v>
      </c>
      <c r="J1127">
        <v>3547435743</v>
      </c>
      <c r="K1127">
        <v>0</v>
      </c>
      <c r="L1127" s="2">
        <f>VLOOKUP(A1127,[1]aaabonddata!$A:$B,2,0)</f>
        <v>2.4900000000000002</v>
      </c>
    </row>
    <row r="1128" spans="1:12" x14ac:dyDescent="0.2">
      <c r="A1128" s="3">
        <v>40406</v>
      </c>
      <c r="B1128" s="2">
        <v>1821.51</v>
      </c>
      <c r="C1128" s="2">
        <v>1834.05</v>
      </c>
      <c r="D1128" s="2">
        <v>1801.74</v>
      </c>
      <c r="E1128" s="2">
        <v>3145192364539</v>
      </c>
      <c r="F1128" s="2">
        <v>0</v>
      </c>
      <c r="G1128">
        <v>1092.8</v>
      </c>
      <c r="H1128">
        <v>1100.8699999999999</v>
      </c>
      <c r="I1128">
        <v>1078.44</v>
      </c>
      <c r="J1128">
        <v>3556732177</v>
      </c>
      <c r="K1128">
        <v>0</v>
      </c>
      <c r="L1128" s="2">
        <f>VLOOKUP(A1128,[1]aaabonddata!$A:$B,2,0)</f>
        <v>2.41</v>
      </c>
    </row>
    <row r="1129" spans="1:12" x14ac:dyDescent="0.2">
      <c r="A1129" s="3">
        <v>40407</v>
      </c>
      <c r="B1129" s="2">
        <v>1845.37</v>
      </c>
      <c r="C1129" s="2">
        <v>1860.68</v>
      </c>
      <c r="D1129" s="2">
        <v>1831.27</v>
      </c>
      <c r="E1129" s="2">
        <v>3186398126627</v>
      </c>
      <c r="F1129" s="2">
        <v>904357934</v>
      </c>
      <c r="G1129">
        <v>1106.21</v>
      </c>
      <c r="H1129">
        <v>1116.17</v>
      </c>
      <c r="I1129">
        <v>1097.04</v>
      </c>
      <c r="J1129">
        <v>3600362179</v>
      </c>
      <c r="K1129">
        <v>1646561</v>
      </c>
      <c r="L1129" s="2">
        <f>VLOOKUP(A1129,[1]aaabonddata!$A:$B,2,0)</f>
        <v>2.44</v>
      </c>
    </row>
    <row r="1130" spans="1:12" x14ac:dyDescent="0.2">
      <c r="A1130" s="3">
        <v>40408</v>
      </c>
      <c r="B1130" s="2">
        <v>1850.8</v>
      </c>
      <c r="C1130" s="2">
        <v>1862.37</v>
      </c>
      <c r="D1130" s="2">
        <v>1834.2</v>
      </c>
      <c r="E1130" s="2">
        <v>3195761745170</v>
      </c>
      <c r="F1130" s="2">
        <v>228565185</v>
      </c>
      <c r="G1130">
        <v>1112.27</v>
      </c>
      <c r="H1130">
        <v>1119.06</v>
      </c>
      <c r="I1130">
        <v>1098.18</v>
      </c>
      <c r="J1130">
        <v>3620087940</v>
      </c>
      <c r="K1130">
        <v>1160221</v>
      </c>
      <c r="L1130" s="2">
        <f>VLOOKUP(A1130,[1]aaabonddata!$A:$B,2,0)</f>
        <v>2.4300000000000002</v>
      </c>
    </row>
    <row r="1131" spans="1:12" x14ac:dyDescent="0.2">
      <c r="A1131" s="3">
        <v>40409</v>
      </c>
      <c r="B1131" s="2">
        <v>1823</v>
      </c>
      <c r="C1131" s="2">
        <v>1847.62</v>
      </c>
      <c r="D1131" s="2">
        <v>1811.57</v>
      </c>
      <c r="E1131" s="2">
        <v>3147759654830</v>
      </c>
      <c r="F1131" s="2">
        <v>0</v>
      </c>
      <c r="G1131">
        <v>1103.52</v>
      </c>
      <c r="H1131">
        <v>1117.8499999999999</v>
      </c>
      <c r="I1131">
        <v>1096.67</v>
      </c>
      <c r="J1131">
        <v>3591597120</v>
      </c>
      <c r="K1131">
        <v>0</v>
      </c>
      <c r="L1131" s="2">
        <f>VLOOKUP(A1131,[1]aaabonddata!$A:$B,2,0)</f>
        <v>2.38</v>
      </c>
    </row>
    <row r="1132" spans="1:12" x14ac:dyDescent="0.2">
      <c r="A1132" s="3">
        <v>40410</v>
      </c>
      <c r="B1132" s="2">
        <v>1825.75</v>
      </c>
      <c r="C1132" s="2">
        <v>1829.92</v>
      </c>
      <c r="D1132" s="2">
        <v>1810.62</v>
      </c>
      <c r="E1132" s="2">
        <v>3152513428718</v>
      </c>
      <c r="F1132" s="2">
        <v>0</v>
      </c>
      <c r="G1132">
        <v>1111.6199999999999</v>
      </c>
      <c r="H1132">
        <v>1114.17</v>
      </c>
      <c r="I1132">
        <v>1100.47</v>
      </c>
      <c r="J1132">
        <v>3617960377</v>
      </c>
      <c r="K1132">
        <v>0</v>
      </c>
      <c r="L1132" s="2">
        <f>VLOOKUP(A1132,[1]aaabonddata!$A:$B,2,0)</f>
        <v>2.41</v>
      </c>
    </row>
    <row r="1133" spans="1:12" x14ac:dyDescent="0.2">
      <c r="A1133" s="3">
        <v>40413</v>
      </c>
      <c r="B1133" s="2">
        <v>1808.31</v>
      </c>
      <c r="C1133" s="2">
        <v>1842.79</v>
      </c>
      <c r="D1133" s="2">
        <v>1807.84</v>
      </c>
      <c r="E1133" s="2">
        <v>3122400582343</v>
      </c>
      <c r="F1133" s="2">
        <v>91341806</v>
      </c>
      <c r="G1133">
        <v>1097.8900000000001</v>
      </c>
      <c r="H1133">
        <v>1120.6400000000001</v>
      </c>
      <c r="I1133">
        <v>1097.67</v>
      </c>
      <c r="J1133">
        <v>3573298785</v>
      </c>
      <c r="K1133">
        <v>524737</v>
      </c>
      <c r="L1133" s="2">
        <f>VLOOKUP(A1133,[1]aaabonddata!$A:$B,2,0)</f>
        <v>2.4</v>
      </c>
    </row>
    <row r="1134" spans="1:12" x14ac:dyDescent="0.2">
      <c r="A1134" s="3">
        <v>40414</v>
      </c>
      <c r="B1134" s="2">
        <v>1775.27</v>
      </c>
      <c r="C1134" s="2">
        <v>1793.43</v>
      </c>
      <c r="D1134" s="2">
        <v>1767.36</v>
      </c>
      <c r="E1134" s="2">
        <v>3065354573467</v>
      </c>
      <c r="F1134" s="2">
        <v>36691877</v>
      </c>
      <c r="G1134">
        <v>1082.55</v>
      </c>
      <c r="H1134">
        <v>1091.9000000000001</v>
      </c>
      <c r="I1134">
        <v>1072.98</v>
      </c>
      <c r="J1134">
        <v>3523373967</v>
      </c>
      <c r="K1134">
        <v>0</v>
      </c>
      <c r="L1134" s="2">
        <f>VLOOKUP(A1134,[1]aaabonddata!$A:$B,2,0)</f>
        <v>2.33</v>
      </c>
    </row>
    <row r="1135" spans="1:12" x14ac:dyDescent="0.2">
      <c r="A1135" s="3">
        <v>40415</v>
      </c>
      <c r="B1135" s="2">
        <v>1790.88</v>
      </c>
      <c r="C1135" s="2">
        <v>1798.38</v>
      </c>
      <c r="D1135" s="2">
        <v>1758.62</v>
      </c>
      <c r="E1135" s="2">
        <v>3092303827085</v>
      </c>
      <c r="F1135" s="2">
        <v>766507214</v>
      </c>
      <c r="G1135">
        <v>1087.92</v>
      </c>
      <c r="H1135">
        <v>1092.55</v>
      </c>
      <c r="I1135">
        <v>1069.68</v>
      </c>
      <c r="J1135">
        <v>3540824993</v>
      </c>
      <c r="K1135">
        <v>758285</v>
      </c>
      <c r="L1135" s="2">
        <f>VLOOKUP(A1135,[1]aaabonddata!$A:$B,2,0)</f>
        <v>2.37</v>
      </c>
    </row>
    <row r="1136" spans="1:12" x14ac:dyDescent="0.2">
      <c r="A1136" s="3">
        <v>40416</v>
      </c>
      <c r="B1136" s="2">
        <v>1769.02</v>
      </c>
      <c r="C1136" s="2">
        <v>1800.62</v>
      </c>
      <c r="D1136" s="2">
        <v>1767.85</v>
      </c>
      <c r="E1136" s="2">
        <v>3054554539707</v>
      </c>
      <c r="F1136" s="2">
        <v>0</v>
      </c>
      <c r="G1136">
        <v>1075.46</v>
      </c>
      <c r="H1136">
        <v>1095.44</v>
      </c>
      <c r="I1136">
        <v>1073.9000000000001</v>
      </c>
      <c r="J1136">
        <v>3500296449</v>
      </c>
      <c r="K1136">
        <v>0</v>
      </c>
      <c r="L1136" s="2">
        <f>VLOOKUP(A1136,[1]aaabonddata!$A:$B,2,0)</f>
        <v>2.34</v>
      </c>
    </row>
    <row r="1137" spans="1:12" x14ac:dyDescent="0.2">
      <c r="A1137" s="3">
        <v>40417</v>
      </c>
      <c r="B1137" s="2">
        <v>1791.64</v>
      </c>
      <c r="C1137" s="2">
        <v>1794.29</v>
      </c>
      <c r="D1137" s="2">
        <v>1747.32</v>
      </c>
      <c r="E1137" s="2">
        <v>3093610242025</v>
      </c>
      <c r="F1137" s="2">
        <v>0</v>
      </c>
      <c r="G1137">
        <v>1092.69</v>
      </c>
      <c r="H1137">
        <v>1095.54</v>
      </c>
      <c r="I1137">
        <v>1060.32</v>
      </c>
      <c r="J1137">
        <v>3556358655</v>
      </c>
      <c r="K1137">
        <v>0</v>
      </c>
      <c r="L1137" s="2">
        <f>VLOOKUP(A1137,[1]aaabonddata!$A:$B,2,0)</f>
        <v>2.4300000000000002</v>
      </c>
    </row>
    <row r="1138" spans="1:12" x14ac:dyDescent="0.2">
      <c r="A1138" s="3">
        <v>40420</v>
      </c>
      <c r="B1138" s="2">
        <v>1772.07</v>
      </c>
      <c r="C1138" s="2">
        <v>1798.47</v>
      </c>
      <c r="D1138" s="2">
        <v>1772.07</v>
      </c>
      <c r="E1138" s="2">
        <v>3059822759503</v>
      </c>
      <c r="F1138" s="2">
        <v>35037004</v>
      </c>
      <c r="G1138">
        <v>1073.8699999999999</v>
      </c>
      <c r="H1138">
        <v>1094.05</v>
      </c>
      <c r="I1138">
        <v>1073.8699999999999</v>
      </c>
      <c r="J1138">
        <v>3495115501</v>
      </c>
      <c r="K1138">
        <v>0</v>
      </c>
      <c r="L1138" s="2">
        <f>VLOOKUP(A1138,[1]aaabonddata!$A:$B,2,0)</f>
        <v>2.38</v>
      </c>
    </row>
    <row r="1139" spans="1:12" x14ac:dyDescent="0.2">
      <c r="A1139" s="3">
        <v>40421</v>
      </c>
      <c r="B1139" s="2">
        <v>1767.43</v>
      </c>
      <c r="C1139" s="2">
        <v>1781.47</v>
      </c>
      <c r="D1139" s="2">
        <v>1755.38</v>
      </c>
      <c r="E1139" s="2">
        <v>3051819370963</v>
      </c>
      <c r="F1139" s="2">
        <v>37197878</v>
      </c>
      <c r="G1139">
        <v>1063.9100000000001</v>
      </c>
      <c r="H1139">
        <v>1075.6099999999999</v>
      </c>
      <c r="I1139">
        <v>1058.07</v>
      </c>
      <c r="J1139">
        <v>3462693246</v>
      </c>
      <c r="K1139">
        <v>0</v>
      </c>
      <c r="L1139" s="2">
        <f>VLOOKUP(A1139,[1]aaabonddata!$A:$B,2,0)</f>
        <v>2.4</v>
      </c>
    </row>
    <row r="1140" spans="1:12" x14ac:dyDescent="0.2">
      <c r="A1140" s="3">
        <v>40422</v>
      </c>
      <c r="B1140" s="2">
        <v>1820.05</v>
      </c>
      <c r="C1140" s="2">
        <v>1824.66</v>
      </c>
      <c r="D1140" s="2">
        <v>1791.41</v>
      </c>
      <c r="E1140" s="2">
        <v>3142663682700</v>
      </c>
      <c r="F1140" s="2">
        <v>110229580</v>
      </c>
      <c r="G1140">
        <v>1096.8900000000001</v>
      </c>
      <c r="H1140">
        <v>1103.9000000000001</v>
      </c>
      <c r="I1140">
        <v>1080.42</v>
      </c>
      <c r="J1140">
        <v>3570041424</v>
      </c>
      <c r="K1140">
        <v>0</v>
      </c>
      <c r="L1140" s="2">
        <f>VLOOKUP(A1140,[1]aaabonddata!$A:$B,2,0)</f>
        <v>2.4900000000000002</v>
      </c>
    </row>
    <row r="1141" spans="1:12" x14ac:dyDescent="0.2">
      <c r="A1141" s="3">
        <v>40423</v>
      </c>
      <c r="B1141" s="2">
        <v>1840.58</v>
      </c>
      <c r="C1141" s="2">
        <v>1840.58</v>
      </c>
      <c r="D1141" s="2">
        <v>1817.99</v>
      </c>
      <c r="E1141" s="2">
        <v>3178126251615</v>
      </c>
      <c r="F1141" s="2">
        <v>0</v>
      </c>
      <c r="G1141">
        <v>1113.2</v>
      </c>
      <c r="H1141">
        <v>1113.47</v>
      </c>
      <c r="I1141">
        <v>1094.9100000000001</v>
      </c>
      <c r="J1141">
        <v>3623115236</v>
      </c>
      <c r="K1141">
        <v>0</v>
      </c>
      <c r="L1141" s="2">
        <f>VLOOKUP(A1141,[1]aaabonddata!$A:$B,2,0)</f>
        <v>2.5</v>
      </c>
    </row>
    <row r="1142" spans="1:12" x14ac:dyDescent="0.2">
      <c r="A1142" s="3">
        <v>40424</v>
      </c>
      <c r="B1142" s="2">
        <v>1870.31</v>
      </c>
      <c r="C1142" s="2">
        <v>1870.31</v>
      </c>
      <c r="D1142" s="2">
        <v>1851.6</v>
      </c>
      <c r="E1142" s="2">
        <v>3229456801477</v>
      </c>
      <c r="F1142" s="2">
        <v>200684116</v>
      </c>
      <c r="G1142">
        <v>1129.1400000000001</v>
      </c>
      <c r="H1142">
        <v>1132.19</v>
      </c>
      <c r="I1142">
        <v>1116.69</v>
      </c>
      <c r="J1142">
        <v>3674998379</v>
      </c>
      <c r="K1142">
        <v>0</v>
      </c>
      <c r="L1142" s="2">
        <f>VLOOKUP(A1142,[1]aaabonddata!$A:$B,2,0)</f>
        <v>2.5499999999999998</v>
      </c>
    </row>
    <row r="1143" spans="1:12" x14ac:dyDescent="0.2">
      <c r="A1143" s="3">
        <v>40428</v>
      </c>
      <c r="B1143" s="2">
        <v>1856.5</v>
      </c>
      <c r="C1143" s="2">
        <v>1870.06</v>
      </c>
      <c r="D1143" s="2">
        <v>1854.43</v>
      </c>
      <c r="E1143" s="2">
        <v>3205610254724</v>
      </c>
      <c r="F1143" s="2">
        <v>0</v>
      </c>
      <c r="G1143">
        <v>1118.68</v>
      </c>
      <c r="H1143">
        <v>1132.01</v>
      </c>
      <c r="I1143">
        <v>1117.51</v>
      </c>
      <c r="J1143">
        <v>3640944675</v>
      </c>
      <c r="K1143">
        <v>0</v>
      </c>
      <c r="L1143" s="2">
        <f>VLOOKUP(A1143,[1]aaabonddata!$A:$B,2,0)</f>
        <v>2.4700000000000002</v>
      </c>
    </row>
    <row r="1144" spans="1:12" x14ac:dyDescent="0.2">
      <c r="A1144" s="3">
        <v>40429</v>
      </c>
      <c r="B1144" s="2">
        <v>1880</v>
      </c>
      <c r="C1144" s="2">
        <v>1887.17</v>
      </c>
      <c r="D1144" s="2">
        <v>1863.53</v>
      </c>
      <c r="E1144" s="2">
        <v>3246179766799</v>
      </c>
      <c r="F1144" s="2">
        <v>227016026</v>
      </c>
      <c r="G1144">
        <v>1132.53</v>
      </c>
      <c r="H1144">
        <v>1136.83</v>
      </c>
      <c r="I1144">
        <v>1117.76</v>
      </c>
      <c r="J1144">
        <v>3686044087</v>
      </c>
      <c r="K1144">
        <v>0</v>
      </c>
      <c r="L1144" s="2">
        <f>VLOOKUP(A1144,[1]aaabonddata!$A:$B,2,0)</f>
        <v>2.5099999999999998</v>
      </c>
    </row>
    <row r="1145" spans="1:12" x14ac:dyDescent="0.2">
      <c r="A1145" s="3">
        <v>40430</v>
      </c>
      <c r="B1145" s="2">
        <v>1886.14</v>
      </c>
      <c r="C1145" s="2">
        <v>1897.93</v>
      </c>
      <c r="D1145" s="2">
        <v>1882.79</v>
      </c>
      <c r="E1145" s="2">
        <v>3252755231228</v>
      </c>
      <c r="F1145" s="2">
        <v>25421281</v>
      </c>
      <c r="G1145">
        <v>1134.9100000000001</v>
      </c>
      <c r="H1145">
        <v>1145.22</v>
      </c>
      <c r="I1145">
        <v>1131.8900000000001</v>
      </c>
      <c r="J1145">
        <v>3693762128</v>
      </c>
      <c r="K1145">
        <v>0</v>
      </c>
      <c r="L1145" s="2">
        <f>VLOOKUP(A1145,[1]aaabonddata!$A:$B,2,0)</f>
        <v>2.56</v>
      </c>
    </row>
    <row r="1146" spans="1:12" x14ac:dyDescent="0.2">
      <c r="A1146" s="3">
        <v>40431</v>
      </c>
      <c r="B1146" s="2">
        <v>1892.34</v>
      </c>
      <c r="C1146" s="2">
        <v>1895.92</v>
      </c>
      <c r="D1146" s="2">
        <v>1879.71</v>
      </c>
      <c r="E1146" s="2">
        <v>3263459899530</v>
      </c>
      <c r="F1146" s="2">
        <v>0</v>
      </c>
      <c r="G1146">
        <v>1131.07</v>
      </c>
      <c r="H1146">
        <v>1135.6400000000001</v>
      </c>
      <c r="I1146">
        <v>1121.06</v>
      </c>
      <c r="J1146">
        <v>3681286621</v>
      </c>
      <c r="K1146">
        <v>0</v>
      </c>
      <c r="L1146" s="2">
        <f>VLOOKUP(A1146,[1]aaabonddata!$A:$B,2,0)</f>
        <v>2.58</v>
      </c>
    </row>
    <row r="1147" spans="1:12" x14ac:dyDescent="0.2">
      <c r="A1147" s="3">
        <v>40434</v>
      </c>
      <c r="B1147" s="2">
        <v>1921.67</v>
      </c>
      <c r="C1147" s="2">
        <v>1924.61</v>
      </c>
      <c r="D1147" s="2">
        <v>1908.41</v>
      </c>
      <c r="E1147" s="2">
        <v>3314035429196</v>
      </c>
      <c r="F1147" s="2">
        <v>0</v>
      </c>
      <c r="G1147">
        <v>1158.6400000000001</v>
      </c>
      <c r="H1147">
        <v>1161.24</v>
      </c>
      <c r="I1147">
        <v>1142.97</v>
      </c>
      <c r="J1147">
        <v>3770996876</v>
      </c>
      <c r="K1147">
        <v>0</v>
      </c>
      <c r="L1147" s="2">
        <f>VLOOKUP(A1147,[1]aaabonddata!$A:$B,2,0)</f>
        <v>2.52</v>
      </c>
    </row>
    <row r="1148" spans="1:12" x14ac:dyDescent="0.2">
      <c r="A1148" s="3">
        <v>40435</v>
      </c>
      <c r="B1148" s="2">
        <v>1928.59</v>
      </c>
      <c r="C1148" s="2">
        <v>1938.01</v>
      </c>
      <c r="D1148" s="2">
        <v>1913.71</v>
      </c>
      <c r="E1148" s="2">
        <v>3325973289348</v>
      </c>
      <c r="F1148" s="2">
        <v>0</v>
      </c>
      <c r="G1148">
        <v>1167.21</v>
      </c>
      <c r="H1148">
        <v>1174.42</v>
      </c>
      <c r="I1148">
        <v>1151.96</v>
      </c>
      <c r="J1148">
        <v>3798888520</v>
      </c>
      <c r="K1148">
        <v>0</v>
      </c>
      <c r="L1148" s="2">
        <f>VLOOKUP(A1148,[1]aaabonddata!$A:$B,2,0)</f>
        <v>2.46</v>
      </c>
    </row>
    <row r="1149" spans="1:12" x14ac:dyDescent="0.2">
      <c r="A1149" s="3">
        <v>40436</v>
      </c>
      <c r="B1149" s="2">
        <v>1939.6</v>
      </c>
      <c r="C1149" s="2">
        <v>1942.34</v>
      </c>
      <c r="D1149" s="2">
        <v>1918.1</v>
      </c>
      <c r="E1149" s="2">
        <v>3344965559402</v>
      </c>
      <c r="F1149" s="2">
        <v>0</v>
      </c>
      <c r="G1149">
        <v>1171.07</v>
      </c>
      <c r="H1149">
        <v>1173.17</v>
      </c>
      <c r="I1149">
        <v>1157.0999999999999</v>
      </c>
      <c r="J1149">
        <v>3811470510</v>
      </c>
      <c r="K1149">
        <v>0</v>
      </c>
      <c r="L1149" s="2">
        <f>VLOOKUP(A1149,[1]aaabonddata!$A:$B,2,0)</f>
        <v>2.48</v>
      </c>
    </row>
    <row r="1150" spans="1:12" x14ac:dyDescent="0.2">
      <c r="A1150" s="3">
        <v>40437</v>
      </c>
      <c r="B1150" s="2">
        <v>1948.11</v>
      </c>
      <c r="C1150" s="2">
        <v>1949.39</v>
      </c>
      <c r="D1150" s="2">
        <v>1931.72</v>
      </c>
      <c r="E1150" s="2">
        <v>3359632277111</v>
      </c>
      <c r="F1150" s="2">
        <v>0</v>
      </c>
      <c r="G1150">
        <v>1175.21</v>
      </c>
      <c r="H1150">
        <v>1176.76</v>
      </c>
      <c r="I1150">
        <v>1164.3</v>
      </c>
      <c r="J1150">
        <v>3824923202</v>
      </c>
      <c r="K1150">
        <v>0</v>
      </c>
      <c r="L1150" s="2">
        <f>VLOOKUP(A1150,[1]aaabonddata!$A:$B,2,0)</f>
        <v>2.5</v>
      </c>
    </row>
    <row r="1151" spans="1:12" x14ac:dyDescent="0.2">
      <c r="A1151" s="3">
        <v>40438</v>
      </c>
      <c r="B1151" s="2">
        <v>1955.83</v>
      </c>
      <c r="C1151" s="2">
        <v>1961.01</v>
      </c>
      <c r="D1151" s="2">
        <v>1945.52</v>
      </c>
      <c r="E1151" s="2">
        <v>3372952066386</v>
      </c>
      <c r="F1151" s="2">
        <v>0</v>
      </c>
      <c r="G1151">
        <v>1178.92</v>
      </c>
      <c r="H1151">
        <v>1183.04</v>
      </c>
      <c r="I1151">
        <v>1173.67</v>
      </c>
      <c r="J1151">
        <v>3836999062</v>
      </c>
      <c r="K1151">
        <v>0</v>
      </c>
      <c r="L1151" s="2">
        <f>VLOOKUP(A1151,[1]aaabonddata!$A:$B,2,0)</f>
        <v>2.48</v>
      </c>
    </row>
    <row r="1152" spans="1:12" x14ac:dyDescent="0.2">
      <c r="A1152" s="3">
        <v>40441</v>
      </c>
      <c r="B1152" s="2">
        <v>1989.43</v>
      </c>
      <c r="C1152" s="2">
        <v>1992.8</v>
      </c>
      <c r="D1152" s="2">
        <v>1960.43</v>
      </c>
      <c r="E1152" s="2">
        <v>3416282786406</v>
      </c>
      <c r="F1152" s="2">
        <v>0</v>
      </c>
      <c r="G1152">
        <v>1191.0999999999999</v>
      </c>
      <c r="H1152">
        <v>1193.3800000000001</v>
      </c>
      <c r="I1152">
        <v>1176.3</v>
      </c>
      <c r="J1152">
        <v>3839259348</v>
      </c>
      <c r="K1152">
        <v>0</v>
      </c>
      <c r="L1152" s="2">
        <f>VLOOKUP(A1152,[1]aaabonddata!$A:$B,2,0)</f>
        <v>2.4500000000000002</v>
      </c>
    </row>
    <row r="1153" spans="1:12" x14ac:dyDescent="0.2">
      <c r="A1153" s="3">
        <v>40442</v>
      </c>
      <c r="B1153" s="2">
        <v>1989.11</v>
      </c>
      <c r="C1153" s="2">
        <v>2002.79</v>
      </c>
      <c r="D1153" s="2">
        <v>1980.47</v>
      </c>
      <c r="E1153" s="2">
        <v>3415736061177</v>
      </c>
      <c r="F1153" s="2">
        <v>0</v>
      </c>
      <c r="G1153">
        <v>1189.8</v>
      </c>
      <c r="H1153">
        <v>1198.05</v>
      </c>
      <c r="I1153">
        <v>1184.6600000000001</v>
      </c>
      <c r="J1153">
        <v>3835077388</v>
      </c>
      <c r="K1153">
        <v>0</v>
      </c>
      <c r="L1153" s="2">
        <f>VLOOKUP(A1153,[1]aaabonddata!$A:$B,2,0)</f>
        <v>2.39</v>
      </c>
    </row>
    <row r="1154" spans="1:12" x14ac:dyDescent="0.2">
      <c r="A1154" s="3">
        <v>40443</v>
      </c>
      <c r="B1154" s="2">
        <v>1982.76</v>
      </c>
      <c r="C1154" s="2">
        <v>1996.45</v>
      </c>
      <c r="D1154" s="2">
        <v>1972.83</v>
      </c>
      <c r="E1154" s="2">
        <v>3404831133376</v>
      </c>
      <c r="F1154" s="2">
        <v>82910520</v>
      </c>
      <c r="G1154">
        <v>1172.21</v>
      </c>
      <c r="H1154">
        <v>1185.5</v>
      </c>
      <c r="I1154">
        <v>1165.47</v>
      </c>
      <c r="J1154">
        <v>3778392065</v>
      </c>
      <c r="K1154">
        <v>0</v>
      </c>
      <c r="L1154" s="2">
        <f>VLOOKUP(A1154,[1]aaabonddata!$A:$B,2,0)</f>
        <v>2.37</v>
      </c>
    </row>
    <row r="1155" spans="1:12" x14ac:dyDescent="0.2">
      <c r="A1155" s="3">
        <v>40444</v>
      </c>
      <c r="B1155" s="2">
        <v>1982.15</v>
      </c>
      <c r="C1155" s="2">
        <v>2002.46</v>
      </c>
      <c r="D1155" s="2">
        <v>1967.82</v>
      </c>
      <c r="E1155" s="2">
        <v>3403775677143</v>
      </c>
      <c r="F1155" s="2">
        <v>0</v>
      </c>
      <c r="G1155">
        <v>1173.69</v>
      </c>
      <c r="H1155">
        <v>1187.05</v>
      </c>
      <c r="I1155">
        <v>1161.4000000000001</v>
      </c>
      <c r="J1155">
        <v>3783145100</v>
      </c>
      <c r="K1155">
        <v>0</v>
      </c>
      <c r="L1155" s="2">
        <f>VLOOKUP(A1155,[1]aaabonddata!$A:$B,2,0)</f>
        <v>2.37</v>
      </c>
    </row>
    <row r="1156" spans="1:12" x14ac:dyDescent="0.2">
      <c r="A1156" s="3">
        <v>40445</v>
      </c>
      <c r="B1156" s="2">
        <v>2023.84</v>
      </c>
      <c r="C1156" s="2">
        <v>2023.85</v>
      </c>
      <c r="D1156" s="2">
        <v>2002.55</v>
      </c>
      <c r="E1156" s="2">
        <v>3475369013137</v>
      </c>
      <c r="F1156" s="2">
        <v>0</v>
      </c>
      <c r="G1156">
        <v>1206.4100000000001</v>
      </c>
      <c r="H1156">
        <v>1207.1500000000001</v>
      </c>
      <c r="I1156">
        <v>1188.26</v>
      </c>
      <c r="J1156">
        <v>3888619715</v>
      </c>
      <c r="K1156">
        <v>0</v>
      </c>
      <c r="L1156" s="2">
        <f>VLOOKUP(A1156,[1]aaabonddata!$A:$B,2,0)</f>
        <v>2.38</v>
      </c>
    </row>
    <row r="1157" spans="1:12" x14ac:dyDescent="0.2">
      <c r="A1157" s="3">
        <v>40448</v>
      </c>
      <c r="B1157" s="2">
        <v>2010.99</v>
      </c>
      <c r="C1157" s="2">
        <v>2026.42</v>
      </c>
      <c r="D1157" s="2">
        <v>2010.53</v>
      </c>
      <c r="E1157" s="2">
        <v>3453296833818</v>
      </c>
      <c r="F1157" s="2">
        <v>12876963</v>
      </c>
      <c r="G1157">
        <v>1202.07</v>
      </c>
      <c r="H1157">
        <v>1210.98</v>
      </c>
      <c r="I1157">
        <v>1198.8800000000001</v>
      </c>
      <c r="J1157">
        <v>3874644798</v>
      </c>
      <c r="K1157">
        <v>0</v>
      </c>
      <c r="L1157" s="2">
        <f>VLOOKUP(A1157,[1]aaabonddata!$A:$B,2,0)</f>
        <v>2.31</v>
      </c>
    </row>
    <row r="1158" spans="1:12" x14ac:dyDescent="0.2">
      <c r="A1158" s="3">
        <v>40449</v>
      </c>
      <c r="B1158" s="2">
        <v>2012.43</v>
      </c>
      <c r="C1158" s="2">
        <v>2017.57</v>
      </c>
      <c r="D1158" s="2">
        <v>1979.74</v>
      </c>
      <c r="E1158" s="2">
        <v>3455777044652</v>
      </c>
      <c r="F1158" s="2">
        <v>0</v>
      </c>
      <c r="G1158">
        <v>1214</v>
      </c>
      <c r="H1158">
        <v>1216.5899999999999</v>
      </c>
      <c r="I1158">
        <v>1188.0899999999999</v>
      </c>
      <c r="J1158">
        <v>3913087263</v>
      </c>
      <c r="K1158">
        <v>0</v>
      </c>
      <c r="L1158" s="2">
        <f>VLOOKUP(A1158,[1]aaabonddata!$A:$B,2,0)</f>
        <v>2.2799999999999998</v>
      </c>
    </row>
    <row r="1159" spans="1:12" x14ac:dyDescent="0.2">
      <c r="A1159" s="3">
        <v>40450</v>
      </c>
      <c r="B1159" s="2">
        <v>2009.08</v>
      </c>
      <c r="C1159" s="2">
        <v>2017.24</v>
      </c>
      <c r="D1159" s="2">
        <v>2000.91</v>
      </c>
      <c r="E1159" s="2">
        <v>3450016611519</v>
      </c>
      <c r="F1159" s="2">
        <v>0</v>
      </c>
      <c r="G1159">
        <v>1220.96</v>
      </c>
      <c r="H1159">
        <v>1223.9100000000001</v>
      </c>
      <c r="I1159">
        <v>1209.95</v>
      </c>
      <c r="J1159">
        <v>3935531544</v>
      </c>
      <c r="K1159">
        <v>0</v>
      </c>
      <c r="L1159" s="2">
        <f>VLOOKUP(A1159,[1]aaabonddata!$A:$B,2,0)</f>
        <v>2.31</v>
      </c>
    </row>
    <row r="1160" spans="1:12" x14ac:dyDescent="0.2">
      <c r="A1160" s="3">
        <v>40451</v>
      </c>
      <c r="B1160" s="2">
        <v>1998.04</v>
      </c>
      <c r="C1160" s="2">
        <v>2029.65</v>
      </c>
      <c r="D1160" s="2">
        <v>1986.33</v>
      </c>
      <c r="E1160" s="2">
        <v>3431063081039</v>
      </c>
      <c r="F1160" s="2">
        <v>0</v>
      </c>
      <c r="G1160">
        <v>1214.53</v>
      </c>
      <c r="H1160">
        <v>1235.75</v>
      </c>
      <c r="I1160">
        <v>1204.56</v>
      </c>
      <c r="J1160">
        <v>3914810014</v>
      </c>
      <c r="K1160">
        <v>0</v>
      </c>
      <c r="L1160" s="2">
        <f>VLOOKUP(A1160,[1]aaabonddata!$A:$B,2,0)</f>
        <v>2.37</v>
      </c>
    </row>
    <row r="1161" spans="1:12" x14ac:dyDescent="0.2">
      <c r="A1161" s="3">
        <v>40452</v>
      </c>
      <c r="B1161" s="2">
        <v>1996.6</v>
      </c>
      <c r="C1161" s="2">
        <v>2017.23</v>
      </c>
      <c r="D1161" s="2">
        <v>1987.71</v>
      </c>
      <c r="E1161" s="2">
        <v>3428593125735</v>
      </c>
      <c r="F1161" s="2">
        <v>0</v>
      </c>
      <c r="G1161">
        <v>1215.0999999999999</v>
      </c>
      <c r="H1161">
        <v>1228.58</v>
      </c>
      <c r="I1161">
        <v>1210.1099999999999</v>
      </c>
      <c r="J1161">
        <v>3916642216</v>
      </c>
      <c r="K1161">
        <v>0</v>
      </c>
      <c r="L1161" s="2">
        <f>VLOOKUP(A1161,[1]aaabonddata!$A:$B,2,0)</f>
        <v>2.35</v>
      </c>
    </row>
    <row r="1162" spans="1:12" x14ac:dyDescent="0.2">
      <c r="A1162" s="3">
        <v>40455</v>
      </c>
      <c r="B1162" s="2">
        <v>1975.33</v>
      </c>
      <c r="C1162" s="2">
        <v>1997.67</v>
      </c>
      <c r="D1162" s="2">
        <v>1963.68</v>
      </c>
      <c r="E1162" s="2">
        <v>3392060686220</v>
      </c>
      <c r="F1162" s="2">
        <v>453954301</v>
      </c>
      <c r="G1162">
        <v>1199.72</v>
      </c>
      <c r="H1162">
        <v>1213.6400000000001</v>
      </c>
      <c r="I1162">
        <v>1188.6400000000001</v>
      </c>
      <c r="J1162">
        <v>3867053571</v>
      </c>
      <c r="K1162">
        <v>182083</v>
      </c>
      <c r="L1162" s="2">
        <f>VLOOKUP(A1162,[1]aaabonddata!$A:$B,2,0)</f>
        <v>2.33</v>
      </c>
    </row>
    <row r="1163" spans="1:12" x14ac:dyDescent="0.2">
      <c r="A1163" s="3">
        <v>40456</v>
      </c>
      <c r="B1163" s="2">
        <v>2024.63</v>
      </c>
      <c r="C1163" s="2">
        <v>2026.46</v>
      </c>
      <c r="D1163" s="2">
        <v>1996.21</v>
      </c>
      <c r="E1163" s="2">
        <v>3476719206691</v>
      </c>
      <c r="F1163" s="2">
        <v>0</v>
      </c>
      <c r="G1163">
        <v>1227.93</v>
      </c>
      <c r="H1163">
        <v>1230.25</v>
      </c>
      <c r="I1163">
        <v>1211.1099999999999</v>
      </c>
      <c r="J1163">
        <v>3957976709</v>
      </c>
      <c r="K1163">
        <v>0</v>
      </c>
      <c r="L1163" s="2">
        <f>VLOOKUP(A1163,[1]aaabonddata!$A:$B,2,0)</f>
        <v>2.29</v>
      </c>
    </row>
    <row r="1164" spans="1:12" x14ac:dyDescent="0.2">
      <c r="A1164" s="3">
        <v>40457</v>
      </c>
      <c r="B1164" s="2">
        <v>2006.52</v>
      </c>
      <c r="C1164" s="2">
        <v>2024.92</v>
      </c>
      <c r="D1164" s="2">
        <v>1992.65</v>
      </c>
      <c r="E1164" s="2">
        <v>3445623248881</v>
      </c>
      <c r="F1164" s="2">
        <v>22335619</v>
      </c>
      <c r="G1164">
        <v>1204.24</v>
      </c>
      <c r="H1164">
        <v>1226.0999999999999</v>
      </c>
      <c r="I1164">
        <v>1197.4100000000001</v>
      </c>
      <c r="J1164">
        <v>3881612516</v>
      </c>
      <c r="K1164">
        <v>0</v>
      </c>
      <c r="L1164" s="2">
        <f>VLOOKUP(A1164,[1]aaabonddata!$A:$B,2,0)</f>
        <v>2.23</v>
      </c>
    </row>
    <row r="1165" spans="1:12" x14ac:dyDescent="0.2">
      <c r="A1165" s="3">
        <v>40458</v>
      </c>
      <c r="B1165" s="2">
        <v>2011.63</v>
      </c>
      <c r="C1165" s="2">
        <v>2017.44</v>
      </c>
      <c r="D1165" s="2">
        <v>1996.25</v>
      </c>
      <c r="E1165" s="2">
        <v>3454392236372</v>
      </c>
      <c r="F1165" s="2">
        <v>0</v>
      </c>
      <c r="G1165">
        <v>1212.51</v>
      </c>
      <c r="H1165">
        <v>1215.6300000000001</v>
      </c>
      <c r="I1165">
        <v>1198.54</v>
      </c>
      <c r="J1165">
        <v>3908290331</v>
      </c>
      <c r="K1165">
        <v>0</v>
      </c>
      <c r="L1165" s="2">
        <f>VLOOKUP(A1165,[1]aaabonddata!$A:$B,2,0)</f>
        <v>2.2200000000000002</v>
      </c>
    </row>
    <row r="1166" spans="1:12" x14ac:dyDescent="0.2">
      <c r="A1166" s="3">
        <v>40459</v>
      </c>
      <c r="B1166" s="2">
        <v>2027.03</v>
      </c>
      <c r="C1166" s="2">
        <v>2030.89</v>
      </c>
      <c r="D1166" s="2">
        <v>1999.89</v>
      </c>
      <c r="E1166" s="2">
        <v>3480846615381</v>
      </c>
      <c r="F1166" s="2">
        <v>0</v>
      </c>
      <c r="G1166">
        <v>1219.96</v>
      </c>
      <c r="H1166">
        <v>1222.48</v>
      </c>
      <c r="I1166">
        <v>1199.78</v>
      </c>
      <c r="J1166">
        <v>3932311175</v>
      </c>
      <c r="K1166">
        <v>0</v>
      </c>
      <c r="L1166" s="2">
        <f>VLOOKUP(A1166,[1]aaabonddata!$A:$B,2,0)</f>
        <v>2.21</v>
      </c>
    </row>
    <row r="1167" spans="1:12" x14ac:dyDescent="0.2">
      <c r="A1167" s="3">
        <v>40462</v>
      </c>
      <c r="B1167" s="2">
        <v>2026.98</v>
      </c>
      <c r="C1167" s="2">
        <v>2037.12</v>
      </c>
      <c r="D1167" s="2">
        <v>2021.43</v>
      </c>
      <c r="E1167" s="2">
        <v>3480761120588</v>
      </c>
      <c r="F1167" s="2">
        <v>0</v>
      </c>
      <c r="G1167">
        <v>1221.47</v>
      </c>
      <c r="H1167">
        <v>1229.6500000000001</v>
      </c>
      <c r="I1167">
        <v>1218.32</v>
      </c>
      <c r="J1167">
        <v>3937170921</v>
      </c>
      <c r="K1167">
        <v>0</v>
      </c>
      <c r="L1167" s="2">
        <f>VLOOKUP(A1167,[1]aaabonddata!$A:$B,2,0)</f>
        <v>2.2000000000000002</v>
      </c>
    </row>
    <row r="1168" spans="1:12" x14ac:dyDescent="0.2">
      <c r="A1168" s="3">
        <v>40463</v>
      </c>
      <c r="B1168" s="2">
        <v>2041.55</v>
      </c>
      <c r="C1168" s="2">
        <v>2045.08</v>
      </c>
      <c r="D1168" s="2">
        <v>2007.13</v>
      </c>
      <c r="E1168" s="2">
        <v>3505777479069</v>
      </c>
      <c r="F1168" s="2">
        <v>0</v>
      </c>
      <c r="G1168">
        <v>1235.4100000000001</v>
      </c>
      <c r="H1168">
        <v>1237.96</v>
      </c>
      <c r="I1168">
        <v>1211.1199999999999</v>
      </c>
      <c r="J1168">
        <v>3982112459</v>
      </c>
      <c r="K1168">
        <v>0</v>
      </c>
      <c r="L1168" s="2">
        <f>VLOOKUP(A1168,[1]aaabonddata!$A:$B,2,0)</f>
        <v>2.2400000000000002</v>
      </c>
    </row>
    <row r="1169" spans="1:12" x14ac:dyDescent="0.2">
      <c r="A1169" s="3">
        <v>40464</v>
      </c>
      <c r="B1169" s="2">
        <v>2057.25</v>
      </c>
      <c r="C1169" s="2">
        <v>2067.06</v>
      </c>
      <c r="D1169" s="2">
        <v>2048.0500000000002</v>
      </c>
      <c r="E1169" s="2">
        <v>3532744212703</v>
      </c>
      <c r="F1169" s="2">
        <v>0</v>
      </c>
      <c r="G1169">
        <v>1246.9100000000001</v>
      </c>
      <c r="H1169">
        <v>1253.43</v>
      </c>
      <c r="I1169">
        <v>1236.43</v>
      </c>
      <c r="J1169">
        <v>4019154535</v>
      </c>
      <c r="K1169">
        <v>0</v>
      </c>
      <c r="L1169" s="2">
        <f>VLOOKUP(A1169,[1]aaabonddata!$A:$B,2,0)</f>
        <v>2.2400000000000002</v>
      </c>
    </row>
    <row r="1170" spans="1:12" x14ac:dyDescent="0.2">
      <c r="A1170" s="3">
        <v>40465</v>
      </c>
      <c r="B1170" s="2">
        <v>2054.5100000000002</v>
      </c>
      <c r="C1170" s="2">
        <v>2062.2600000000002</v>
      </c>
      <c r="D1170" s="2">
        <v>2043.7</v>
      </c>
      <c r="E1170" s="2">
        <v>3528034097553</v>
      </c>
      <c r="F1170" s="2">
        <v>0</v>
      </c>
      <c r="G1170">
        <v>1243.71</v>
      </c>
      <c r="H1170">
        <v>1250.46</v>
      </c>
      <c r="I1170">
        <v>1237.28</v>
      </c>
      <c r="J1170">
        <v>4008846409</v>
      </c>
      <c r="K1170">
        <v>0</v>
      </c>
      <c r="L1170" s="2">
        <f>VLOOKUP(A1170,[1]aaabonddata!$A:$B,2,0)</f>
        <v>2.2799999999999998</v>
      </c>
    </row>
    <row r="1171" spans="1:12" x14ac:dyDescent="0.2">
      <c r="A1171" s="3">
        <v>40466</v>
      </c>
      <c r="B1171" s="2">
        <v>2097.73</v>
      </c>
      <c r="C1171" s="2">
        <v>2097.73</v>
      </c>
      <c r="D1171" s="2">
        <v>2062.84</v>
      </c>
      <c r="E1171" s="2">
        <v>3602250140513</v>
      </c>
      <c r="F1171" s="2">
        <v>0</v>
      </c>
      <c r="G1171">
        <v>1265.76</v>
      </c>
      <c r="H1171">
        <v>1265.98</v>
      </c>
      <c r="I1171">
        <v>1247.1400000000001</v>
      </c>
      <c r="J1171">
        <v>4079925489</v>
      </c>
      <c r="K1171">
        <v>0</v>
      </c>
      <c r="L1171" s="2">
        <f>VLOOKUP(A1171,[1]aaabonddata!$A:$B,2,0)</f>
        <v>2.31</v>
      </c>
    </row>
    <row r="1172" spans="1:12" x14ac:dyDescent="0.2">
      <c r="A1172" s="3">
        <v>40469</v>
      </c>
      <c r="B1172" s="2">
        <v>2104.15</v>
      </c>
      <c r="C1172" s="2">
        <v>2105.0700000000002</v>
      </c>
      <c r="D1172" s="2">
        <v>2091.15</v>
      </c>
      <c r="E1172" s="2">
        <v>3613281582330</v>
      </c>
      <c r="F1172" s="2">
        <v>0</v>
      </c>
      <c r="G1172">
        <v>1266.0899999999999</v>
      </c>
      <c r="H1172">
        <v>1267.05</v>
      </c>
      <c r="I1172">
        <v>1257</v>
      </c>
      <c r="J1172">
        <v>4080998853</v>
      </c>
      <c r="K1172">
        <v>0</v>
      </c>
      <c r="L1172" s="2">
        <f>VLOOKUP(A1172,[1]aaabonddata!$A:$B,2,0)</f>
        <v>2.25</v>
      </c>
    </row>
    <row r="1173" spans="1:12" x14ac:dyDescent="0.2">
      <c r="A1173" s="3">
        <v>40470</v>
      </c>
      <c r="B1173" s="2">
        <v>2069.73</v>
      </c>
      <c r="C1173" s="2">
        <v>2087.0500000000002</v>
      </c>
      <c r="D1173" s="2">
        <v>2054.61</v>
      </c>
      <c r="E1173" s="2">
        <v>3554164799678</v>
      </c>
      <c r="F1173" s="2">
        <v>186248240</v>
      </c>
      <c r="G1173">
        <v>1247.04</v>
      </c>
      <c r="H1173">
        <v>1262.04</v>
      </c>
      <c r="I1173">
        <v>1236.32</v>
      </c>
      <c r="J1173">
        <v>4019574332</v>
      </c>
      <c r="K1173">
        <v>1391886</v>
      </c>
      <c r="L1173" s="2">
        <f>VLOOKUP(A1173,[1]aaabonddata!$A:$B,2,0)</f>
        <v>2.2400000000000002</v>
      </c>
    </row>
    <row r="1174" spans="1:12" x14ac:dyDescent="0.2">
      <c r="A1174" s="3">
        <v>40471</v>
      </c>
      <c r="B1174" s="2">
        <v>2085.75</v>
      </c>
      <c r="C1174" s="2">
        <v>2100.16</v>
      </c>
      <c r="D1174" s="2">
        <v>2072.54</v>
      </c>
      <c r="E1174" s="2">
        <v>3581681259301</v>
      </c>
      <c r="F1174" s="2">
        <v>0</v>
      </c>
      <c r="G1174">
        <v>1259.58</v>
      </c>
      <c r="H1174">
        <v>1267.02</v>
      </c>
      <c r="I1174">
        <v>1249.8599999999999</v>
      </c>
      <c r="J1174">
        <v>4060014287</v>
      </c>
      <c r="K1174">
        <v>0</v>
      </c>
      <c r="L1174" s="2">
        <f>VLOOKUP(A1174,[1]aaabonddata!$A:$B,2,0)</f>
        <v>2.23</v>
      </c>
    </row>
    <row r="1175" spans="1:12" x14ac:dyDescent="0.2">
      <c r="A1175" s="3">
        <v>40472</v>
      </c>
      <c r="B1175" s="2">
        <v>2090.1</v>
      </c>
      <c r="C1175" s="2">
        <v>2106.2399999999998</v>
      </c>
      <c r="D1175" s="2">
        <v>2069.4499999999998</v>
      </c>
      <c r="E1175" s="2">
        <v>3589141971460</v>
      </c>
      <c r="F1175" s="2">
        <v>0</v>
      </c>
      <c r="G1175">
        <v>1259.0899999999999</v>
      </c>
      <c r="H1175">
        <v>1266.8800000000001</v>
      </c>
      <c r="I1175">
        <v>1245.42</v>
      </c>
      <c r="J1175">
        <v>4058424516</v>
      </c>
      <c r="K1175">
        <v>0</v>
      </c>
      <c r="L1175" s="2">
        <f>VLOOKUP(A1175,[1]aaabonddata!$A:$B,2,0)</f>
        <v>2.2599999999999998</v>
      </c>
    </row>
    <row r="1176" spans="1:12" x14ac:dyDescent="0.2">
      <c r="A1176" s="3">
        <v>40473</v>
      </c>
      <c r="B1176" s="2">
        <v>2104.21</v>
      </c>
      <c r="C1176" s="2">
        <v>2105.44</v>
      </c>
      <c r="D1176" s="2">
        <v>2086.89</v>
      </c>
      <c r="E1176" s="2">
        <v>3613378685237</v>
      </c>
      <c r="F1176" s="2">
        <v>0</v>
      </c>
      <c r="G1176">
        <v>1280.0899999999999</v>
      </c>
      <c r="H1176">
        <v>1281.19</v>
      </c>
      <c r="I1176">
        <v>1260.48</v>
      </c>
      <c r="J1176">
        <v>4126129009</v>
      </c>
      <c r="K1176">
        <v>0</v>
      </c>
      <c r="L1176" s="2">
        <f>VLOOKUP(A1176,[1]aaabonddata!$A:$B,2,0)</f>
        <v>2.27</v>
      </c>
    </row>
    <row r="1177" spans="1:12" x14ac:dyDescent="0.2">
      <c r="A1177" s="3">
        <v>40476</v>
      </c>
      <c r="B1177" s="2">
        <v>2113.5500000000002</v>
      </c>
      <c r="C1177" s="2">
        <v>2127.2600000000002</v>
      </c>
      <c r="D1177" s="2">
        <v>2112.2800000000002</v>
      </c>
      <c r="E1177" s="2">
        <v>3629418082747</v>
      </c>
      <c r="F1177" s="2">
        <v>0</v>
      </c>
      <c r="G1177">
        <v>1287.46</v>
      </c>
      <c r="H1177">
        <v>1293.9100000000001</v>
      </c>
      <c r="I1177">
        <v>1283.53</v>
      </c>
      <c r="J1177">
        <v>4149881504</v>
      </c>
      <c r="K1177">
        <v>0</v>
      </c>
      <c r="L1177" s="2">
        <f>VLOOKUP(A1177,[1]aaabonddata!$A:$B,2,0)</f>
        <v>2.27</v>
      </c>
    </row>
    <row r="1178" spans="1:12" x14ac:dyDescent="0.2">
      <c r="A1178" s="3">
        <v>40477</v>
      </c>
      <c r="B1178" s="2">
        <v>2119.0500000000002</v>
      </c>
      <c r="C1178" s="2">
        <v>2123.81</v>
      </c>
      <c r="D1178" s="2">
        <v>2094.84</v>
      </c>
      <c r="E1178" s="2">
        <v>3638865059661</v>
      </c>
      <c r="F1178" s="2">
        <v>0</v>
      </c>
      <c r="G1178">
        <v>1290.3800000000001</v>
      </c>
      <c r="H1178">
        <v>1293.99</v>
      </c>
      <c r="I1178">
        <v>1274.01</v>
      </c>
      <c r="J1178">
        <v>4159284277</v>
      </c>
      <c r="K1178">
        <v>0</v>
      </c>
      <c r="L1178" s="2">
        <f>VLOOKUP(A1178,[1]aaabonddata!$A:$B,2,0)</f>
        <v>2.34</v>
      </c>
    </row>
    <row r="1179" spans="1:12" x14ac:dyDescent="0.2">
      <c r="A1179" s="3">
        <v>40478</v>
      </c>
      <c r="B1179" s="2">
        <v>2125.88</v>
      </c>
      <c r="C1179" s="2">
        <v>2127.21</v>
      </c>
      <c r="D1179" s="2">
        <v>2104.9899999999998</v>
      </c>
      <c r="E1179" s="2">
        <v>3650584820526</v>
      </c>
      <c r="F1179" s="2">
        <v>89066721</v>
      </c>
      <c r="G1179">
        <v>1305.44</v>
      </c>
      <c r="H1179">
        <v>1305.82</v>
      </c>
      <c r="I1179">
        <v>1284.77</v>
      </c>
      <c r="J1179">
        <v>4207830987</v>
      </c>
      <c r="K1179">
        <v>0</v>
      </c>
      <c r="L1179" s="2">
        <f>VLOOKUP(A1179,[1]aaabonddata!$A:$B,2,0)</f>
        <v>2.38</v>
      </c>
    </row>
    <row r="1180" spans="1:12" x14ac:dyDescent="0.2">
      <c r="A1180" s="3">
        <v>40479</v>
      </c>
      <c r="B1180" s="2">
        <v>2129.73</v>
      </c>
      <c r="C1180" s="2">
        <v>2135.69</v>
      </c>
      <c r="D1180" s="2">
        <v>2112.09</v>
      </c>
      <c r="E1180" s="2">
        <v>3657196498155</v>
      </c>
      <c r="F1180" s="2">
        <v>199681082</v>
      </c>
      <c r="G1180">
        <v>1303.33</v>
      </c>
      <c r="H1180">
        <v>1308.28</v>
      </c>
      <c r="I1180">
        <v>1293.5899999999999</v>
      </c>
      <c r="J1180">
        <v>4201026465</v>
      </c>
      <c r="K1180">
        <v>0</v>
      </c>
      <c r="L1180" s="2">
        <f>VLOOKUP(A1180,[1]aaabonddata!$A:$B,2,0)</f>
        <v>2.33</v>
      </c>
    </row>
    <row r="1181" spans="1:12" x14ac:dyDescent="0.2">
      <c r="A1181" s="3">
        <v>40480</v>
      </c>
      <c r="B1181" s="2">
        <v>2124.4499999999998</v>
      </c>
      <c r="C1181" s="2">
        <v>2137.33</v>
      </c>
      <c r="D1181" s="2">
        <v>2124.4499999999998</v>
      </c>
      <c r="E1181" s="2">
        <v>3648140973844</v>
      </c>
      <c r="F1181" s="2">
        <v>0</v>
      </c>
      <c r="G1181">
        <v>1310.87</v>
      </c>
      <c r="H1181">
        <v>1317.92</v>
      </c>
      <c r="I1181">
        <v>1303.8399999999999</v>
      </c>
      <c r="J1181">
        <v>4225344688</v>
      </c>
      <c r="K1181">
        <v>0</v>
      </c>
      <c r="L1181" s="2">
        <f>VLOOKUP(A1181,[1]aaabonddata!$A:$B,2,0)</f>
        <v>2.2799999999999998</v>
      </c>
    </row>
    <row r="1182" spans="1:12" x14ac:dyDescent="0.2">
      <c r="A1182" s="3">
        <v>40483</v>
      </c>
      <c r="B1182" s="2">
        <v>2128.42</v>
      </c>
      <c r="C1182" s="2">
        <v>2148.0700000000002</v>
      </c>
      <c r="D1182" s="2">
        <v>2117.59</v>
      </c>
      <c r="E1182" s="2">
        <v>3654956342074</v>
      </c>
      <c r="F1182" s="2">
        <v>0</v>
      </c>
      <c r="G1182">
        <v>1308.3</v>
      </c>
      <c r="H1182">
        <v>1321.79</v>
      </c>
      <c r="I1182">
        <v>1301.68</v>
      </c>
      <c r="J1182">
        <v>4217030589</v>
      </c>
      <c r="K1182">
        <v>0</v>
      </c>
      <c r="L1182" s="2">
        <f>VLOOKUP(A1182,[1]aaabonddata!$A:$B,2,0)</f>
        <v>2.2799999999999998</v>
      </c>
    </row>
    <row r="1183" spans="1:12" x14ac:dyDescent="0.2">
      <c r="A1183" s="3">
        <v>40484</v>
      </c>
      <c r="B1183" s="2">
        <v>2151.7199999999998</v>
      </c>
      <c r="C1183" s="2">
        <v>2155.46</v>
      </c>
      <c r="D1183" s="2">
        <v>2141.62</v>
      </c>
      <c r="E1183" s="2">
        <v>3694966943596</v>
      </c>
      <c r="F1183" s="2">
        <v>0</v>
      </c>
      <c r="G1183">
        <v>1319.64</v>
      </c>
      <c r="H1183">
        <v>1323.17</v>
      </c>
      <c r="I1183">
        <v>1312.95</v>
      </c>
      <c r="J1183">
        <v>4253591318</v>
      </c>
      <c r="K1183">
        <v>0</v>
      </c>
      <c r="L1183" s="2">
        <f>VLOOKUP(A1183,[1]aaabonddata!$A:$B,2,0)</f>
        <v>2.2599999999999998</v>
      </c>
    </row>
    <row r="1184" spans="1:12" x14ac:dyDescent="0.2">
      <c r="A1184" s="3">
        <v>40485</v>
      </c>
      <c r="B1184" s="2">
        <v>2158.36</v>
      </c>
      <c r="C1184" s="2">
        <v>2159.6799999999998</v>
      </c>
      <c r="D1184" s="2">
        <v>2132.69</v>
      </c>
      <c r="E1184" s="2">
        <v>3706358324489</v>
      </c>
      <c r="F1184" s="2">
        <v>576830113</v>
      </c>
      <c r="G1184">
        <v>1322.66</v>
      </c>
      <c r="H1184">
        <v>1323.88</v>
      </c>
      <c r="I1184">
        <v>1306.08</v>
      </c>
      <c r="J1184">
        <v>4263337183</v>
      </c>
      <c r="K1184">
        <v>836431</v>
      </c>
      <c r="L1184" s="2">
        <f>VLOOKUP(A1184,[1]aaabonddata!$A:$B,2,0)</f>
        <v>2.2599999999999998</v>
      </c>
    </row>
    <row r="1185" spans="1:12" x14ac:dyDescent="0.2">
      <c r="A1185" s="3">
        <v>40486</v>
      </c>
      <c r="B1185" s="2">
        <v>2187.8000000000002</v>
      </c>
      <c r="C1185" s="2">
        <v>2193.66</v>
      </c>
      <c r="D1185" s="2">
        <v>2179.06</v>
      </c>
      <c r="E1185" s="2">
        <v>3756927020731</v>
      </c>
      <c r="F1185" s="2">
        <v>0</v>
      </c>
      <c r="G1185">
        <v>1348.58</v>
      </c>
      <c r="H1185">
        <v>1349.13</v>
      </c>
      <c r="I1185">
        <v>1335.78</v>
      </c>
      <c r="J1185">
        <v>4346866466</v>
      </c>
      <c r="K1185">
        <v>0</v>
      </c>
      <c r="L1185" s="2">
        <f>VLOOKUP(A1185,[1]aaabonddata!$A:$B,2,0)</f>
        <v>2.1800000000000002</v>
      </c>
    </row>
    <row r="1186" spans="1:12" x14ac:dyDescent="0.2">
      <c r="A1186" s="3">
        <v>40487</v>
      </c>
      <c r="B1186" s="2">
        <v>2186.71</v>
      </c>
      <c r="C1186" s="2">
        <v>2191.2399999999998</v>
      </c>
      <c r="D1186" s="2">
        <v>2179.86</v>
      </c>
      <c r="E1186" s="2">
        <v>3755057893938</v>
      </c>
      <c r="F1186" s="2">
        <v>0</v>
      </c>
      <c r="G1186">
        <v>1348.45</v>
      </c>
      <c r="H1186">
        <v>1350.9</v>
      </c>
      <c r="I1186">
        <v>1341.31</v>
      </c>
      <c r="J1186">
        <v>4346451272</v>
      </c>
      <c r="K1186">
        <v>0</v>
      </c>
      <c r="L1186" s="2">
        <f>VLOOKUP(A1186,[1]aaabonddata!$A:$B,2,0)</f>
        <v>2.23</v>
      </c>
    </row>
    <row r="1187" spans="1:12" x14ac:dyDescent="0.2">
      <c r="A1187" s="3">
        <v>40490</v>
      </c>
      <c r="B1187" s="2">
        <v>2188.94</v>
      </c>
      <c r="C1187" s="2">
        <v>2191.4899999999998</v>
      </c>
      <c r="D1187" s="2">
        <v>2176.67</v>
      </c>
      <c r="E1187" s="2">
        <v>3758885036518</v>
      </c>
      <c r="F1187" s="2">
        <v>417016440</v>
      </c>
      <c r="G1187">
        <v>1352.75</v>
      </c>
      <c r="H1187">
        <v>1355.63</v>
      </c>
      <c r="I1187">
        <v>1342.4</v>
      </c>
      <c r="J1187">
        <v>4360329421</v>
      </c>
      <c r="K1187">
        <v>813827</v>
      </c>
      <c r="L1187" s="2">
        <f>VLOOKUP(A1187,[1]aaabonddata!$A:$B,2,0)</f>
        <v>2.27</v>
      </c>
    </row>
    <row r="1188" spans="1:12" x14ac:dyDescent="0.2">
      <c r="A1188" s="3">
        <v>40491</v>
      </c>
      <c r="B1188" s="2">
        <v>2176.88</v>
      </c>
      <c r="C1188" s="2">
        <v>2200.16</v>
      </c>
      <c r="D1188" s="2">
        <v>2166.96</v>
      </c>
      <c r="E1188" s="2">
        <v>3738166064313</v>
      </c>
      <c r="F1188" s="2">
        <v>298416517</v>
      </c>
      <c r="G1188">
        <v>1349.51</v>
      </c>
      <c r="H1188">
        <v>1362.94</v>
      </c>
      <c r="I1188">
        <v>1342.66</v>
      </c>
      <c r="J1188">
        <v>4349863632</v>
      </c>
      <c r="K1188">
        <v>729001</v>
      </c>
      <c r="L1188" s="2">
        <f>VLOOKUP(A1188,[1]aaabonddata!$A:$B,2,0)</f>
        <v>2.37</v>
      </c>
    </row>
    <row r="1189" spans="1:12" x14ac:dyDescent="0.2">
      <c r="A1189" s="3">
        <v>40492</v>
      </c>
      <c r="B1189" s="2">
        <v>2187.7399999999998</v>
      </c>
      <c r="C1189" s="2">
        <v>2189.38</v>
      </c>
      <c r="D1189" s="2">
        <v>2162.63</v>
      </c>
      <c r="E1189" s="2">
        <v>3756818950400</v>
      </c>
      <c r="F1189" s="2">
        <v>123285842</v>
      </c>
      <c r="G1189">
        <v>1353.93</v>
      </c>
      <c r="H1189">
        <v>1354.87</v>
      </c>
      <c r="I1189">
        <v>1335.84</v>
      </c>
      <c r="J1189">
        <v>4364112386</v>
      </c>
      <c r="K1189">
        <v>805153</v>
      </c>
      <c r="L1189" s="2">
        <f>VLOOKUP(A1189,[1]aaabonddata!$A:$B,2,0)</f>
        <v>2.33</v>
      </c>
    </row>
    <row r="1190" spans="1:12" x14ac:dyDescent="0.2">
      <c r="A1190" s="3">
        <v>40493</v>
      </c>
      <c r="B1190" s="2">
        <v>2173.11</v>
      </c>
      <c r="C1190" s="2">
        <v>2177.21</v>
      </c>
      <c r="D1190" s="2">
        <v>2145.09</v>
      </c>
      <c r="E1190" s="2">
        <v>3731687127227</v>
      </c>
      <c r="F1190" s="2">
        <v>0</v>
      </c>
      <c r="G1190">
        <v>1337.15</v>
      </c>
      <c r="H1190">
        <v>1339.62</v>
      </c>
      <c r="I1190">
        <v>1313.08</v>
      </c>
      <c r="J1190">
        <v>4310021296</v>
      </c>
      <c r="K1190">
        <v>0</v>
      </c>
      <c r="L1190" s="2">
        <f>VLOOKUP(A1190,[1]aaabonddata!$A:$B,2,0)</f>
        <v>2.33</v>
      </c>
    </row>
    <row r="1191" spans="1:12" x14ac:dyDescent="0.2">
      <c r="A1191" s="3">
        <v>40494</v>
      </c>
      <c r="B1191" s="2">
        <v>2137.9499999999998</v>
      </c>
      <c r="C1191" s="2">
        <v>2171.23</v>
      </c>
      <c r="D1191" s="2">
        <v>2122.42</v>
      </c>
      <c r="E1191" s="2">
        <v>3671317384902</v>
      </c>
      <c r="F1191" s="2">
        <v>0</v>
      </c>
      <c r="G1191">
        <v>1322.46</v>
      </c>
      <c r="H1191">
        <v>1342.82</v>
      </c>
      <c r="I1191">
        <v>1311.86</v>
      </c>
      <c r="J1191">
        <v>4262690342</v>
      </c>
      <c r="K1191">
        <v>0</v>
      </c>
      <c r="L1191" s="2">
        <f>VLOOKUP(A1191,[1]aaabonddata!$A:$B,2,0)</f>
        <v>2.4700000000000002</v>
      </c>
    </row>
    <row r="1192" spans="1:12" x14ac:dyDescent="0.2">
      <c r="A1192" s="3">
        <v>40497</v>
      </c>
      <c r="B1192" s="2">
        <v>2131.48</v>
      </c>
      <c r="C1192" s="2">
        <v>2152.89</v>
      </c>
      <c r="D1192" s="2">
        <v>2129.69</v>
      </c>
      <c r="E1192" s="2">
        <v>3660214151523</v>
      </c>
      <c r="F1192" s="2">
        <v>0</v>
      </c>
      <c r="G1192">
        <v>1316.96</v>
      </c>
      <c r="H1192">
        <v>1333.24</v>
      </c>
      <c r="I1192">
        <v>1316.22</v>
      </c>
      <c r="J1192">
        <v>4244970998</v>
      </c>
      <c r="K1192">
        <v>0</v>
      </c>
      <c r="L1192" s="2">
        <f>VLOOKUP(A1192,[1]aaabonddata!$A:$B,2,0)</f>
        <v>2.58</v>
      </c>
    </row>
    <row r="1193" spans="1:12" x14ac:dyDescent="0.2">
      <c r="A1193" s="3">
        <v>40498</v>
      </c>
      <c r="B1193" s="2">
        <v>2093.63</v>
      </c>
      <c r="C1193" s="2">
        <v>2126.16</v>
      </c>
      <c r="D1193" s="2">
        <v>2085.27</v>
      </c>
      <c r="E1193" s="2">
        <v>3595204363178</v>
      </c>
      <c r="F1193" s="2">
        <v>1283011311</v>
      </c>
      <c r="G1193">
        <v>1291.74</v>
      </c>
      <c r="H1193">
        <v>1314.18</v>
      </c>
      <c r="I1193">
        <v>1286.82</v>
      </c>
      <c r="J1193">
        <v>4163672845</v>
      </c>
      <c r="K1193">
        <v>1791886</v>
      </c>
      <c r="L1193" s="2">
        <f>VLOOKUP(A1193,[1]aaabonddata!$A:$B,2,0)</f>
        <v>2.5299999999999998</v>
      </c>
    </row>
    <row r="1194" spans="1:12" x14ac:dyDescent="0.2">
      <c r="A1194" s="3">
        <v>40499</v>
      </c>
      <c r="B1194" s="2">
        <v>2100</v>
      </c>
      <c r="C1194" s="2">
        <v>2111.06</v>
      </c>
      <c r="D1194" s="2">
        <v>2090.34</v>
      </c>
      <c r="E1194" s="2">
        <v>3606156062605</v>
      </c>
      <c r="F1194" s="2">
        <v>708384863</v>
      </c>
      <c r="G1194">
        <v>1296.69</v>
      </c>
      <c r="H1194">
        <v>1308.8499999999999</v>
      </c>
      <c r="I1194">
        <v>1291</v>
      </c>
      <c r="J1194">
        <v>4179634018</v>
      </c>
      <c r="K1194">
        <v>0</v>
      </c>
      <c r="L1194" s="2">
        <f>VLOOKUP(A1194,[1]aaabonddata!$A:$B,2,0)</f>
        <v>2.52</v>
      </c>
    </row>
    <row r="1195" spans="1:12" x14ac:dyDescent="0.2">
      <c r="A1195" s="3">
        <v>40500</v>
      </c>
      <c r="B1195" s="2">
        <v>2134.77</v>
      </c>
      <c r="C1195" s="2">
        <v>2147.9699999999998</v>
      </c>
      <c r="D1195" s="2">
        <v>2121.86</v>
      </c>
      <c r="E1195" s="2">
        <v>3665851951468</v>
      </c>
      <c r="F1195" s="2">
        <v>0</v>
      </c>
      <c r="G1195">
        <v>1322.91</v>
      </c>
      <c r="H1195">
        <v>1331.81</v>
      </c>
      <c r="I1195">
        <v>1313.08</v>
      </c>
      <c r="J1195">
        <v>4264131972</v>
      </c>
      <c r="K1195">
        <v>0</v>
      </c>
      <c r="L1195" s="2">
        <f>VLOOKUP(A1195,[1]aaabonddata!$A:$B,2,0)</f>
        <v>2.54</v>
      </c>
    </row>
    <row r="1196" spans="1:12" x14ac:dyDescent="0.2">
      <c r="A1196" s="3">
        <v>40501</v>
      </c>
      <c r="B1196" s="2">
        <v>2135.27</v>
      </c>
      <c r="C1196" s="2">
        <v>2138.88</v>
      </c>
      <c r="D1196" s="2">
        <v>2121.11</v>
      </c>
      <c r="E1196" s="2">
        <v>3666711723866</v>
      </c>
      <c r="F1196" s="2">
        <v>2139113342</v>
      </c>
      <c r="G1196">
        <v>1329.49</v>
      </c>
      <c r="H1196">
        <v>1333.14</v>
      </c>
      <c r="I1196">
        <v>1318.46</v>
      </c>
      <c r="J1196">
        <v>4285343128</v>
      </c>
      <c r="K1196">
        <v>1241134</v>
      </c>
      <c r="L1196" s="2">
        <f>VLOOKUP(A1196,[1]aaabonddata!$A:$B,2,0)</f>
        <v>2.54</v>
      </c>
    </row>
    <row r="1197" spans="1:12" x14ac:dyDescent="0.2">
      <c r="A1197" s="3">
        <v>40504</v>
      </c>
      <c r="B1197" s="2">
        <v>2150.86</v>
      </c>
      <c r="C1197" s="2">
        <v>2151</v>
      </c>
      <c r="D1197" s="2">
        <v>2121.7399999999998</v>
      </c>
      <c r="E1197" s="2">
        <v>3693482999103</v>
      </c>
      <c r="F1197" s="2">
        <v>893459589</v>
      </c>
      <c r="G1197">
        <v>1339.49</v>
      </c>
      <c r="H1197">
        <v>1340.28</v>
      </c>
      <c r="I1197">
        <v>1321.17</v>
      </c>
      <c r="J1197">
        <v>4317580904</v>
      </c>
      <c r="K1197">
        <v>1081480</v>
      </c>
      <c r="L1197" s="2">
        <f>VLOOKUP(A1197,[1]aaabonddata!$A:$B,2,0)</f>
        <v>2.46</v>
      </c>
    </row>
    <row r="1198" spans="1:12" x14ac:dyDescent="0.2">
      <c r="A1198" s="3">
        <v>40505</v>
      </c>
      <c r="B1198" s="2">
        <v>2116.61</v>
      </c>
      <c r="C1198" s="2">
        <v>2132.69</v>
      </c>
      <c r="D1198" s="2">
        <v>2105.61</v>
      </c>
      <c r="E1198" s="2">
        <v>3634674072638</v>
      </c>
      <c r="F1198" s="2">
        <v>61462425</v>
      </c>
      <c r="G1198">
        <v>1317.6</v>
      </c>
      <c r="H1198">
        <v>1328.86</v>
      </c>
      <c r="I1198">
        <v>1311.34</v>
      </c>
      <c r="J1198">
        <v>4247015001</v>
      </c>
      <c r="K1198">
        <v>234672</v>
      </c>
      <c r="L1198" s="2">
        <f>VLOOKUP(A1198,[1]aaabonddata!$A:$B,2,0)</f>
        <v>2.4</v>
      </c>
    </row>
    <row r="1199" spans="1:12" x14ac:dyDescent="0.2">
      <c r="A1199" s="3">
        <v>40506</v>
      </c>
      <c r="B1199" s="2">
        <v>2160.52</v>
      </c>
      <c r="C1199" s="2">
        <v>2165.15</v>
      </c>
      <c r="D1199" s="2">
        <v>2138.15</v>
      </c>
      <c r="E1199" s="2">
        <v>3715021083854</v>
      </c>
      <c r="F1199" s="2">
        <v>0</v>
      </c>
      <c r="G1199">
        <v>1345.74</v>
      </c>
      <c r="H1199">
        <v>1350.77</v>
      </c>
      <c r="I1199">
        <v>1330.39</v>
      </c>
      <c r="J1199">
        <v>4337725362</v>
      </c>
      <c r="K1199">
        <v>0</v>
      </c>
      <c r="L1199" s="2">
        <f>VLOOKUP(A1199,[1]aaabonddata!$A:$B,2,0)</f>
        <v>2.57</v>
      </c>
    </row>
    <row r="1200" spans="1:12" x14ac:dyDescent="0.2">
      <c r="A1200" s="3">
        <v>40508</v>
      </c>
      <c r="B1200" s="2">
        <v>2153.91</v>
      </c>
      <c r="C1200" s="2">
        <v>2160.5500000000002</v>
      </c>
      <c r="D1200" s="2">
        <v>2142.69</v>
      </c>
      <c r="E1200" s="2">
        <v>3703645570472</v>
      </c>
      <c r="F1200" s="2">
        <v>0</v>
      </c>
      <c r="G1200">
        <v>1337.78</v>
      </c>
      <c r="H1200">
        <v>1342.75</v>
      </c>
      <c r="I1200">
        <v>1332.04</v>
      </c>
      <c r="J1200">
        <v>4312061884</v>
      </c>
      <c r="K1200">
        <v>0</v>
      </c>
      <c r="L1200" s="2">
        <f>VLOOKUP(A1200,[1]aaabonddata!$A:$B,2,0)</f>
        <v>2.5299999999999998</v>
      </c>
    </row>
    <row r="1201" spans="1:12" x14ac:dyDescent="0.2">
      <c r="A1201" s="3">
        <v>40511</v>
      </c>
      <c r="B1201" s="2">
        <v>2144.56</v>
      </c>
      <c r="C1201" s="2">
        <v>2150.71</v>
      </c>
      <c r="D1201" s="2">
        <v>2118.94</v>
      </c>
      <c r="E1201" s="2">
        <v>3687568935429</v>
      </c>
      <c r="F1201" s="2">
        <v>113277212</v>
      </c>
      <c r="G1201">
        <v>1331.59</v>
      </c>
      <c r="H1201">
        <v>1335.97</v>
      </c>
      <c r="I1201">
        <v>1314.78</v>
      </c>
      <c r="J1201">
        <v>4292129405</v>
      </c>
      <c r="K1201">
        <v>0</v>
      </c>
      <c r="L1201" s="2">
        <f>VLOOKUP(A1201,[1]aaabonddata!$A:$B,2,0)</f>
        <v>2.52</v>
      </c>
    </row>
    <row r="1202" spans="1:12" x14ac:dyDescent="0.2">
      <c r="A1202" s="3">
        <v>40512</v>
      </c>
      <c r="B1202" s="2">
        <v>2117.33</v>
      </c>
      <c r="C1202" s="2">
        <v>2131.5</v>
      </c>
      <c r="D1202" s="2">
        <v>2110.2399999999998</v>
      </c>
      <c r="E1202" s="2">
        <v>3640743027615</v>
      </c>
      <c r="F1202" s="2">
        <v>0</v>
      </c>
      <c r="G1202">
        <v>1315.23</v>
      </c>
      <c r="H1202">
        <v>1322.12</v>
      </c>
      <c r="I1202">
        <v>1309.27</v>
      </c>
      <c r="J1202">
        <v>4239380931</v>
      </c>
      <c r="K1202">
        <v>0</v>
      </c>
      <c r="L1202" s="2">
        <f>VLOOKUP(A1202,[1]aaabonddata!$A:$B,2,0)</f>
        <v>2.46</v>
      </c>
    </row>
    <row r="1203" spans="1:12" x14ac:dyDescent="0.2">
      <c r="A1203" s="3">
        <v>40513</v>
      </c>
      <c r="B1203" s="2">
        <v>2162.83</v>
      </c>
      <c r="C1203" s="2">
        <v>2173.42</v>
      </c>
      <c r="D1203" s="2">
        <v>2150.64</v>
      </c>
      <c r="E1203" s="2">
        <v>3718986918893</v>
      </c>
      <c r="F1203" s="2">
        <v>641372759</v>
      </c>
      <c r="G1203">
        <v>1353.74</v>
      </c>
      <c r="H1203">
        <v>1360.15</v>
      </c>
      <c r="I1203">
        <v>1337.85</v>
      </c>
      <c r="J1203">
        <v>4363496477</v>
      </c>
      <c r="K1203">
        <v>0</v>
      </c>
      <c r="L1203" s="2">
        <f>VLOOKUP(A1203,[1]aaabonddata!$A:$B,2,0)</f>
        <v>2.59</v>
      </c>
    </row>
    <row r="1204" spans="1:12" x14ac:dyDescent="0.2">
      <c r="A1204" s="3">
        <v>40514</v>
      </c>
      <c r="B1204" s="2">
        <v>2185.3000000000002</v>
      </c>
      <c r="C1204" s="2">
        <v>2187.8200000000002</v>
      </c>
      <c r="D1204" s="2">
        <v>2164.5300000000002</v>
      </c>
      <c r="E1204" s="2">
        <v>3757617439401</v>
      </c>
      <c r="F1204" s="2">
        <v>33308478</v>
      </c>
      <c r="G1204">
        <v>1374.85</v>
      </c>
      <c r="H1204">
        <v>1376.61</v>
      </c>
      <c r="I1204">
        <v>1354.57</v>
      </c>
      <c r="J1204">
        <v>4431546135</v>
      </c>
      <c r="K1204">
        <v>0</v>
      </c>
      <c r="L1204" s="2">
        <f>VLOOKUP(A1204,[1]aaabonddata!$A:$B,2,0)</f>
        <v>2.62</v>
      </c>
    </row>
    <row r="1205" spans="1:12" x14ac:dyDescent="0.2">
      <c r="A1205" s="3">
        <v>40515</v>
      </c>
      <c r="B1205" s="2">
        <v>2191.17</v>
      </c>
      <c r="C1205" s="2">
        <v>2192.89</v>
      </c>
      <c r="D1205" s="2">
        <v>2176.2800000000002</v>
      </c>
      <c r="E1205" s="2">
        <v>3767715107361</v>
      </c>
      <c r="F1205" s="2">
        <v>37113490</v>
      </c>
      <c r="G1205">
        <v>1384.01</v>
      </c>
      <c r="H1205">
        <v>1385.68</v>
      </c>
      <c r="I1205">
        <v>1368.82</v>
      </c>
      <c r="J1205">
        <v>4461067796</v>
      </c>
      <c r="K1205">
        <v>0</v>
      </c>
      <c r="L1205" s="2">
        <f>VLOOKUP(A1205,[1]aaabonddata!$A:$B,2,0)</f>
        <v>2.58</v>
      </c>
    </row>
    <row r="1206" spans="1:12" x14ac:dyDescent="0.2">
      <c r="A1206" s="3">
        <v>40518</v>
      </c>
      <c r="B1206" s="2">
        <v>2189.81</v>
      </c>
      <c r="C1206" s="2">
        <v>2193.86</v>
      </c>
      <c r="D1206" s="2">
        <v>2183.0300000000002</v>
      </c>
      <c r="E1206" s="2">
        <v>3765385137154</v>
      </c>
      <c r="F1206" s="2">
        <v>0</v>
      </c>
      <c r="G1206">
        <v>1380.36</v>
      </c>
      <c r="H1206">
        <v>1384.81</v>
      </c>
      <c r="I1206">
        <v>1374.77</v>
      </c>
      <c r="J1206">
        <v>4449300206</v>
      </c>
      <c r="K1206">
        <v>0</v>
      </c>
      <c r="L1206" s="2">
        <f>VLOOKUP(A1206,[1]aaabonddata!$A:$B,2,0)</f>
        <v>2.5</v>
      </c>
    </row>
    <row r="1207" spans="1:12" x14ac:dyDescent="0.2">
      <c r="A1207" s="3">
        <v>40519</v>
      </c>
      <c r="B1207" s="2">
        <v>2189.35</v>
      </c>
      <c r="C1207" s="2">
        <v>2215.2800000000002</v>
      </c>
      <c r="D1207" s="2">
        <v>2188.7399999999998</v>
      </c>
      <c r="E1207" s="2">
        <v>3764583671487</v>
      </c>
      <c r="F1207" s="2">
        <v>0</v>
      </c>
      <c r="G1207">
        <v>1383.14</v>
      </c>
      <c r="H1207">
        <v>1397.84</v>
      </c>
      <c r="I1207">
        <v>1382.18</v>
      </c>
      <c r="J1207">
        <v>4458291247</v>
      </c>
      <c r="K1207">
        <v>0</v>
      </c>
      <c r="L1207" s="2">
        <f>VLOOKUP(A1207,[1]aaabonddata!$A:$B,2,0)</f>
        <v>2.67</v>
      </c>
    </row>
    <row r="1208" spans="1:12" x14ac:dyDescent="0.2">
      <c r="A1208" s="3">
        <v>40520</v>
      </c>
      <c r="B1208" s="2">
        <v>2200.6</v>
      </c>
      <c r="C1208" s="2">
        <v>2201.34</v>
      </c>
      <c r="D1208" s="2">
        <v>2182.9899999999998</v>
      </c>
      <c r="E1208" s="2">
        <v>3783936272407</v>
      </c>
      <c r="F1208" s="2">
        <v>235129844</v>
      </c>
      <c r="G1208">
        <v>1392.43</v>
      </c>
      <c r="H1208">
        <v>1392.93</v>
      </c>
      <c r="I1208">
        <v>1378.41</v>
      </c>
      <c r="J1208">
        <v>4488233750</v>
      </c>
      <c r="K1208">
        <v>0</v>
      </c>
      <c r="L1208" s="2">
        <f>VLOOKUP(A1208,[1]aaabonddata!$A:$B,2,0)</f>
        <v>2.76</v>
      </c>
    </row>
    <row r="1209" spans="1:12" x14ac:dyDescent="0.2">
      <c r="A1209" s="3">
        <v>40521</v>
      </c>
      <c r="B1209" s="2">
        <v>2201.5700000000002</v>
      </c>
      <c r="C1209" s="2">
        <v>2213.0100000000002</v>
      </c>
      <c r="D1209" s="2">
        <v>2193.92</v>
      </c>
      <c r="E1209" s="2">
        <v>3785596320684</v>
      </c>
      <c r="F1209" s="2">
        <v>162918825</v>
      </c>
      <c r="G1209">
        <v>1388.75</v>
      </c>
      <c r="H1209">
        <v>1397.56</v>
      </c>
      <c r="I1209">
        <v>1382.58</v>
      </c>
      <c r="J1209">
        <v>4476351021</v>
      </c>
      <c r="K1209">
        <v>1356433</v>
      </c>
      <c r="L1209" s="2">
        <f>VLOOKUP(A1209,[1]aaabonddata!$A:$B,2,0)</f>
        <v>2.76</v>
      </c>
    </row>
    <row r="1210" spans="1:12" x14ac:dyDescent="0.2">
      <c r="A1210" s="3">
        <v>40522</v>
      </c>
      <c r="B1210" s="2">
        <v>2215.34</v>
      </c>
      <c r="C1210" s="2">
        <v>2217.48</v>
      </c>
      <c r="D1210" s="2">
        <v>2199.69</v>
      </c>
      <c r="E1210" s="2">
        <v>3809269180473</v>
      </c>
      <c r="F1210" s="2">
        <v>89303810</v>
      </c>
      <c r="G1210">
        <v>1395.82</v>
      </c>
      <c r="H1210">
        <v>1397.33</v>
      </c>
      <c r="I1210">
        <v>1387.73</v>
      </c>
      <c r="J1210">
        <v>4499150677</v>
      </c>
      <c r="K1210">
        <v>0</v>
      </c>
      <c r="L1210" s="2">
        <f>VLOOKUP(A1210,[1]aaabonddata!$A:$B,2,0)</f>
        <v>2.77</v>
      </c>
    </row>
    <row r="1211" spans="1:12" x14ac:dyDescent="0.2">
      <c r="A1211" s="3">
        <v>40525</v>
      </c>
      <c r="B1211" s="2">
        <v>2207.4499999999998</v>
      </c>
      <c r="C1211" s="2">
        <v>2225.2199999999998</v>
      </c>
      <c r="D1211" s="2">
        <v>2207.02</v>
      </c>
      <c r="E1211" s="2">
        <v>3795701421968</v>
      </c>
      <c r="F1211" s="2">
        <v>0</v>
      </c>
      <c r="G1211">
        <v>1386.77</v>
      </c>
      <c r="H1211">
        <v>1400.84</v>
      </c>
      <c r="I1211">
        <v>1386.25</v>
      </c>
      <c r="J1211">
        <v>4469983875</v>
      </c>
      <c r="K1211">
        <v>0</v>
      </c>
      <c r="L1211" s="2">
        <f>VLOOKUP(A1211,[1]aaabonddata!$A:$B,2,0)</f>
        <v>2.75</v>
      </c>
    </row>
    <row r="1212" spans="1:12" x14ac:dyDescent="0.2">
      <c r="A1212" s="3">
        <v>40526</v>
      </c>
      <c r="B1212" s="2">
        <v>2212.59</v>
      </c>
      <c r="C1212" s="2">
        <v>2220.42</v>
      </c>
      <c r="D1212" s="2">
        <v>2205.21</v>
      </c>
      <c r="E1212" s="2">
        <v>3804549021128</v>
      </c>
      <c r="F1212" s="2">
        <v>0</v>
      </c>
      <c r="G1212">
        <v>1385.31</v>
      </c>
      <c r="H1212">
        <v>1392.75</v>
      </c>
      <c r="I1212">
        <v>1380.57</v>
      </c>
      <c r="J1212">
        <v>4465271659</v>
      </c>
      <c r="K1212">
        <v>0</v>
      </c>
      <c r="L1212" s="2">
        <f>VLOOKUP(A1212,[1]aaabonddata!$A:$B,2,0)</f>
        <v>2.84</v>
      </c>
    </row>
    <row r="1213" spans="1:12" x14ac:dyDescent="0.2">
      <c r="A1213" s="3">
        <v>40527</v>
      </c>
      <c r="B1213" s="2">
        <v>2202.4499999999998</v>
      </c>
      <c r="C1213" s="2">
        <v>2223.67</v>
      </c>
      <c r="D1213" s="2">
        <v>2196.88</v>
      </c>
      <c r="E1213" s="2">
        <v>3787113257987</v>
      </c>
      <c r="F1213" s="2">
        <v>230255717</v>
      </c>
      <c r="G1213">
        <v>1371.1</v>
      </c>
      <c r="H1213">
        <v>1388.85</v>
      </c>
      <c r="I1213">
        <v>1366.95</v>
      </c>
      <c r="J1213">
        <v>4419476989</v>
      </c>
      <c r="K1213">
        <v>0</v>
      </c>
      <c r="L1213" s="2">
        <f>VLOOKUP(A1213,[1]aaabonddata!$A:$B,2,0)</f>
        <v>2.88</v>
      </c>
    </row>
    <row r="1214" spans="1:12" x14ac:dyDescent="0.2">
      <c r="A1214" s="3">
        <v>40528</v>
      </c>
      <c r="B1214" s="2">
        <v>2218.02</v>
      </c>
      <c r="C1214" s="2">
        <v>2221.98</v>
      </c>
      <c r="D1214" s="2">
        <v>2198.86</v>
      </c>
      <c r="E1214" s="2">
        <v>3812947183421</v>
      </c>
      <c r="F1214" s="2">
        <v>89303810</v>
      </c>
      <c r="G1214">
        <v>1383.01</v>
      </c>
      <c r="H1214">
        <v>1385.11</v>
      </c>
      <c r="I1214">
        <v>1369.54</v>
      </c>
      <c r="J1214">
        <v>4457854981</v>
      </c>
      <c r="K1214">
        <v>0</v>
      </c>
      <c r="L1214" s="2">
        <f>VLOOKUP(A1214,[1]aaabonddata!$A:$B,2,0)</f>
        <v>2.86</v>
      </c>
    </row>
    <row r="1215" spans="1:12" x14ac:dyDescent="0.2">
      <c r="A1215" s="3">
        <v>40529</v>
      </c>
      <c r="B1215" s="2">
        <v>2218.29</v>
      </c>
      <c r="C1215" s="2">
        <v>2227.04</v>
      </c>
      <c r="D1215" s="2">
        <v>2217.11</v>
      </c>
      <c r="E1215" s="2">
        <v>3813423258982</v>
      </c>
      <c r="F1215" s="2">
        <v>0</v>
      </c>
      <c r="G1215">
        <v>1386.98</v>
      </c>
      <c r="H1215">
        <v>1394.22</v>
      </c>
      <c r="I1215">
        <v>1385.34</v>
      </c>
      <c r="J1215">
        <v>4470653364</v>
      </c>
      <c r="K1215">
        <v>0</v>
      </c>
      <c r="L1215" s="2">
        <f>VLOOKUP(A1215,[1]aaabonddata!$A:$B,2,0)</f>
        <v>2.75</v>
      </c>
    </row>
    <row r="1216" spans="1:12" x14ac:dyDescent="0.2">
      <c r="A1216" s="3">
        <v>40532</v>
      </c>
      <c r="B1216" s="2">
        <v>2223.04</v>
      </c>
      <c r="C1216" s="2">
        <v>2230.5500000000002</v>
      </c>
      <c r="D1216" s="2">
        <v>2206.3000000000002</v>
      </c>
      <c r="E1216" s="2">
        <v>3872703749574</v>
      </c>
      <c r="F1216" s="2">
        <v>0</v>
      </c>
      <c r="G1216">
        <v>1383.88</v>
      </c>
      <c r="H1216">
        <v>1391.72</v>
      </c>
      <c r="I1216">
        <v>1374.73</v>
      </c>
      <c r="J1216">
        <v>3991063953</v>
      </c>
      <c r="K1216">
        <v>0</v>
      </c>
      <c r="L1216" s="2">
        <f>VLOOKUP(A1216,[1]aaabonddata!$A:$B,2,0)</f>
        <v>2.8</v>
      </c>
    </row>
    <row r="1217" spans="1:12" x14ac:dyDescent="0.2">
      <c r="A1217" s="3">
        <v>40533</v>
      </c>
      <c r="B1217" s="2">
        <v>2234.5700000000002</v>
      </c>
      <c r="C1217" s="2">
        <v>2235.58</v>
      </c>
      <c r="D1217" s="2">
        <v>2226.25</v>
      </c>
      <c r="E1217" s="2">
        <v>3892788721142</v>
      </c>
      <c r="F1217" s="2">
        <v>82125043</v>
      </c>
      <c r="G1217">
        <v>1397.5</v>
      </c>
      <c r="H1217">
        <v>1398.47</v>
      </c>
      <c r="I1217">
        <v>1389.66</v>
      </c>
      <c r="J1217">
        <v>4030350972</v>
      </c>
      <c r="K1217">
        <v>0</v>
      </c>
      <c r="L1217" s="2">
        <f>VLOOKUP(A1217,[1]aaabonddata!$A:$B,2,0)</f>
        <v>2.79</v>
      </c>
    </row>
    <row r="1218" spans="1:12" x14ac:dyDescent="0.2">
      <c r="A1218" s="3">
        <v>40534</v>
      </c>
      <c r="B1218" s="2">
        <v>2235.91</v>
      </c>
      <c r="C1218" s="2">
        <v>2238.92</v>
      </c>
      <c r="D1218" s="2">
        <v>2231.9699999999998</v>
      </c>
      <c r="E1218" s="2">
        <v>3895113147207</v>
      </c>
      <c r="F1218" s="2">
        <v>0</v>
      </c>
      <c r="G1218">
        <v>1395.17</v>
      </c>
      <c r="H1218">
        <v>1395.52</v>
      </c>
      <c r="I1218">
        <v>1389.08</v>
      </c>
      <c r="J1218">
        <v>4023629506</v>
      </c>
      <c r="K1218">
        <v>0</v>
      </c>
      <c r="L1218" s="2">
        <f>VLOOKUP(A1218,[1]aaabonddata!$A:$B,2,0)</f>
        <v>2.82</v>
      </c>
    </row>
    <row r="1219" spans="1:12" x14ac:dyDescent="0.2">
      <c r="A1219" s="3">
        <v>40535</v>
      </c>
      <c r="B1219" s="2">
        <v>2230.27</v>
      </c>
      <c r="C1219" s="2">
        <v>2235.11</v>
      </c>
      <c r="D1219" s="2">
        <v>2225.29</v>
      </c>
      <c r="E1219" s="2">
        <v>3885291087039</v>
      </c>
      <c r="F1219" s="2">
        <v>0</v>
      </c>
      <c r="G1219">
        <v>1390.57</v>
      </c>
      <c r="H1219">
        <v>1393.79</v>
      </c>
      <c r="I1219">
        <v>1387.77</v>
      </c>
      <c r="J1219">
        <v>4010341304</v>
      </c>
      <c r="K1219">
        <v>0</v>
      </c>
      <c r="L1219" s="2">
        <f>VLOOKUP(A1219,[1]aaabonddata!$A:$B,2,0)</f>
        <v>2.87</v>
      </c>
    </row>
    <row r="1220" spans="1:12" x14ac:dyDescent="0.2">
      <c r="A1220" s="3">
        <v>40539</v>
      </c>
      <c r="B1220" s="2">
        <v>2229.86</v>
      </c>
      <c r="C1220" s="2">
        <v>2234.42</v>
      </c>
      <c r="D1220" s="2">
        <v>2208.8000000000002</v>
      </c>
      <c r="E1220" s="2">
        <v>3884586778413</v>
      </c>
      <c r="F1220" s="2">
        <v>12811801</v>
      </c>
      <c r="G1220">
        <v>1393.32</v>
      </c>
      <c r="H1220">
        <v>1396.38</v>
      </c>
      <c r="I1220">
        <v>1374.85</v>
      </c>
      <c r="J1220">
        <v>4018297338</v>
      </c>
      <c r="K1220">
        <v>0</v>
      </c>
      <c r="L1220" s="2">
        <f>VLOOKUP(A1220,[1]aaabonddata!$A:$B,2,0)</f>
        <v>2.81</v>
      </c>
    </row>
    <row r="1221" spans="1:12" x14ac:dyDescent="0.2">
      <c r="A1221" s="3">
        <v>40540</v>
      </c>
      <c r="B1221" s="2">
        <v>2227.42</v>
      </c>
      <c r="C1221" s="2">
        <v>2236.17</v>
      </c>
      <c r="D1221" s="2">
        <v>2222.7600000000002</v>
      </c>
      <c r="E1221" s="2">
        <v>3880335725606</v>
      </c>
      <c r="F1221" s="2">
        <v>0</v>
      </c>
      <c r="G1221">
        <v>1388.98</v>
      </c>
      <c r="H1221">
        <v>1397.27</v>
      </c>
      <c r="I1221">
        <v>1384.5</v>
      </c>
      <c r="J1221">
        <v>4005775444</v>
      </c>
      <c r="K1221">
        <v>0</v>
      </c>
      <c r="L1221" s="2">
        <f>VLOOKUP(A1221,[1]aaabonddata!$A:$B,2,0)</f>
        <v>2.92</v>
      </c>
    </row>
    <row r="1222" spans="1:12" x14ac:dyDescent="0.2">
      <c r="A1222" s="3">
        <v>40541</v>
      </c>
      <c r="B1222" s="2">
        <v>2231.64</v>
      </c>
      <c r="C1222" s="2">
        <v>2236.19</v>
      </c>
      <c r="D1222" s="2">
        <v>2229.87</v>
      </c>
      <c r="E1222" s="2">
        <v>3887680525066</v>
      </c>
      <c r="F1222" s="2">
        <v>0</v>
      </c>
      <c r="G1222">
        <v>1390.37</v>
      </c>
      <c r="H1222">
        <v>1393.92</v>
      </c>
      <c r="I1222">
        <v>1387.65</v>
      </c>
      <c r="J1222">
        <v>4009785524</v>
      </c>
      <c r="K1222">
        <v>0</v>
      </c>
      <c r="L1222" s="2">
        <f>VLOOKUP(A1222,[1]aaabonddata!$A:$B,2,0)</f>
        <v>2.8</v>
      </c>
    </row>
    <row r="1223" spans="1:12" x14ac:dyDescent="0.2">
      <c r="A1223" s="3">
        <v>40542</v>
      </c>
      <c r="B1223" s="2">
        <v>2225.7199999999998</v>
      </c>
      <c r="C1223" s="2">
        <v>2232.38</v>
      </c>
      <c r="D1223" s="2">
        <v>2222.77</v>
      </c>
      <c r="E1223" s="2">
        <v>3877374330577</v>
      </c>
      <c r="F1223" s="2">
        <v>0</v>
      </c>
      <c r="G1223">
        <v>1389</v>
      </c>
      <c r="H1223">
        <v>1391.81</v>
      </c>
      <c r="I1223">
        <v>1386.72</v>
      </c>
      <c r="J1223">
        <v>4005837192</v>
      </c>
      <c r="K1223">
        <v>0</v>
      </c>
      <c r="L1223" s="2">
        <f>VLOOKUP(A1223,[1]aaabonddata!$A:$B,2,0)</f>
        <v>2.82</v>
      </c>
    </row>
    <row r="1224" spans="1:12" x14ac:dyDescent="0.2">
      <c r="A1224" s="3">
        <v>40543</v>
      </c>
      <c r="B1224" s="2">
        <v>2217.86</v>
      </c>
      <c r="C1224" s="2">
        <v>2225</v>
      </c>
      <c r="D1224" s="2">
        <v>2209.38</v>
      </c>
      <c r="E1224" s="2">
        <v>3863665819395</v>
      </c>
      <c r="F1224" s="2">
        <v>0</v>
      </c>
      <c r="G1224">
        <v>1383.95</v>
      </c>
      <c r="H1224">
        <v>1389.27</v>
      </c>
      <c r="I1224">
        <v>1377.41</v>
      </c>
      <c r="J1224">
        <v>3991253627</v>
      </c>
      <c r="K1224">
        <v>0</v>
      </c>
      <c r="L1224" s="2">
        <f>VLOOKUP(A1224,[1]aaabonddata!$A:$B,2,0)</f>
        <v>2.9</v>
      </c>
    </row>
    <row r="1225" spans="1:12" x14ac:dyDescent="0.2">
      <c r="A1225" s="3">
        <v>40546</v>
      </c>
      <c r="B1225" s="2">
        <v>2254.23</v>
      </c>
      <c r="C1225" s="2">
        <v>2268.3000000000002</v>
      </c>
      <c r="D1225" s="2">
        <v>2237.79</v>
      </c>
      <c r="E1225" s="2">
        <v>3927040909897</v>
      </c>
      <c r="F1225" s="2">
        <v>257254321</v>
      </c>
      <c r="G1225">
        <v>1403.14</v>
      </c>
      <c r="H1225">
        <v>1416.13</v>
      </c>
      <c r="I1225">
        <v>1396.51</v>
      </c>
      <c r="J1225">
        <v>4046609505</v>
      </c>
      <c r="K1225">
        <v>0</v>
      </c>
      <c r="L1225" s="2">
        <f>VLOOKUP(A1225,[1]aaabonddata!$A:$B,2,0)</f>
        <v>2.91</v>
      </c>
    </row>
    <row r="1226" spans="1:12" x14ac:dyDescent="0.2">
      <c r="A1226" s="3">
        <v>40547</v>
      </c>
      <c r="B1226" s="2">
        <v>2251.46</v>
      </c>
      <c r="C1226" s="2">
        <v>2263.0300000000002</v>
      </c>
      <c r="D1226" s="2">
        <v>2237.73</v>
      </c>
      <c r="E1226" s="2">
        <v>3922204479999</v>
      </c>
      <c r="F1226" s="2">
        <v>0</v>
      </c>
      <c r="G1226">
        <v>1396.92</v>
      </c>
      <c r="H1226">
        <v>1408.99</v>
      </c>
      <c r="I1226">
        <v>1387.1</v>
      </c>
      <c r="J1226">
        <v>4028676342</v>
      </c>
      <c r="K1226">
        <v>0</v>
      </c>
      <c r="L1226" s="2">
        <f>VLOOKUP(A1226,[1]aaabonddata!$A:$B,2,0)</f>
        <v>2.92</v>
      </c>
    </row>
    <row r="1227" spans="1:12" x14ac:dyDescent="0.2">
      <c r="A1227" s="3">
        <v>40548</v>
      </c>
      <c r="B1227" s="2">
        <v>2270.4</v>
      </c>
      <c r="C1227" s="2">
        <v>2271.08</v>
      </c>
      <c r="D1227" s="2">
        <v>2243.88</v>
      </c>
      <c r="E1227" s="2">
        <v>3955198645900</v>
      </c>
      <c r="F1227" s="2">
        <v>0</v>
      </c>
      <c r="G1227">
        <v>1415.1</v>
      </c>
      <c r="H1227">
        <v>1415.13</v>
      </c>
      <c r="I1227">
        <v>1390.71</v>
      </c>
      <c r="J1227">
        <v>4081094933</v>
      </c>
      <c r="K1227">
        <v>0</v>
      </c>
      <c r="L1227" s="2">
        <f>VLOOKUP(A1227,[1]aaabonddata!$A:$B,2,0)</f>
        <v>3.06</v>
      </c>
    </row>
    <row r="1228" spans="1:12" x14ac:dyDescent="0.2">
      <c r="A1228" s="3">
        <v>40549</v>
      </c>
      <c r="B1228" s="2">
        <v>2277.5100000000002</v>
      </c>
      <c r="C1228" s="2">
        <v>2279.4499999999998</v>
      </c>
      <c r="D1228" s="2">
        <v>2268.59</v>
      </c>
      <c r="E1228" s="2">
        <v>3967580418578</v>
      </c>
      <c r="F1228" s="2">
        <v>34056626</v>
      </c>
      <c r="G1228">
        <v>1428.29</v>
      </c>
      <c r="H1228">
        <v>1429.21</v>
      </c>
      <c r="I1228">
        <v>1414.48</v>
      </c>
      <c r="J1228">
        <v>4119138383</v>
      </c>
      <c r="K1228">
        <v>0</v>
      </c>
      <c r="L1228" s="2">
        <f>VLOOKUP(A1228,[1]aaabonddata!$A:$B,2,0)</f>
        <v>2.99</v>
      </c>
    </row>
    <row r="1229" spans="1:12" x14ac:dyDescent="0.2">
      <c r="A1229" s="3">
        <v>40550</v>
      </c>
      <c r="B1229" s="2">
        <v>2276.6999999999998</v>
      </c>
      <c r="C1229" s="2">
        <v>2282.87</v>
      </c>
      <c r="D1229" s="2">
        <v>2254.2199999999998</v>
      </c>
      <c r="E1229" s="2">
        <v>3966175016032</v>
      </c>
      <c r="F1229" s="2">
        <v>0</v>
      </c>
      <c r="G1229">
        <v>1424.74</v>
      </c>
      <c r="H1229">
        <v>1431.11</v>
      </c>
      <c r="I1229">
        <v>1407.21</v>
      </c>
      <c r="J1229">
        <v>4108908515</v>
      </c>
      <c r="K1229">
        <v>0</v>
      </c>
      <c r="L1229" s="2">
        <f>VLOOKUP(A1229,[1]aaabonddata!$A:$B,2,0)</f>
        <v>2.88</v>
      </c>
    </row>
    <row r="1230" spans="1:12" x14ac:dyDescent="0.2">
      <c r="A1230" s="3">
        <v>40553</v>
      </c>
      <c r="B1230" s="2">
        <v>2284.38</v>
      </c>
      <c r="C1230" s="2">
        <v>2288.64</v>
      </c>
      <c r="D1230" s="2">
        <v>2265</v>
      </c>
      <c r="E1230" s="2">
        <v>3979553420913</v>
      </c>
      <c r="F1230" s="2">
        <v>0</v>
      </c>
      <c r="G1230">
        <v>1430.38</v>
      </c>
      <c r="H1230">
        <v>1433.09</v>
      </c>
      <c r="I1230">
        <v>1410.77</v>
      </c>
      <c r="J1230">
        <v>4125177043</v>
      </c>
      <c r="K1230">
        <v>0</v>
      </c>
      <c r="L1230" s="2">
        <f>VLOOKUP(A1230,[1]aaabonddata!$A:$B,2,0)</f>
        <v>2.86</v>
      </c>
    </row>
    <row r="1231" spans="1:12" x14ac:dyDescent="0.2">
      <c r="A1231" s="3">
        <v>40554</v>
      </c>
      <c r="B1231" s="2">
        <v>2288.73</v>
      </c>
      <c r="C1231" s="2">
        <v>2296.15</v>
      </c>
      <c r="D1231" s="2">
        <v>2279.48</v>
      </c>
      <c r="E1231" s="2">
        <v>3987139220346</v>
      </c>
      <c r="F1231" s="2">
        <v>0</v>
      </c>
      <c r="G1231">
        <v>1432.78</v>
      </c>
      <c r="H1231">
        <v>1437.86</v>
      </c>
      <c r="I1231">
        <v>1428.05</v>
      </c>
      <c r="J1231">
        <v>4132091552</v>
      </c>
      <c r="K1231">
        <v>0</v>
      </c>
      <c r="L1231" s="2">
        <f>VLOOKUP(A1231,[1]aaabonddata!$A:$B,2,0)</f>
        <v>2.87</v>
      </c>
    </row>
    <row r="1232" spans="1:12" x14ac:dyDescent="0.2">
      <c r="A1232" s="3">
        <v>40555</v>
      </c>
      <c r="B1232" s="2">
        <v>2304.88</v>
      </c>
      <c r="C1232" s="2">
        <v>2304.88</v>
      </c>
      <c r="D1232" s="2">
        <v>2289.0500000000002</v>
      </c>
      <c r="E1232" s="2">
        <v>4015268681789</v>
      </c>
      <c r="F1232" s="2">
        <v>0</v>
      </c>
      <c r="G1232">
        <v>1453.68</v>
      </c>
      <c r="H1232">
        <v>1453.68</v>
      </c>
      <c r="I1232">
        <v>1433.04</v>
      </c>
      <c r="J1232">
        <v>4192353415</v>
      </c>
      <c r="K1232">
        <v>0</v>
      </c>
      <c r="L1232" s="2">
        <f>VLOOKUP(A1232,[1]aaabonddata!$A:$B,2,0)</f>
        <v>2.89</v>
      </c>
    </row>
    <row r="1233" spans="1:12" x14ac:dyDescent="0.2">
      <c r="A1233" s="3">
        <v>40556</v>
      </c>
      <c r="B1233" s="2">
        <v>2305.5300000000002</v>
      </c>
      <c r="C1233" s="2">
        <v>2310.8200000000002</v>
      </c>
      <c r="D1233" s="2">
        <v>2298.62</v>
      </c>
      <c r="E1233" s="2">
        <v>4016392328368</v>
      </c>
      <c r="F1233" s="2">
        <v>0</v>
      </c>
      <c r="G1233">
        <v>1453.57</v>
      </c>
      <c r="H1233">
        <v>1459.26</v>
      </c>
      <c r="I1233">
        <v>1446.74</v>
      </c>
      <c r="J1233">
        <v>4192034109</v>
      </c>
      <c r="K1233">
        <v>0</v>
      </c>
      <c r="L1233" s="2">
        <f>VLOOKUP(A1233,[1]aaabonddata!$A:$B,2,0)</f>
        <v>2.84</v>
      </c>
    </row>
    <row r="1234" spans="1:12" x14ac:dyDescent="0.2">
      <c r="A1234" s="3">
        <v>40557</v>
      </c>
      <c r="B1234" s="2">
        <v>2323.4299999999998</v>
      </c>
      <c r="C1234" s="2">
        <v>2323.4299999999998</v>
      </c>
      <c r="D1234" s="2">
        <v>2300.25</v>
      </c>
      <c r="E1234" s="2">
        <v>4047588952705</v>
      </c>
      <c r="F1234" s="2">
        <v>196868339</v>
      </c>
      <c r="G1234">
        <v>1476.97</v>
      </c>
      <c r="H1234">
        <v>1476.97</v>
      </c>
      <c r="I1234">
        <v>1454.8</v>
      </c>
      <c r="J1234">
        <v>4259519019</v>
      </c>
      <c r="K1234">
        <v>159286</v>
      </c>
      <c r="L1234" s="2">
        <f>VLOOKUP(A1234,[1]aaabonddata!$A:$B,2,0)</f>
        <v>2.85</v>
      </c>
    </row>
    <row r="1235" spans="1:12" x14ac:dyDescent="0.2">
      <c r="A1235" s="3">
        <v>40561</v>
      </c>
      <c r="B1235" s="2">
        <v>2328.79</v>
      </c>
      <c r="C1235" s="2">
        <v>2331.3200000000002</v>
      </c>
      <c r="D1235" s="2">
        <v>2299.37</v>
      </c>
      <c r="E1235" s="2">
        <v>4056924000670</v>
      </c>
      <c r="F1235" s="2">
        <v>0</v>
      </c>
      <c r="G1235">
        <v>1481.92</v>
      </c>
      <c r="H1235">
        <v>1484.39</v>
      </c>
      <c r="I1235">
        <v>1475.18</v>
      </c>
      <c r="J1235">
        <v>4273792712</v>
      </c>
      <c r="K1235">
        <v>0</v>
      </c>
      <c r="L1235" s="2">
        <f>VLOOKUP(A1235,[1]aaabonddata!$A:$B,2,0)</f>
        <v>2.87</v>
      </c>
    </row>
    <row r="1236" spans="1:12" x14ac:dyDescent="0.2">
      <c r="A1236" s="3">
        <v>40562</v>
      </c>
      <c r="B1236" s="2">
        <v>2303.3200000000002</v>
      </c>
      <c r="C1236" s="2">
        <v>2331.63</v>
      </c>
      <c r="D1236" s="2">
        <v>2294.89</v>
      </c>
      <c r="E1236" s="2">
        <v>4012555592716</v>
      </c>
      <c r="F1236" s="2">
        <v>0</v>
      </c>
      <c r="G1236">
        <v>1459.88</v>
      </c>
      <c r="H1236">
        <v>1478.09</v>
      </c>
      <c r="I1236">
        <v>1453.68</v>
      </c>
      <c r="J1236">
        <v>4210229178</v>
      </c>
      <c r="K1236">
        <v>0</v>
      </c>
      <c r="L1236" s="2">
        <f>VLOOKUP(A1236,[1]aaabonddata!$A:$B,2,0)</f>
        <v>2.85</v>
      </c>
    </row>
    <row r="1237" spans="1:12" x14ac:dyDescent="0.2">
      <c r="A1237" s="3">
        <v>40563</v>
      </c>
      <c r="B1237" s="2">
        <v>2286.08</v>
      </c>
      <c r="C1237" s="2">
        <v>2295.2399999999998</v>
      </c>
      <c r="D1237" s="2">
        <v>2268.59</v>
      </c>
      <c r="E1237" s="2">
        <v>3982517841943</v>
      </c>
      <c r="F1237" s="2">
        <v>0</v>
      </c>
      <c r="G1237">
        <v>1437.63</v>
      </c>
      <c r="H1237">
        <v>1442.21</v>
      </c>
      <c r="I1237">
        <v>1421.23</v>
      </c>
      <c r="J1237">
        <v>4146083529</v>
      </c>
      <c r="K1237">
        <v>0</v>
      </c>
      <c r="L1237" s="2">
        <f>VLOOKUP(A1237,[1]aaabonddata!$A:$B,2,0)</f>
        <v>2.93</v>
      </c>
    </row>
    <row r="1238" spans="1:12" x14ac:dyDescent="0.2">
      <c r="A1238" s="3">
        <v>40564</v>
      </c>
      <c r="B1238" s="2">
        <v>2268.3200000000002</v>
      </c>
      <c r="C1238" s="2">
        <v>2301.0500000000002</v>
      </c>
      <c r="D1238" s="2">
        <v>2267.17</v>
      </c>
      <c r="E1238" s="2">
        <v>3951578287581</v>
      </c>
      <c r="F1238" s="2">
        <v>0</v>
      </c>
      <c r="G1238">
        <v>1429.41</v>
      </c>
      <c r="H1238">
        <v>1452.88</v>
      </c>
      <c r="I1238">
        <v>1428.13</v>
      </c>
      <c r="J1238">
        <v>4122374282</v>
      </c>
      <c r="K1238">
        <v>0</v>
      </c>
      <c r="L1238" s="2">
        <f>VLOOKUP(A1238,[1]aaabonddata!$A:$B,2,0)</f>
        <v>2.91</v>
      </c>
    </row>
    <row r="1239" spans="1:12" x14ac:dyDescent="0.2">
      <c r="A1239" s="3">
        <v>40567</v>
      </c>
      <c r="B1239" s="2">
        <v>2300.39</v>
      </c>
      <c r="C1239" s="2">
        <v>2300.39</v>
      </c>
      <c r="D1239" s="2">
        <v>2268.7199999999998</v>
      </c>
      <c r="E1239" s="2">
        <v>4007454256826</v>
      </c>
      <c r="F1239" s="2">
        <v>0</v>
      </c>
      <c r="G1239">
        <v>1453.99</v>
      </c>
      <c r="H1239">
        <v>1453.99</v>
      </c>
      <c r="I1239">
        <v>1427.11</v>
      </c>
      <c r="J1239">
        <v>4193256938</v>
      </c>
      <c r="K1239">
        <v>0</v>
      </c>
      <c r="L1239" s="2">
        <f>VLOOKUP(A1239,[1]aaabonddata!$A:$B,2,0)</f>
        <v>2.9</v>
      </c>
    </row>
    <row r="1240" spans="1:12" x14ac:dyDescent="0.2">
      <c r="A1240" s="3">
        <v>40568</v>
      </c>
      <c r="B1240" s="2">
        <v>2304.0300000000002</v>
      </c>
      <c r="C1240" s="2">
        <v>2304.04</v>
      </c>
      <c r="D1240" s="2">
        <v>2283.79</v>
      </c>
      <c r="E1240" s="2">
        <v>4013788164671</v>
      </c>
      <c r="F1240" s="2">
        <v>0</v>
      </c>
      <c r="G1240">
        <v>1443.37</v>
      </c>
      <c r="H1240">
        <v>1445.9</v>
      </c>
      <c r="I1240">
        <v>1432.32</v>
      </c>
      <c r="J1240">
        <v>4162616850</v>
      </c>
      <c r="K1240">
        <v>0</v>
      </c>
      <c r="L1240" s="2">
        <f>VLOOKUP(A1240,[1]aaabonddata!$A:$B,2,0)</f>
        <v>2.84</v>
      </c>
    </row>
    <row r="1241" spans="1:12" x14ac:dyDescent="0.2">
      <c r="A1241" s="3">
        <v>40569</v>
      </c>
      <c r="B1241" s="2">
        <v>2314.19</v>
      </c>
      <c r="C1241" s="2">
        <v>2321.2199999999998</v>
      </c>
      <c r="D1241" s="2">
        <v>2300.11</v>
      </c>
      <c r="E1241" s="2">
        <v>4031491528235</v>
      </c>
      <c r="F1241" s="2">
        <v>0</v>
      </c>
      <c r="G1241">
        <v>1450.23</v>
      </c>
      <c r="H1241">
        <v>1454.27</v>
      </c>
      <c r="I1241">
        <v>1437.62</v>
      </c>
      <c r="J1241">
        <v>4182424743</v>
      </c>
      <c r="K1241">
        <v>0</v>
      </c>
      <c r="L1241" s="2">
        <f>VLOOKUP(A1241,[1]aaabonddata!$A:$B,2,0)</f>
        <v>2.9</v>
      </c>
    </row>
    <row r="1242" spans="1:12" x14ac:dyDescent="0.2">
      <c r="A1242" s="3">
        <v>40570</v>
      </c>
      <c r="B1242" s="2">
        <v>2330.0700000000002</v>
      </c>
      <c r="C1242" s="2">
        <v>2336.04</v>
      </c>
      <c r="D1242" s="2">
        <v>2319.23</v>
      </c>
      <c r="E1242" s="2">
        <v>4059150658955</v>
      </c>
      <c r="F1242" s="2">
        <v>0</v>
      </c>
      <c r="G1242">
        <v>1465.94</v>
      </c>
      <c r="H1242">
        <v>1469.55</v>
      </c>
      <c r="I1242">
        <v>1456.88</v>
      </c>
      <c r="J1242">
        <v>4227729428</v>
      </c>
      <c r="K1242">
        <v>0</v>
      </c>
      <c r="L1242" s="2">
        <f>VLOOKUP(A1242,[1]aaabonddata!$A:$B,2,0)</f>
        <v>2.85</v>
      </c>
    </row>
    <row r="1243" spans="1:12" x14ac:dyDescent="0.2">
      <c r="A1243" s="3">
        <v>40571</v>
      </c>
      <c r="B1243" s="2">
        <v>2270.5100000000002</v>
      </c>
      <c r="C1243" s="2">
        <v>2330.0700000000002</v>
      </c>
      <c r="D1243" s="2">
        <v>2260.6</v>
      </c>
      <c r="E1243" s="2">
        <v>3955394631915</v>
      </c>
      <c r="F1243" s="2">
        <v>199795949</v>
      </c>
      <c r="G1243">
        <v>1429.83</v>
      </c>
      <c r="H1243">
        <v>1465.94</v>
      </c>
      <c r="I1243">
        <v>1419.02</v>
      </c>
      <c r="J1243">
        <v>4123576401</v>
      </c>
      <c r="K1243">
        <v>0</v>
      </c>
      <c r="L1243" s="2">
        <f>VLOOKUP(A1243,[1]aaabonddata!$A:$B,2,0)</f>
        <v>2.81</v>
      </c>
    </row>
    <row r="1244" spans="1:12" x14ac:dyDescent="0.2">
      <c r="A1244" s="3">
        <v>40574</v>
      </c>
      <c r="B1244" s="2">
        <v>2281.91</v>
      </c>
      <c r="C1244" s="2">
        <v>2287.5</v>
      </c>
      <c r="D1244" s="2">
        <v>2258.0500000000002</v>
      </c>
      <c r="E1244" s="2">
        <v>3975247913138</v>
      </c>
      <c r="F1244" s="2">
        <v>0</v>
      </c>
      <c r="G1244">
        <v>1436.04</v>
      </c>
      <c r="H1244">
        <v>1438.96</v>
      </c>
      <c r="I1244">
        <v>1421.32</v>
      </c>
      <c r="J1244">
        <v>4141486022</v>
      </c>
      <c r="K1244">
        <v>0</v>
      </c>
      <c r="L1244" s="2">
        <f>VLOOKUP(A1244,[1]aaabonddata!$A:$B,2,0)</f>
        <v>2.88</v>
      </c>
    </row>
    <row r="1245" spans="1:12" x14ac:dyDescent="0.2">
      <c r="A1245" s="3">
        <v>40575</v>
      </c>
      <c r="B1245" s="2">
        <v>2324.9499999999998</v>
      </c>
      <c r="C1245" s="2">
        <v>2329.34</v>
      </c>
      <c r="D1245" s="2">
        <v>2296.7399999999998</v>
      </c>
      <c r="E1245" s="2">
        <v>4050235247890</v>
      </c>
      <c r="F1245" s="2">
        <v>0</v>
      </c>
      <c r="G1245">
        <v>1470.72</v>
      </c>
      <c r="H1245">
        <v>1474.29</v>
      </c>
      <c r="I1245">
        <v>1450.13</v>
      </c>
      <c r="J1245">
        <v>4241501090</v>
      </c>
      <c r="K1245">
        <v>0</v>
      </c>
      <c r="L1245" s="2">
        <f>VLOOKUP(A1245,[1]aaabonddata!$A:$B,2,0)</f>
        <v>2.93</v>
      </c>
    </row>
    <row r="1246" spans="1:12" x14ac:dyDescent="0.2">
      <c r="A1246" s="3">
        <v>40576</v>
      </c>
      <c r="B1246" s="2">
        <v>2321.09</v>
      </c>
      <c r="C1246" s="2">
        <v>2328.8000000000002</v>
      </c>
      <c r="D1246" s="2">
        <v>2316.2199999999998</v>
      </c>
      <c r="E1246" s="2">
        <v>4043509323647</v>
      </c>
      <c r="F1246" s="2">
        <v>0</v>
      </c>
      <c r="G1246">
        <v>1475.82</v>
      </c>
      <c r="H1246">
        <v>1480.57</v>
      </c>
      <c r="I1246">
        <v>1464.27</v>
      </c>
      <c r="J1246">
        <v>4256221577</v>
      </c>
      <c r="K1246">
        <v>0</v>
      </c>
      <c r="L1246" s="2">
        <f>VLOOKUP(A1246,[1]aaabonddata!$A:$B,2,0)</f>
        <v>3.01</v>
      </c>
    </row>
    <row r="1247" spans="1:12" x14ac:dyDescent="0.2">
      <c r="A1247" s="3">
        <v>40577</v>
      </c>
      <c r="B1247" s="2">
        <v>2323.0700000000002</v>
      </c>
      <c r="C1247" s="2">
        <v>2327.2399999999998</v>
      </c>
      <c r="D1247" s="2">
        <v>2297.79</v>
      </c>
      <c r="E1247" s="2">
        <v>4046954465760</v>
      </c>
      <c r="F1247" s="2">
        <v>664821174</v>
      </c>
      <c r="G1247">
        <v>1475.93</v>
      </c>
      <c r="H1247">
        <v>1479.11</v>
      </c>
      <c r="I1247">
        <v>1459.54</v>
      </c>
      <c r="J1247">
        <v>4256517555</v>
      </c>
      <c r="K1247">
        <v>844361</v>
      </c>
      <c r="L1247" s="2">
        <f>VLOOKUP(A1247,[1]aaabonddata!$A:$B,2,0)</f>
        <v>3.05</v>
      </c>
    </row>
    <row r="1248" spans="1:12" x14ac:dyDescent="0.2">
      <c r="A1248" s="3">
        <v>40578</v>
      </c>
      <c r="B1248" s="2">
        <v>2338.1999999999998</v>
      </c>
      <c r="C1248" s="2">
        <v>2338.66</v>
      </c>
      <c r="D1248" s="2">
        <v>2318.27</v>
      </c>
      <c r="E1248" s="2">
        <v>4073313306646</v>
      </c>
      <c r="F1248" s="2">
        <v>0</v>
      </c>
      <c r="G1248">
        <v>1491.67</v>
      </c>
      <c r="H1248">
        <v>1492.19</v>
      </c>
      <c r="I1248">
        <v>1473.09</v>
      </c>
      <c r="J1248">
        <v>4301927572</v>
      </c>
      <c r="K1248">
        <v>0</v>
      </c>
      <c r="L1248" s="2">
        <f>VLOOKUP(A1248,[1]aaabonddata!$A:$B,2,0)</f>
        <v>3.15</v>
      </c>
    </row>
    <row r="1249" spans="1:12" x14ac:dyDescent="0.2">
      <c r="A1249" s="3">
        <v>40581</v>
      </c>
      <c r="B1249" s="2">
        <v>2349.1999999999998</v>
      </c>
      <c r="C1249" s="2">
        <v>2360.8200000000002</v>
      </c>
      <c r="D1249" s="2">
        <v>2338.87</v>
      </c>
      <c r="E1249" s="2">
        <v>4092479607356</v>
      </c>
      <c r="F1249" s="2">
        <v>354931828</v>
      </c>
      <c r="G1249">
        <v>1495.2</v>
      </c>
      <c r="H1249">
        <v>1504.55</v>
      </c>
      <c r="I1249">
        <v>1491.12</v>
      </c>
      <c r="J1249">
        <v>4312098154</v>
      </c>
      <c r="K1249">
        <v>567174</v>
      </c>
      <c r="L1249" s="2">
        <f>VLOOKUP(A1249,[1]aaabonddata!$A:$B,2,0)</f>
        <v>3.15</v>
      </c>
    </row>
    <row r="1250" spans="1:12" x14ac:dyDescent="0.2">
      <c r="A1250" s="3">
        <v>40582</v>
      </c>
      <c r="B1250" s="2">
        <v>2363.61</v>
      </c>
      <c r="C1250" s="2">
        <v>2363.7600000000002</v>
      </c>
      <c r="D1250" s="2">
        <v>2344.86</v>
      </c>
      <c r="E1250" s="2">
        <v>4117587327810</v>
      </c>
      <c r="F1250" s="2">
        <v>49546113</v>
      </c>
      <c r="G1250">
        <v>1497.94</v>
      </c>
      <c r="H1250">
        <v>1498.54</v>
      </c>
      <c r="I1250">
        <v>1486.93</v>
      </c>
      <c r="J1250">
        <v>4319992426</v>
      </c>
      <c r="K1250">
        <v>163889</v>
      </c>
      <c r="L1250" s="2">
        <f>VLOOKUP(A1250,[1]aaabonddata!$A:$B,2,0)</f>
        <v>3.23</v>
      </c>
    </row>
    <row r="1251" spans="1:12" x14ac:dyDescent="0.2">
      <c r="A1251" s="3">
        <v>40583</v>
      </c>
      <c r="B1251" s="2">
        <v>2360.9499999999998</v>
      </c>
      <c r="C1251" s="2">
        <v>2367.19</v>
      </c>
      <c r="D1251" s="2">
        <v>2352.46</v>
      </c>
      <c r="E1251" s="2">
        <v>4112939407292</v>
      </c>
      <c r="F1251" s="2">
        <v>87687872</v>
      </c>
      <c r="G1251">
        <v>1491.31</v>
      </c>
      <c r="H1251">
        <v>1500.66</v>
      </c>
      <c r="I1251">
        <v>1484.85</v>
      </c>
      <c r="J1251">
        <v>4300888312</v>
      </c>
      <c r="K1251">
        <v>0</v>
      </c>
      <c r="L1251" s="2">
        <f>VLOOKUP(A1251,[1]aaabonddata!$A:$B,2,0)</f>
        <v>3.15</v>
      </c>
    </row>
    <row r="1252" spans="1:12" x14ac:dyDescent="0.2">
      <c r="A1252" s="3">
        <v>40584</v>
      </c>
      <c r="B1252" s="2">
        <v>2364.35</v>
      </c>
      <c r="C1252" s="2">
        <v>2366.2800000000002</v>
      </c>
      <c r="D1252" s="2">
        <v>2341.81</v>
      </c>
      <c r="E1252" s="2">
        <v>4118876866191</v>
      </c>
      <c r="F1252" s="2">
        <v>329662181</v>
      </c>
      <c r="G1252">
        <v>1493.34</v>
      </c>
      <c r="H1252">
        <v>1494.4</v>
      </c>
      <c r="I1252">
        <v>1468.96</v>
      </c>
      <c r="J1252">
        <v>4306752283</v>
      </c>
      <c r="K1252">
        <v>160707</v>
      </c>
      <c r="L1252" s="2">
        <f>VLOOKUP(A1252,[1]aaabonddata!$A:$B,2,0)</f>
        <v>3.21</v>
      </c>
    </row>
    <row r="1253" spans="1:12" x14ac:dyDescent="0.2">
      <c r="A1253" s="3">
        <v>40585</v>
      </c>
      <c r="B1253" s="2">
        <v>2379.15</v>
      </c>
      <c r="C1253" s="2">
        <v>2381.4</v>
      </c>
      <c r="D1253" s="2">
        <v>2353.2800000000002</v>
      </c>
      <c r="E1253" s="2">
        <v>4144660879362</v>
      </c>
      <c r="F1253" s="2">
        <v>132372603</v>
      </c>
      <c r="G1253">
        <v>1502.15</v>
      </c>
      <c r="H1253">
        <v>1504.88</v>
      </c>
      <c r="I1253">
        <v>1484.15</v>
      </c>
      <c r="J1253">
        <v>4332136040</v>
      </c>
      <c r="K1253">
        <v>0</v>
      </c>
      <c r="L1253" s="2">
        <f>VLOOKUP(A1253,[1]aaabonddata!$A:$B,2,0)</f>
        <v>3.16</v>
      </c>
    </row>
    <row r="1254" spans="1:12" x14ac:dyDescent="0.2">
      <c r="A1254" s="3">
        <v>40588</v>
      </c>
      <c r="B1254" s="2">
        <v>2385.6</v>
      </c>
      <c r="C1254" s="2">
        <v>2388.63</v>
      </c>
      <c r="D1254" s="2">
        <v>2378.16</v>
      </c>
      <c r="E1254" s="2">
        <v>4155892561581</v>
      </c>
      <c r="F1254" s="2">
        <v>0</v>
      </c>
      <c r="G1254">
        <v>1510.1</v>
      </c>
      <c r="H1254">
        <v>1519.76</v>
      </c>
      <c r="I1254">
        <v>1505.18</v>
      </c>
      <c r="J1254">
        <v>4355065876</v>
      </c>
      <c r="K1254">
        <v>0</v>
      </c>
      <c r="L1254" s="2">
        <f>VLOOKUP(A1254,[1]aaabonddata!$A:$B,2,0)</f>
        <v>3.1</v>
      </c>
    </row>
    <row r="1255" spans="1:12" x14ac:dyDescent="0.2">
      <c r="A1255" s="3">
        <v>40589</v>
      </c>
      <c r="B1255" s="2">
        <v>2381.92</v>
      </c>
      <c r="C1255" s="2">
        <v>2384.81</v>
      </c>
      <c r="D1255" s="2">
        <v>2371.19</v>
      </c>
      <c r="E1255" s="2">
        <v>4149475508328</v>
      </c>
      <c r="F1255" s="2">
        <v>977095249</v>
      </c>
      <c r="G1255">
        <v>1500.93</v>
      </c>
      <c r="H1255">
        <v>1508.48</v>
      </c>
      <c r="I1255">
        <v>1495.35</v>
      </c>
      <c r="J1255">
        <v>4328637916</v>
      </c>
      <c r="K1255">
        <v>575746</v>
      </c>
      <c r="L1255" s="2">
        <f>VLOOKUP(A1255,[1]aaabonddata!$A:$B,2,0)</f>
        <v>3.09</v>
      </c>
    </row>
    <row r="1256" spans="1:12" x14ac:dyDescent="0.2">
      <c r="A1256" s="3">
        <v>40590</v>
      </c>
      <c r="B1256" s="2">
        <v>2397.94</v>
      </c>
      <c r="C1256" s="2">
        <v>2403.52</v>
      </c>
      <c r="D1256" s="2">
        <v>2387.66</v>
      </c>
      <c r="E1256" s="2">
        <v>4177383041176</v>
      </c>
      <c r="F1256" s="2">
        <v>256572537</v>
      </c>
      <c r="G1256">
        <v>1516.01</v>
      </c>
      <c r="H1256">
        <v>1519.63</v>
      </c>
      <c r="I1256">
        <v>1505.26</v>
      </c>
      <c r="J1256">
        <v>4372126281</v>
      </c>
      <c r="K1256">
        <v>892670</v>
      </c>
      <c r="L1256" s="2">
        <f>VLOOKUP(A1256,[1]aaabonddata!$A:$B,2,0)</f>
        <v>3.1</v>
      </c>
    </row>
    <row r="1257" spans="1:12" x14ac:dyDescent="0.2">
      <c r="A1257" s="3">
        <v>40591</v>
      </c>
      <c r="B1257" s="2">
        <v>2397.5700000000002</v>
      </c>
      <c r="C1257" s="2">
        <v>2400.89</v>
      </c>
      <c r="D1257" s="2">
        <v>2384.2199999999998</v>
      </c>
      <c r="E1257" s="2">
        <v>4176744829472</v>
      </c>
      <c r="F1257" s="2">
        <v>228708558</v>
      </c>
      <c r="G1257">
        <v>1524.13</v>
      </c>
      <c r="H1257">
        <v>1526.87</v>
      </c>
      <c r="I1257">
        <v>1506.17</v>
      </c>
      <c r="J1257">
        <v>4395528066</v>
      </c>
      <c r="K1257">
        <v>1508909</v>
      </c>
      <c r="L1257" s="2">
        <f>VLOOKUP(A1257,[1]aaabonddata!$A:$B,2,0)</f>
        <v>3.05</v>
      </c>
    </row>
    <row r="1258" spans="1:12" x14ac:dyDescent="0.2">
      <c r="A1258" s="3">
        <v>40592</v>
      </c>
      <c r="B1258" s="2">
        <v>2392.4699999999998</v>
      </c>
      <c r="C1258" s="2">
        <v>2400.4699999999998</v>
      </c>
      <c r="D1258" s="2">
        <v>2382.39</v>
      </c>
      <c r="E1258" s="2">
        <v>4167855639782</v>
      </c>
      <c r="F1258" s="2">
        <v>0</v>
      </c>
      <c r="G1258">
        <v>1526.59</v>
      </c>
      <c r="H1258">
        <v>1529.8</v>
      </c>
      <c r="I1258">
        <v>1519.69</v>
      </c>
      <c r="J1258">
        <v>4402619993</v>
      </c>
      <c r="K1258">
        <v>0</v>
      </c>
      <c r="L1258" s="2">
        <f>VLOOKUP(A1258,[1]aaabonddata!$A:$B,2,0)</f>
        <v>3.05</v>
      </c>
    </row>
    <row r="1259" spans="1:12" x14ac:dyDescent="0.2">
      <c r="A1259" s="3">
        <v>40596</v>
      </c>
      <c r="B1259" s="2">
        <v>2322.86</v>
      </c>
      <c r="C1259" s="2">
        <v>2366.4299999999998</v>
      </c>
      <c r="D1259" s="2">
        <v>2318.4</v>
      </c>
      <c r="E1259" s="2">
        <v>4046594168289</v>
      </c>
      <c r="F1259" s="2">
        <v>177287625</v>
      </c>
      <c r="G1259">
        <v>1470.41</v>
      </c>
      <c r="H1259">
        <v>1504.85</v>
      </c>
      <c r="I1259">
        <v>1467.83</v>
      </c>
      <c r="J1259">
        <v>4240612086</v>
      </c>
      <c r="K1259">
        <v>0</v>
      </c>
      <c r="L1259" s="2">
        <f>VLOOKUP(A1259,[1]aaabonddata!$A:$B,2,0)</f>
        <v>2.94</v>
      </c>
    </row>
    <row r="1260" spans="1:12" x14ac:dyDescent="0.2">
      <c r="A1260" s="3">
        <v>40597</v>
      </c>
      <c r="B1260" s="2">
        <v>2300.94</v>
      </c>
      <c r="C1260" s="2">
        <v>2329.13</v>
      </c>
      <c r="D1260" s="2">
        <v>2284.65</v>
      </c>
      <c r="E1260" s="2">
        <v>4008403534162</v>
      </c>
      <c r="F1260" s="2">
        <v>696333158</v>
      </c>
      <c r="G1260">
        <v>1443.07</v>
      </c>
      <c r="H1260">
        <v>1467.88</v>
      </c>
      <c r="I1260">
        <v>1428.22</v>
      </c>
      <c r="J1260">
        <v>4161752748</v>
      </c>
      <c r="K1260">
        <v>385239</v>
      </c>
      <c r="L1260" s="2">
        <f>VLOOKUP(A1260,[1]aaabonddata!$A:$B,2,0)</f>
        <v>2.97</v>
      </c>
    </row>
    <row r="1261" spans="1:12" x14ac:dyDescent="0.2">
      <c r="A1261" s="3">
        <v>40598</v>
      </c>
      <c r="B1261" s="2">
        <v>2313.31</v>
      </c>
      <c r="C1261" s="2">
        <v>2321.1999999999998</v>
      </c>
      <c r="D1261" s="2">
        <v>2285.44</v>
      </c>
      <c r="E1261" s="2">
        <v>4029947906534</v>
      </c>
      <c r="F1261" s="2">
        <v>0</v>
      </c>
      <c r="G1261">
        <v>1456.94</v>
      </c>
      <c r="H1261">
        <v>1462.52</v>
      </c>
      <c r="I1261">
        <v>1436.64</v>
      </c>
      <c r="J1261">
        <v>4201773598</v>
      </c>
      <c r="K1261">
        <v>0</v>
      </c>
      <c r="L1261" s="2">
        <f>VLOOKUP(A1261,[1]aaabonddata!$A:$B,2,0)</f>
        <v>2.94</v>
      </c>
    </row>
    <row r="1262" spans="1:12" x14ac:dyDescent="0.2">
      <c r="A1262" s="3">
        <v>40599</v>
      </c>
      <c r="B1262" s="2">
        <v>2346.29</v>
      </c>
      <c r="C1262" s="2">
        <v>2349.5100000000002</v>
      </c>
      <c r="D1262" s="2">
        <v>2325.71</v>
      </c>
      <c r="E1262" s="2">
        <v>4087406992583</v>
      </c>
      <c r="F1262" s="2">
        <v>39388494</v>
      </c>
      <c r="G1262">
        <v>1489.18</v>
      </c>
      <c r="H1262">
        <v>1490.1</v>
      </c>
      <c r="I1262">
        <v>1471.12</v>
      </c>
      <c r="J1262">
        <v>4294744126</v>
      </c>
      <c r="K1262">
        <v>0</v>
      </c>
      <c r="L1262" s="2">
        <f>VLOOKUP(A1262,[1]aaabonddata!$A:$B,2,0)</f>
        <v>2.93</v>
      </c>
    </row>
    <row r="1263" spans="1:12" x14ac:dyDescent="0.2">
      <c r="A1263" s="3">
        <v>40602</v>
      </c>
      <c r="B1263" s="2">
        <v>2350.9899999999998</v>
      </c>
      <c r="C1263" s="2">
        <v>2362.79</v>
      </c>
      <c r="D1263" s="2">
        <v>2338.21</v>
      </c>
      <c r="E1263" s="2">
        <v>4095603231130</v>
      </c>
      <c r="F1263" s="2">
        <v>90852058</v>
      </c>
      <c r="G1263">
        <v>1480.11</v>
      </c>
      <c r="H1263">
        <v>1494.55</v>
      </c>
      <c r="I1263">
        <v>1468.83</v>
      </c>
      <c r="J1263">
        <v>4268569718</v>
      </c>
      <c r="K1263">
        <v>514327</v>
      </c>
      <c r="L1263" s="2">
        <f>VLOOKUP(A1263,[1]aaabonddata!$A:$B,2,0)</f>
        <v>2.98</v>
      </c>
    </row>
    <row r="1264" spans="1:12" x14ac:dyDescent="0.2">
      <c r="A1264" s="3">
        <v>40603</v>
      </c>
      <c r="B1264" s="2">
        <v>2315.2600000000002</v>
      </c>
      <c r="C1264" s="2">
        <v>2359.98</v>
      </c>
      <c r="D1264" s="2">
        <v>2308.0500000000002</v>
      </c>
      <c r="E1264" s="2">
        <v>4033345129295</v>
      </c>
      <c r="F1264" s="2">
        <v>0</v>
      </c>
      <c r="G1264">
        <v>1452.16</v>
      </c>
      <c r="H1264">
        <v>1487.37</v>
      </c>
      <c r="I1264">
        <v>1449.04</v>
      </c>
      <c r="J1264">
        <v>4187970592</v>
      </c>
      <c r="K1264">
        <v>0</v>
      </c>
      <c r="L1264" s="2">
        <f>VLOOKUP(A1264,[1]aaabonddata!$A:$B,2,0)</f>
        <v>2.98</v>
      </c>
    </row>
    <row r="1265" spans="1:12" x14ac:dyDescent="0.2">
      <c r="A1265" s="3">
        <v>40604</v>
      </c>
      <c r="B1265" s="2">
        <v>2326.77</v>
      </c>
      <c r="C1265" s="2">
        <v>2340.8000000000002</v>
      </c>
      <c r="D1265" s="2">
        <v>2311.9899999999998</v>
      </c>
      <c r="E1265" s="2">
        <v>4053398938231</v>
      </c>
      <c r="F1265" s="2">
        <v>122723980</v>
      </c>
      <c r="G1265">
        <v>1463.86</v>
      </c>
      <c r="H1265">
        <v>1479.28</v>
      </c>
      <c r="I1265">
        <v>1452.13</v>
      </c>
      <c r="J1265">
        <v>4221711444</v>
      </c>
      <c r="K1265">
        <v>0</v>
      </c>
      <c r="L1265" s="2">
        <f>VLOOKUP(A1265,[1]aaabonddata!$A:$B,2,0)</f>
        <v>3.01</v>
      </c>
    </row>
    <row r="1266" spans="1:12" x14ac:dyDescent="0.2">
      <c r="A1266" s="3">
        <v>40605</v>
      </c>
      <c r="B1266" s="2">
        <v>2371.7600000000002</v>
      </c>
      <c r="C1266" s="2">
        <v>2375.67</v>
      </c>
      <c r="D1266" s="2">
        <v>2350.1799999999998</v>
      </c>
      <c r="E1266" s="2">
        <v>4131782605926</v>
      </c>
      <c r="F1266" s="2">
        <v>0</v>
      </c>
      <c r="G1266">
        <v>1494.49</v>
      </c>
      <c r="H1266">
        <v>1498.58</v>
      </c>
      <c r="I1266">
        <v>1480.53</v>
      </c>
      <c r="J1266">
        <v>4310052406</v>
      </c>
      <c r="K1266">
        <v>0</v>
      </c>
      <c r="L1266" s="2">
        <f>VLOOKUP(A1266,[1]aaabonddata!$A:$B,2,0)</f>
        <v>3.1</v>
      </c>
    </row>
    <row r="1267" spans="1:12" x14ac:dyDescent="0.2">
      <c r="A1267" s="3">
        <v>40606</v>
      </c>
      <c r="B1267" s="2">
        <v>2359.96</v>
      </c>
      <c r="C1267" s="2">
        <v>2371.23</v>
      </c>
      <c r="D1267" s="2">
        <v>2344.62</v>
      </c>
      <c r="E1267" s="2">
        <v>4111224288312</v>
      </c>
      <c r="F1267" s="2">
        <v>0</v>
      </c>
      <c r="G1267">
        <v>1482.42</v>
      </c>
      <c r="H1267">
        <v>1491.86</v>
      </c>
      <c r="I1267">
        <v>1471.56</v>
      </c>
      <c r="J1267">
        <v>4275257893</v>
      </c>
      <c r="K1267">
        <v>0</v>
      </c>
      <c r="L1267" s="2">
        <f>VLOOKUP(A1267,[1]aaabonddata!$A:$B,2,0)</f>
        <v>3.01</v>
      </c>
    </row>
    <row r="1268" spans="1:12" x14ac:dyDescent="0.2">
      <c r="A1268" s="3">
        <v>40609</v>
      </c>
      <c r="B1268" s="2">
        <v>2328.0700000000002</v>
      </c>
      <c r="C1268" s="2">
        <v>2370.91</v>
      </c>
      <c r="D1268" s="2">
        <v>2307.39</v>
      </c>
      <c r="E1268" s="2">
        <v>4055671049859</v>
      </c>
      <c r="F1268" s="2">
        <v>0</v>
      </c>
      <c r="G1268">
        <v>1456.03</v>
      </c>
      <c r="H1268">
        <v>1491.56</v>
      </c>
      <c r="I1268">
        <v>1440.41</v>
      </c>
      <c r="J1268">
        <v>4199139662</v>
      </c>
      <c r="K1268">
        <v>0</v>
      </c>
      <c r="L1268" s="2">
        <f>VLOOKUP(A1268,[1]aaabonddata!$A:$B,2,0)</f>
        <v>3.02</v>
      </c>
    </row>
    <row r="1269" spans="1:12" x14ac:dyDescent="0.2">
      <c r="A1269" s="3">
        <v>40610</v>
      </c>
      <c r="B1269" s="2">
        <v>2337.5500000000002</v>
      </c>
      <c r="C1269" s="2">
        <v>2347.5100000000002</v>
      </c>
      <c r="D1269" s="2">
        <v>2310.96</v>
      </c>
      <c r="E1269" s="2">
        <v>4072181750911</v>
      </c>
      <c r="F1269" s="2">
        <v>0</v>
      </c>
      <c r="G1269">
        <v>1464.73</v>
      </c>
      <c r="H1269">
        <v>1475.82</v>
      </c>
      <c r="I1269">
        <v>1447</v>
      </c>
      <c r="J1269">
        <v>4224218336</v>
      </c>
      <c r="K1269">
        <v>0</v>
      </c>
      <c r="L1269" s="2">
        <f>VLOOKUP(A1269,[1]aaabonddata!$A:$B,2,0)</f>
        <v>3.05</v>
      </c>
    </row>
    <row r="1270" spans="1:12" x14ac:dyDescent="0.2">
      <c r="A1270" s="3">
        <v>40611</v>
      </c>
      <c r="B1270" s="2">
        <v>2322.69</v>
      </c>
      <c r="C1270" s="2">
        <v>2330.6799999999998</v>
      </c>
      <c r="D1270" s="2">
        <v>2309.2800000000002</v>
      </c>
      <c r="E1270" s="2">
        <v>4046302851748</v>
      </c>
      <c r="F1270" s="2">
        <v>271398812</v>
      </c>
      <c r="G1270">
        <v>1444.62</v>
      </c>
      <c r="H1270">
        <v>1457.84</v>
      </c>
      <c r="I1270">
        <v>1439.11</v>
      </c>
      <c r="J1270">
        <v>4166237543</v>
      </c>
      <c r="K1270">
        <v>0</v>
      </c>
      <c r="L1270" s="2">
        <f>VLOOKUP(A1270,[1]aaabonddata!$A:$B,2,0)</f>
        <v>2.99</v>
      </c>
    </row>
    <row r="1271" spans="1:12" x14ac:dyDescent="0.2">
      <c r="A1271" s="3">
        <v>40612</v>
      </c>
      <c r="B1271" s="2">
        <v>2284.29</v>
      </c>
      <c r="C1271" s="2">
        <v>2300.5300000000002</v>
      </c>
      <c r="D1271" s="2">
        <v>2276.12</v>
      </c>
      <c r="E1271" s="2">
        <v>3979394357237</v>
      </c>
      <c r="F1271" s="2">
        <v>24798384</v>
      </c>
      <c r="G1271">
        <v>1413.04</v>
      </c>
      <c r="H1271">
        <v>1426.73</v>
      </c>
      <c r="I1271">
        <v>1407.1</v>
      </c>
      <c r="J1271">
        <v>4075158845</v>
      </c>
      <c r="K1271">
        <v>0</v>
      </c>
      <c r="L1271" s="2">
        <f>VLOOKUP(A1271,[1]aaabonddata!$A:$B,2,0)</f>
        <v>2.93</v>
      </c>
    </row>
    <row r="1272" spans="1:12" x14ac:dyDescent="0.2">
      <c r="A1272" s="3">
        <v>40613</v>
      </c>
      <c r="B1272" s="2">
        <v>2299.2600000000002</v>
      </c>
      <c r="C1272" s="2">
        <v>2305.9699999999998</v>
      </c>
      <c r="D1272" s="2">
        <v>2275.0700000000002</v>
      </c>
      <c r="E1272" s="2">
        <v>4005482123520</v>
      </c>
      <c r="F1272" s="2">
        <v>0</v>
      </c>
      <c r="G1272">
        <v>1422.97</v>
      </c>
      <c r="H1272">
        <v>1426.83</v>
      </c>
      <c r="I1272">
        <v>1406.45</v>
      </c>
      <c r="J1272">
        <v>4103795787</v>
      </c>
      <c r="K1272">
        <v>0</v>
      </c>
      <c r="L1272" s="2">
        <f>VLOOKUP(A1272,[1]aaabonddata!$A:$B,2,0)</f>
        <v>2.92</v>
      </c>
    </row>
    <row r="1273" spans="1:12" x14ac:dyDescent="0.2">
      <c r="A1273" s="3">
        <v>40616</v>
      </c>
      <c r="B1273" s="2">
        <v>2290.7199999999998</v>
      </c>
      <c r="C1273" s="2">
        <v>2302.92</v>
      </c>
      <c r="D1273" s="2">
        <v>2274.08</v>
      </c>
      <c r="E1273" s="2">
        <v>3990593702738</v>
      </c>
      <c r="F1273" s="2">
        <v>534920862</v>
      </c>
      <c r="G1273">
        <v>1414.98</v>
      </c>
      <c r="H1273">
        <v>1429.15</v>
      </c>
      <c r="I1273">
        <v>1404.33</v>
      </c>
      <c r="J1273">
        <v>4080740740</v>
      </c>
      <c r="K1273">
        <v>0</v>
      </c>
      <c r="L1273" s="2">
        <f>VLOOKUP(A1273,[1]aaabonddata!$A:$B,2,0)</f>
        <v>2.88</v>
      </c>
    </row>
    <row r="1274" spans="1:12" x14ac:dyDescent="0.2">
      <c r="A1274" s="3">
        <v>40617</v>
      </c>
      <c r="B1274" s="2">
        <v>2259.62</v>
      </c>
      <c r="C1274" s="2">
        <v>2271.58</v>
      </c>
      <c r="D1274" s="2">
        <v>2217.4299999999998</v>
      </c>
      <c r="E1274" s="2">
        <v>3936425588722</v>
      </c>
      <c r="F1274" s="2">
        <v>0</v>
      </c>
      <c r="G1274">
        <v>1393.66</v>
      </c>
      <c r="H1274">
        <v>1401.76</v>
      </c>
      <c r="I1274">
        <v>1362.46</v>
      </c>
      <c r="J1274">
        <v>4019272673</v>
      </c>
      <c r="K1274">
        <v>0</v>
      </c>
      <c r="L1274" s="2">
        <f>VLOOKUP(A1274,[1]aaabonddata!$A:$B,2,0)</f>
        <v>2.89</v>
      </c>
    </row>
    <row r="1275" spans="1:12" x14ac:dyDescent="0.2">
      <c r="A1275" s="3">
        <v>40618</v>
      </c>
      <c r="B1275" s="2">
        <v>2202.9699999999998</v>
      </c>
      <c r="C1275" s="2">
        <v>2252.13</v>
      </c>
      <c r="D1275" s="2">
        <v>2188.92</v>
      </c>
      <c r="E1275" s="2">
        <v>3837725713916</v>
      </c>
      <c r="F1275" s="2">
        <v>0</v>
      </c>
      <c r="G1275">
        <v>1363.98</v>
      </c>
      <c r="H1275">
        <v>1401.19</v>
      </c>
      <c r="I1275">
        <v>1356.38</v>
      </c>
      <c r="J1275">
        <v>3933659378</v>
      </c>
      <c r="K1275">
        <v>0</v>
      </c>
      <c r="L1275" s="2">
        <f>VLOOKUP(A1275,[1]aaabonddata!$A:$B,2,0)</f>
        <v>2.81</v>
      </c>
    </row>
    <row r="1276" spans="1:12" x14ac:dyDescent="0.2">
      <c r="A1276" s="3">
        <v>40619</v>
      </c>
      <c r="B1276" s="2">
        <v>2225.2399999999998</v>
      </c>
      <c r="C1276" s="2">
        <v>2247.9299999999998</v>
      </c>
      <c r="D1276" s="2">
        <v>2223.13</v>
      </c>
      <c r="E1276" s="2">
        <v>3876529837030</v>
      </c>
      <c r="F1276" s="2">
        <v>0</v>
      </c>
      <c r="G1276">
        <v>1376.66</v>
      </c>
      <c r="H1276">
        <v>1390.25</v>
      </c>
      <c r="I1276">
        <v>1373.14</v>
      </c>
      <c r="J1276">
        <v>3970233758</v>
      </c>
      <c r="K1276">
        <v>0</v>
      </c>
      <c r="L1276" s="2">
        <f>VLOOKUP(A1276,[1]aaabonddata!$A:$B,2,0)</f>
        <v>2.84</v>
      </c>
    </row>
    <row r="1277" spans="1:12" x14ac:dyDescent="0.2">
      <c r="A1277" s="3">
        <v>40620</v>
      </c>
      <c r="B1277" s="2">
        <v>2221.0700000000002</v>
      </c>
      <c r="C1277" s="2">
        <v>2249.39</v>
      </c>
      <c r="D1277" s="2">
        <v>2217.9499999999998</v>
      </c>
      <c r="E1277" s="2">
        <v>3869267517655</v>
      </c>
      <c r="F1277" s="2">
        <v>0</v>
      </c>
      <c r="G1277">
        <v>1378.03</v>
      </c>
      <c r="H1277">
        <v>1395.28</v>
      </c>
      <c r="I1277">
        <v>1373.9</v>
      </c>
      <c r="J1277">
        <v>3974197749</v>
      </c>
      <c r="K1277">
        <v>0</v>
      </c>
      <c r="L1277" s="2">
        <f>VLOOKUP(A1277,[1]aaabonddata!$A:$B,2,0)</f>
        <v>2.86</v>
      </c>
    </row>
    <row r="1278" spans="1:12" x14ac:dyDescent="0.2">
      <c r="A1278" s="3">
        <v>40623</v>
      </c>
      <c r="B1278" s="2">
        <v>2262.6999999999998</v>
      </c>
      <c r="C1278" s="2">
        <v>2273.11</v>
      </c>
      <c r="D1278" s="2">
        <v>2249.46</v>
      </c>
      <c r="E1278" s="2">
        <v>3947516836380</v>
      </c>
      <c r="F1278" s="2">
        <v>0</v>
      </c>
      <c r="G1278">
        <v>1403.77</v>
      </c>
      <c r="H1278">
        <v>1412.51</v>
      </c>
      <c r="I1278">
        <v>1395.45</v>
      </c>
      <c r="J1278">
        <v>4074698109</v>
      </c>
      <c r="K1278">
        <v>0</v>
      </c>
      <c r="L1278" s="2">
        <f>VLOOKUP(A1278,[1]aaabonddata!$A:$B,2,0)</f>
        <v>2.91</v>
      </c>
    </row>
    <row r="1279" spans="1:12" x14ac:dyDescent="0.2">
      <c r="A1279" s="3">
        <v>40624</v>
      </c>
      <c r="B1279" s="2">
        <v>2257.96</v>
      </c>
      <c r="C1279" s="2">
        <v>2266.09</v>
      </c>
      <c r="D1279" s="2">
        <v>2253.08</v>
      </c>
      <c r="E1279" s="2">
        <v>3939254421339</v>
      </c>
      <c r="F1279" s="2">
        <v>0</v>
      </c>
      <c r="G1279">
        <v>1398.6</v>
      </c>
      <c r="H1279">
        <v>1405.97</v>
      </c>
      <c r="I1279">
        <v>1395.59</v>
      </c>
      <c r="J1279">
        <v>4059687065</v>
      </c>
      <c r="K1279">
        <v>0</v>
      </c>
      <c r="L1279" s="2">
        <f>VLOOKUP(A1279,[1]aaabonddata!$A:$B,2,0)</f>
        <v>2.92</v>
      </c>
    </row>
    <row r="1280" spans="1:12" x14ac:dyDescent="0.2">
      <c r="A1280" s="3">
        <v>40625</v>
      </c>
      <c r="B1280" s="2">
        <v>2270.5</v>
      </c>
      <c r="C1280" s="2">
        <v>2276.62</v>
      </c>
      <c r="D1280" s="2">
        <v>2234.94</v>
      </c>
      <c r="E1280" s="2">
        <v>3961120707618</v>
      </c>
      <c r="F1280" s="2">
        <v>91250048</v>
      </c>
      <c r="G1280">
        <v>1411.66</v>
      </c>
      <c r="H1280">
        <v>1415.75</v>
      </c>
      <c r="I1280">
        <v>1385.72</v>
      </c>
      <c r="J1280">
        <v>4097597065</v>
      </c>
      <c r="K1280">
        <v>0</v>
      </c>
      <c r="L1280" s="2">
        <f>VLOOKUP(A1280,[1]aaabonddata!$A:$B,2,0)</f>
        <v>2.92</v>
      </c>
    </row>
    <row r="1281" spans="1:12" x14ac:dyDescent="0.2">
      <c r="A1281" s="3">
        <v>40626</v>
      </c>
      <c r="B1281" s="2">
        <v>2312.09</v>
      </c>
      <c r="C1281" s="2">
        <v>2315.56</v>
      </c>
      <c r="D1281" s="2">
        <v>2275.65</v>
      </c>
      <c r="E1281" s="2">
        <v>4033688123497</v>
      </c>
      <c r="F1281" s="2">
        <v>0</v>
      </c>
      <c r="G1281">
        <v>1445.07</v>
      </c>
      <c r="H1281">
        <v>1447.12</v>
      </c>
      <c r="I1281">
        <v>1418.7</v>
      </c>
      <c r="J1281">
        <v>4194598864</v>
      </c>
      <c r="K1281">
        <v>0</v>
      </c>
      <c r="L1281" s="2">
        <f>VLOOKUP(A1281,[1]aaabonddata!$A:$B,2,0)</f>
        <v>2.96</v>
      </c>
    </row>
    <row r="1282" spans="1:12" x14ac:dyDescent="0.2">
      <c r="A1282" s="3">
        <v>40627</v>
      </c>
      <c r="B1282" s="2">
        <v>2316.36</v>
      </c>
      <c r="C1282" s="2">
        <v>2331.63</v>
      </c>
      <c r="D1282" s="2">
        <v>2314.02</v>
      </c>
      <c r="E1282" s="2">
        <v>4041128423224</v>
      </c>
      <c r="F1282" s="2">
        <v>0</v>
      </c>
      <c r="G1282">
        <v>1441.73</v>
      </c>
      <c r="H1282">
        <v>1454.81</v>
      </c>
      <c r="I1282">
        <v>1440.91</v>
      </c>
      <c r="J1282">
        <v>4184902038</v>
      </c>
      <c r="K1282">
        <v>0</v>
      </c>
      <c r="L1282" s="2">
        <f>VLOOKUP(A1282,[1]aaabonddata!$A:$B,2,0)</f>
        <v>3</v>
      </c>
    </row>
    <row r="1283" spans="1:12" x14ac:dyDescent="0.2">
      <c r="A1283" s="3">
        <v>40630</v>
      </c>
      <c r="B1283" s="2">
        <v>2303.1</v>
      </c>
      <c r="C1283" s="2">
        <v>2326.12</v>
      </c>
      <c r="D1283" s="2">
        <v>2303.06</v>
      </c>
      <c r="E1283" s="2">
        <v>4018000449969</v>
      </c>
      <c r="F1283" s="2">
        <v>0</v>
      </c>
      <c r="G1283">
        <v>1434.68</v>
      </c>
      <c r="H1283">
        <v>1450.63</v>
      </c>
      <c r="I1283">
        <v>1434.31</v>
      </c>
      <c r="J1283">
        <v>4164425240</v>
      </c>
      <c r="K1283">
        <v>0</v>
      </c>
      <c r="L1283" s="2">
        <f>VLOOKUP(A1283,[1]aaabonddata!$A:$B,2,0)</f>
        <v>3.01</v>
      </c>
    </row>
    <row r="1284" spans="1:12" x14ac:dyDescent="0.2">
      <c r="A1284" s="3">
        <v>40631</v>
      </c>
      <c r="B1284" s="2">
        <v>2325.54</v>
      </c>
      <c r="C1284" s="2">
        <v>2325.54</v>
      </c>
      <c r="D1284" s="2">
        <v>2291.7800000000002</v>
      </c>
      <c r="E1284" s="2">
        <v>4057148321370</v>
      </c>
      <c r="F1284" s="2">
        <v>235402946</v>
      </c>
      <c r="G1284">
        <v>1450.19</v>
      </c>
      <c r="H1284">
        <v>1450.54</v>
      </c>
      <c r="I1284">
        <v>1427.12</v>
      </c>
      <c r="J1284">
        <v>4209446067</v>
      </c>
      <c r="K1284">
        <v>350058</v>
      </c>
      <c r="L1284" s="2">
        <f>VLOOKUP(A1284,[1]aaabonddata!$A:$B,2,0)</f>
        <v>3.04</v>
      </c>
    </row>
    <row r="1285" spans="1:12" x14ac:dyDescent="0.2">
      <c r="A1285" s="3">
        <v>40632</v>
      </c>
      <c r="B1285" s="2">
        <v>2336.52</v>
      </c>
      <c r="C1285" s="2">
        <v>2340.39</v>
      </c>
      <c r="D1285" s="2">
        <v>2326.79</v>
      </c>
      <c r="E1285" s="2">
        <v>4076302681996</v>
      </c>
      <c r="F1285" s="2">
        <v>0</v>
      </c>
      <c r="G1285">
        <v>1453.86</v>
      </c>
      <c r="H1285">
        <v>1461.94</v>
      </c>
      <c r="I1285">
        <v>1446.89</v>
      </c>
      <c r="J1285">
        <v>4220089629</v>
      </c>
      <c r="K1285">
        <v>0</v>
      </c>
      <c r="L1285" s="2">
        <f>VLOOKUP(A1285,[1]aaabonddata!$A:$B,2,0)</f>
        <v>3.01</v>
      </c>
    </row>
    <row r="1286" spans="1:12" x14ac:dyDescent="0.2">
      <c r="A1286" s="3">
        <v>40633</v>
      </c>
      <c r="B1286" s="2">
        <v>2338.9899999999998</v>
      </c>
      <c r="C1286" s="2">
        <v>2342.2399999999998</v>
      </c>
      <c r="D1286" s="2">
        <v>2329.62</v>
      </c>
      <c r="E1286" s="2">
        <v>4080607283428</v>
      </c>
      <c r="F1286" s="2">
        <v>0</v>
      </c>
      <c r="G1286">
        <v>1454.46</v>
      </c>
      <c r="H1286">
        <v>1459.13</v>
      </c>
      <c r="I1286">
        <v>1447.52</v>
      </c>
      <c r="J1286">
        <v>4221831489</v>
      </c>
      <c r="K1286">
        <v>0</v>
      </c>
      <c r="L1286" s="2">
        <f>VLOOKUP(A1286,[1]aaabonddata!$A:$B,2,0)</f>
        <v>2.96</v>
      </c>
    </row>
    <row r="1287" spans="1:12" x14ac:dyDescent="0.2">
      <c r="A1287" s="3">
        <v>40634</v>
      </c>
      <c r="B1287" s="2">
        <v>2342.92</v>
      </c>
      <c r="C1287" s="2">
        <v>2359.16</v>
      </c>
      <c r="D1287" s="2">
        <v>2334.9499999999998</v>
      </c>
      <c r="E1287" s="2">
        <v>4087464390581</v>
      </c>
      <c r="F1287" s="2">
        <v>0</v>
      </c>
      <c r="G1287">
        <v>1452.74</v>
      </c>
      <c r="H1287">
        <v>1462.99</v>
      </c>
      <c r="I1287">
        <v>1446.9</v>
      </c>
      <c r="J1287">
        <v>4216849234</v>
      </c>
      <c r="K1287">
        <v>0</v>
      </c>
      <c r="L1287" s="2">
        <f>VLOOKUP(A1287,[1]aaabonddata!$A:$B,2,0)</f>
        <v>2.98</v>
      </c>
    </row>
    <row r="1288" spans="1:12" x14ac:dyDescent="0.2">
      <c r="A1288" s="3">
        <v>40637</v>
      </c>
      <c r="B1288" s="2">
        <v>2334.54</v>
      </c>
      <c r="C1288" s="2">
        <v>2350.34</v>
      </c>
      <c r="D1288" s="2">
        <v>2324.02</v>
      </c>
      <c r="E1288" s="2">
        <v>4043956332811</v>
      </c>
      <c r="F1288" s="2">
        <v>306585229</v>
      </c>
      <c r="G1288">
        <v>1445.25</v>
      </c>
      <c r="H1288">
        <v>1457.83</v>
      </c>
      <c r="I1288">
        <v>1438.4</v>
      </c>
      <c r="J1288">
        <v>4195099024</v>
      </c>
      <c r="K1288">
        <v>0</v>
      </c>
      <c r="L1288" s="2">
        <f>VLOOKUP(A1288,[1]aaabonddata!$A:$B,2,0)</f>
        <v>2.94</v>
      </c>
    </row>
    <row r="1289" spans="1:12" x14ac:dyDescent="0.2">
      <c r="A1289" s="3">
        <v>40638</v>
      </c>
      <c r="B1289" s="2">
        <v>2327.87</v>
      </c>
      <c r="C1289" s="2">
        <v>2342.34</v>
      </c>
      <c r="D1289" s="2">
        <v>2323.41</v>
      </c>
      <c r="E1289" s="2">
        <v>4032398292194</v>
      </c>
      <c r="F1289" s="2">
        <v>0</v>
      </c>
      <c r="G1289">
        <v>1446.28</v>
      </c>
      <c r="H1289">
        <v>1456.37</v>
      </c>
      <c r="I1289">
        <v>1443.38</v>
      </c>
      <c r="J1289">
        <v>4198108399</v>
      </c>
      <c r="K1289">
        <v>0</v>
      </c>
      <c r="L1289" s="2">
        <f>VLOOKUP(A1289,[1]aaabonddata!$A:$B,2,0)</f>
        <v>3.01</v>
      </c>
    </row>
    <row r="1290" spans="1:12" x14ac:dyDescent="0.2">
      <c r="A1290" s="3">
        <v>40639</v>
      </c>
      <c r="B1290" s="2">
        <v>2332.34</v>
      </c>
      <c r="C1290" s="2">
        <v>2352.25</v>
      </c>
      <c r="D1290" s="2">
        <v>2320.3200000000002</v>
      </c>
      <c r="E1290" s="2">
        <v>4040132226633</v>
      </c>
      <c r="F1290" s="2">
        <v>0</v>
      </c>
      <c r="G1290">
        <v>1454.28</v>
      </c>
      <c r="H1290">
        <v>1461.97</v>
      </c>
      <c r="I1290">
        <v>1441.98</v>
      </c>
      <c r="J1290">
        <v>4221323802</v>
      </c>
      <c r="K1290">
        <v>0</v>
      </c>
      <c r="L1290" s="2">
        <f>VLOOKUP(A1290,[1]aaabonddata!$A:$B,2,0)</f>
        <v>3.05</v>
      </c>
    </row>
    <row r="1291" spans="1:12" x14ac:dyDescent="0.2">
      <c r="A1291" s="3">
        <v>40640</v>
      </c>
      <c r="B1291" s="2">
        <v>2332.88</v>
      </c>
      <c r="C1291" s="2">
        <v>2346.86</v>
      </c>
      <c r="D1291" s="2">
        <v>2315.83</v>
      </c>
      <c r="E1291" s="2">
        <v>4041066267811</v>
      </c>
      <c r="F1291" s="2">
        <v>0</v>
      </c>
      <c r="G1291">
        <v>1450.35</v>
      </c>
      <c r="H1291">
        <v>1458.8</v>
      </c>
      <c r="I1291">
        <v>1437.44</v>
      </c>
      <c r="J1291">
        <v>4209923559</v>
      </c>
      <c r="K1291">
        <v>0</v>
      </c>
      <c r="L1291" s="2">
        <f>VLOOKUP(A1291,[1]aaabonddata!$A:$B,2,0)</f>
        <v>3.02</v>
      </c>
    </row>
    <row r="1292" spans="1:12" x14ac:dyDescent="0.2">
      <c r="A1292" s="3">
        <v>40641</v>
      </c>
      <c r="B1292" s="2">
        <v>2321.1799999999998</v>
      </c>
      <c r="C1292" s="2">
        <v>2345.41</v>
      </c>
      <c r="D1292" s="2">
        <v>2313.46</v>
      </c>
      <c r="E1292" s="2">
        <v>4020803597017</v>
      </c>
      <c r="F1292" s="2">
        <v>34177055</v>
      </c>
      <c r="G1292">
        <v>1443.68</v>
      </c>
      <c r="H1292">
        <v>1462.26</v>
      </c>
      <c r="I1292">
        <v>1438.46</v>
      </c>
      <c r="J1292">
        <v>4190546462</v>
      </c>
      <c r="K1292">
        <v>0</v>
      </c>
      <c r="L1292" s="2">
        <f>VLOOKUP(A1292,[1]aaabonddata!$A:$B,2,0)</f>
        <v>3.03</v>
      </c>
    </row>
    <row r="1293" spans="1:12" x14ac:dyDescent="0.2">
      <c r="A1293" s="3">
        <v>40644</v>
      </c>
      <c r="B1293" s="2">
        <v>2314.5</v>
      </c>
      <c r="C1293" s="2">
        <v>2333.98</v>
      </c>
      <c r="D1293" s="2">
        <v>2305.5300000000002</v>
      </c>
      <c r="E1293" s="2">
        <v>4009238625600</v>
      </c>
      <c r="F1293" s="2">
        <v>237431226</v>
      </c>
      <c r="G1293">
        <v>1440.4</v>
      </c>
      <c r="H1293">
        <v>1452.9</v>
      </c>
      <c r="I1293">
        <v>1433.78</v>
      </c>
      <c r="J1293">
        <v>4181021016</v>
      </c>
      <c r="K1293">
        <v>195058</v>
      </c>
      <c r="L1293" s="2">
        <f>VLOOKUP(A1293,[1]aaabonddata!$A:$B,2,0)</f>
        <v>3.03</v>
      </c>
    </row>
    <row r="1294" spans="1:12" x14ac:dyDescent="0.2">
      <c r="A1294" s="3">
        <v>40645</v>
      </c>
      <c r="B1294" s="2">
        <v>2298.3000000000002</v>
      </c>
      <c r="C1294" s="2">
        <v>2308.1999999999998</v>
      </c>
      <c r="D1294" s="2">
        <v>2288.6799999999998</v>
      </c>
      <c r="E1294" s="2">
        <v>3981171507852</v>
      </c>
      <c r="F1294" s="2">
        <v>0</v>
      </c>
      <c r="G1294">
        <v>1425.59</v>
      </c>
      <c r="H1294">
        <v>1431.13</v>
      </c>
      <c r="I1294">
        <v>1416.62</v>
      </c>
      <c r="J1294">
        <v>4138029006</v>
      </c>
      <c r="K1294">
        <v>0</v>
      </c>
      <c r="L1294" s="2">
        <f>VLOOKUP(A1294,[1]aaabonddata!$A:$B,2,0)</f>
        <v>2.96</v>
      </c>
    </row>
    <row r="1295" spans="1:12" x14ac:dyDescent="0.2">
      <c r="A1295" s="3">
        <v>40646</v>
      </c>
      <c r="B1295" s="2">
        <v>2316.63</v>
      </c>
      <c r="C1295" s="2">
        <v>2322.6</v>
      </c>
      <c r="D1295" s="2">
        <v>2298.8200000000002</v>
      </c>
      <c r="E1295" s="2">
        <v>4012932383021</v>
      </c>
      <c r="F1295" s="2">
        <v>68833753</v>
      </c>
      <c r="G1295">
        <v>1440.89</v>
      </c>
      <c r="H1295">
        <v>1446.24</v>
      </c>
      <c r="I1295">
        <v>1429.77</v>
      </c>
      <c r="J1295">
        <v>4182457528</v>
      </c>
      <c r="K1295">
        <v>0</v>
      </c>
      <c r="L1295" s="2">
        <f>VLOOKUP(A1295,[1]aaabonddata!$A:$B,2,0)</f>
        <v>2.93</v>
      </c>
    </row>
    <row r="1296" spans="1:12" x14ac:dyDescent="0.2">
      <c r="A1296" s="3">
        <v>40647</v>
      </c>
      <c r="B1296" s="2">
        <v>2311.25</v>
      </c>
      <c r="C1296" s="2">
        <v>2315.2199999999998</v>
      </c>
      <c r="D1296" s="2">
        <v>2291.79</v>
      </c>
      <c r="E1296" s="2">
        <v>4003613248799</v>
      </c>
      <c r="F1296" s="2">
        <v>0</v>
      </c>
      <c r="G1296">
        <v>1442.54</v>
      </c>
      <c r="H1296">
        <v>1443.61</v>
      </c>
      <c r="I1296">
        <v>1423.1</v>
      </c>
      <c r="J1296">
        <v>4187230031</v>
      </c>
      <c r="K1296">
        <v>0</v>
      </c>
      <c r="L1296" s="2">
        <f>VLOOKUP(A1296,[1]aaabonddata!$A:$B,2,0)</f>
        <v>2.95</v>
      </c>
    </row>
    <row r="1297" spans="1:12" x14ac:dyDescent="0.2">
      <c r="A1297" s="3">
        <v>40648</v>
      </c>
      <c r="B1297" s="2">
        <v>2307.58</v>
      </c>
      <c r="C1297" s="2">
        <v>2316.8200000000002</v>
      </c>
      <c r="D1297" s="2">
        <v>2293.5300000000002</v>
      </c>
      <c r="E1297" s="2">
        <v>3997240768423</v>
      </c>
      <c r="F1297" s="2">
        <v>0</v>
      </c>
      <c r="G1297">
        <v>1440.95</v>
      </c>
      <c r="H1297">
        <v>1443.76</v>
      </c>
      <c r="I1297">
        <v>1424.84</v>
      </c>
      <c r="J1297">
        <v>4182626518</v>
      </c>
      <c r="K1297">
        <v>0</v>
      </c>
      <c r="L1297" s="2">
        <f>VLOOKUP(A1297,[1]aaabonddata!$A:$B,2,0)</f>
        <v>2.88</v>
      </c>
    </row>
    <row r="1298" spans="1:12" x14ac:dyDescent="0.2">
      <c r="A1298" s="3">
        <v>40651</v>
      </c>
      <c r="B1298" s="2">
        <v>2292.34</v>
      </c>
      <c r="C1298" s="2">
        <v>2293.08</v>
      </c>
      <c r="D1298" s="2">
        <v>2254.88</v>
      </c>
      <c r="E1298" s="2">
        <v>3970848075658</v>
      </c>
      <c r="F1298" s="2">
        <v>0</v>
      </c>
      <c r="G1298">
        <v>1422.89</v>
      </c>
      <c r="H1298">
        <v>1424.66</v>
      </c>
      <c r="I1298">
        <v>1405.99</v>
      </c>
      <c r="J1298">
        <v>4130212490</v>
      </c>
      <c r="K1298">
        <v>0</v>
      </c>
      <c r="L1298" s="2">
        <f>VLOOKUP(A1298,[1]aaabonddata!$A:$B,2,0)</f>
        <v>2.85</v>
      </c>
    </row>
    <row r="1299" spans="1:12" x14ac:dyDescent="0.2">
      <c r="A1299" s="3">
        <v>40652</v>
      </c>
      <c r="B1299" s="2">
        <v>2306.77</v>
      </c>
      <c r="C1299" s="2">
        <v>2306.77</v>
      </c>
      <c r="D1299" s="2">
        <v>2286.59</v>
      </c>
      <c r="E1299" s="2">
        <v>3995849578747</v>
      </c>
      <c r="F1299" s="2">
        <v>0</v>
      </c>
      <c r="G1299">
        <v>1426.35</v>
      </c>
      <c r="H1299">
        <v>1427.51</v>
      </c>
      <c r="I1299">
        <v>1414.05</v>
      </c>
      <c r="J1299">
        <v>4140235586</v>
      </c>
      <c r="K1299">
        <v>0</v>
      </c>
      <c r="L1299" s="2">
        <f>VLOOKUP(A1299,[1]aaabonddata!$A:$B,2,0)</f>
        <v>2.84</v>
      </c>
    </row>
    <row r="1300" spans="1:12" x14ac:dyDescent="0.2">
      <c r="A1300" s="3">
        <v>40653</v>
      </c>
      <c r="B1300" s="2">
        <v>2357.7600000000002</v>
      </c>
      <c r="C1300" s="2">
        <v>2360.69</v>
      </c>
      <c r="D1300" s="2">
        <v>2344.21</v>
      </c>
      <c r="E1300" s="2">
        <v>4084175265983</v>
      </c>
      <c r="F1300" s="2">
        <v>0</v>
      </c>
      <c r="G1300">
        <v>1472.34</v>
      </c>
      <c r="H1300">
        <v>1473.03</v>
      </c>
      <c r="I1300">
        <v>1455.32</v>
      </c>
      <c r="J1300">
        <v>4273734037</v>
      </c>
      <c r="K1300">
        <v>0</v>
      </c>
      <c r="L1300" s="2">
        <f>VLOOKUP(A1300,[1]aaabonddata!$A:$B,2,0)</f>
        <v>2.88</v>
      </c>
    </row>
    <row r="1301" spans="1:12" x14ac:dyDescent="0.2">
      <c r="A1301" s="3">
        <v>40654</v>
      </c>
      <c r="B1301" s="2">
        <v>2377.3000000000002</v>
      </c>
      <c r="C1301" s="2">
        <v>2381.1999999999998</v>
      </c>
      <c r="D1301" s="2">
        <v>2370.2800000000002</v>
      </c>
      <c r="E1301" s="2">
        <v>4118018681720</v>
      </c>
      <c r="F1301" s="2">
        <v>0</v>
      </c>
      <c r="G1301">
        <v>1477.06</v>
      </c>
      <c r="H1301">
        <v>1480.29</v>
      </c>
      <c r="I1301">
        <v>1471.35</v>
      </c>
      <c r="J1301">
        <v>4287433332</v>
      </c>
      <c r="K1301">
        <v>0</v>
      </c>
      <c r="L1301" s="2">
        <f>VLOOKUP(A1301,[1]aaabonddata!$A:$B,2,0)</f>
        <v>2.88</v>
      </c>
    </row>
    <row r="1302" spans="1:12" x14ac:dyDescent="0.2">
      <c r="A1302" s="3">
        <v>40658</v>
      </c>
      <c r="B1302" s="2">
        <v>2383.7199999999998</v>
      </c>
      <c r="C1302" s="2">
        <v>2385.0300000000002</v>
      </c>
      <c r="D1302" s="2">
        <v>2375.12</v>
      </c>
      <c r="E1302" s="2">
        <v>4129143340460</v>
      </c>
      <c r="F1302" s="2">
        <v>0</v>
      </c>
      <c r="G1302">
        <v>1483.26</v>
      </c>
      <c r="H1302">
        <v>1485.54</v>
      </c>
      <c r="I1302">
        <v>1476.85</v>
      </c>
      <c r="J1302">
        <v>4305438922</v>
      </c>
      <c r="K1302">
        <v>0</v>
      </c>
      <c r="L1302" s="2">
        <f>VLOOKUP(A1302,[1]aaabonddata!$A:$B,2,0)</f>
        <v>2.85</v>
      </c>
    </row>
    <row r="1303" spans="1:12" x14ac:dyDescent="0.2">
      <c r="A1303" s="3">
        <v>40659</v>
      </c>
      <c r="B1303" s="2">
        <v>2396.0300000000002</v>
      </c>
      <c r="C1303" s="2">
        <v>2405.23</v>
      </c>
      <c r="D1303" s="2">
        <v>2384.8000000000002</v>
      </c>
      <c r="E1303" s="2">
        <v>4150458756168</v>
      </c>
      <c r="F1303" s="2">
        <v>0</v>
      </c>
      <c r="G1303">
        <v>1495.98</v>
      </c>
      <c r="H1303">
        <v>1499.8</v>
      </c>
      <c r="I1303">
        <v>1483.5</v>
      </c>
      <c r="J1303">
        <v>4342366431</v>
      </c>
      <c r="K1303">
        <v>0</v>
      </c>
      <c r="L1303" s="2">
        <f>VLOOKUP(A1303,[1]aaabonddata!$A:$B,2,0)</f>
        <v>2.81</v>
      </c>
    </row>
    <row r="1304" spans="1:12" x14ac:dyDescent="0.2">
      <c r="A1304" s="3">
        <v>40660</v>
      </c>
      <c r="B1304" s="2">
        <v>2413.59</v>
      </c>
      <c r="C1304" s="2">
        <v>2415.85</v>
      </c>
      <c r="D1304" s="2">
        <v>2390.46</v>
      </c>
      <c r="E1304" s="2">
        <v>4180873973337</v>
      </c>
      <c r="F1304" s="2">
        <v>0</v>
      </c>
      <c r="G1304">
        <v>1501.42</v>
      </c>
      <c r="H1304">
        <v>1502.34</v>
      </c>
      <c r="I1304">
        <v>1485.94</v>
      </c>
      <c r="J1304">
        <v>4358156204</v>
      </c>
      <c r="K1304">
        <v>0</v>
      </c>
      <c r="L1304" s="2">
        <f>VLOOKUP(A1304,[1]aaabonddata!$A:$B,2,0)</f>
        <v>2.83</v>
      </c>
    </row>
    <row r="1305" spans="1:12" x14ac:dyDescent="0.2">
      <c r="A1305" s="3">
        <v>40661</v>
      </c>
      <c r="B1305" s="2">
        <v>2409.9</v>
      </c>
      <c r="C1305" s="2">
        <v>2411.98</v>
      </c>
      <c r="D1305" s="2">
        <v>2398.9299999999998</v>
      </c>
      <c r="E1305" s="2">
        <v>4174491120431</v>
      </c>
      <c r="F1305" s="2">
        <v>352518985</v>
      </c>
      <c r="G1305">
        <v>1498.21</v>
      </c>
      <c r="H1305">
        <v>1501.67</v>
      </c>
      <c r="I1305">
        <v>1490.1</v>
      </c>
      <c r="J1305">
        <v>4348836966</v>
      </c>
      <c r="K1305">
        <v>1364670</v>
      </c>
      <c r="L1305" s="2">
        <f>VLOOKUP(A1305,[1]aaabonddata!$A:$B,2,0)</f>
        <v>2.78</v>
      </c>
    </row>
    <row r="1306" spans="1:12" x14ac:dyDescent="0.2">
      <c r="A1306" s="3">
        <v>40662</v>
      </c>
      <c r="B1306" s="2">
        <v>2404.08</v>
      </c>
      <c r="C1306" s="2">
        <v>2415.56</v>
      </c>
      <c r="D1306" s="2">
        <v>2403.25</v>
      </c>
      <c r="E1306" s="2">
        <v>4164414563005</v>
      </c>
      <c r="F1306" s="2">
        <v>126904666</v>
      </c>
      <c r="G1306">
        <v>1494.88</v>
      </c>
      <c r="H1306">
        <v>1498.55</v>
      </c>
      <c r="I1306">
        <v>1490.08</v>
      </c>
      <c r="J1306">
        <v>4339179375</v>
      </c>
      <c r="K1306">
        <v>0</v>
      </c>
      <c r="L1306" s="2">
        <f>VLOOKUP(A1306,[1]aaabonddata!$A:$B,2,0)</f>
        <v>2.74</v>
      </c>
    </row>
    <row r="1307" spans="1:12" x14ac:dyDescent="0.2">
      <c r="A1307" s="3">
        <v>40665</v>
      </c>
      <c r="B1307" s="2">
        <v>2404.2399999999998</v>
      </c>
      <c r="C1307" s="2">
        <v>2417.83</v>
      </c>
      <c r="D1307" s="2">
        <v>2397.48</v>
      </c>
      <c r="E1307" s="2">
        <v>2654453032771</v>
      </c>
      <c r="F1307" s="2">
        <v>0</v>
      </c>
      <c r="G1307">
        <v>1487.58</v>
      </c>
      <c r="H1307">
        <v>1501.64</v>
      </c>
      <c r="I1307">
        <v>1485.19</v>
      </c>
      <c r="J1307">
        <v>4317982000</v>
      </c>
      <c r="K1307">
        <v>0</v>
      </c>
      <c r="L1307" s="2">
        <f>VLOOKUP(A1307,[1]aaabonddata!$A:$B,2,0)</f>
        <v>2.76</v>
      </c>
    </row>
    <row r="1308" spans="1:12" x14ac:dyDescent="0.2">
      <c r="A1308" s="3">
        <v>40666</v>
      </c>
      <c r="B1308" s="2">
        <v>2392.8000000000002</v>
      </c>
      <c r="C1308" s="2">
        <v>2404.12</v>
      </c>
      <c r="D1308" s="2">
        <v>2377.33</v>
      </c>
      <c r="E1308" s="2">
        <v>2641824033915</v>
      </c>
      <c r="F1308" s="2">
        <v>0</v>
      </c>
      <c r="G1308">
        <v>1472.21</v>
      </c>
      <c r="H1308">
        <v>1485.83</v>
      </c>
      <c r="I1308">
        <v>1460.2</v>
      </c>
      <c r="J1308">
        <v>4273352693</v>
      </c>
      <c r="K1308">
        <v>0</v>
      </c>
      <c r="L1308" s="2">
        <f>VLOOKUP(A1308,[1]aaabonddata!$A:$B,2,0)</f>
        <v>2.74</v>
      </c>
    </row>
    <row r="1309" spans="1:12" x14ac:dyDescent="0.2">
      <c r="A1309" s="3">
        <v>40667</v>
      </c>
      <c r="B1309" s="2">
        <v>2387.5100000000002</v>
      </c>
      <c r="C1309" s="2">
        <v>2398.46</v>
      </c>
      <c r="D1309" s="2">
        <v>2367.6799999999998</v>
      </c>
      <c r="E1309" s="2">
        <v>2635985972694</v>
      </c>
      <c r="F1309" s="2">
        <v>994425600</v>
      </c>
      <c r="G1309">
        <v>1468.87</v>
      </c>
      <c r="H1309">
        <v>1479.89</v>
      </c>
      <c r="I1309">
        <v>1451.58</v>
      </c>
      <c r="J1309">
        <v>4263658730</v>
      </c>
      <c r="K1309">
        <v>909182</v>
      </c>
      <c r="L1309" s="2">
        <f>VLOOKUP(A1309,[1]aaabonddata!$A:$B,2,0)</f>
        <v>2.72</v>
      </c>
    </row>
    <row r="1310" spans="1:12" x14ac:dyDescent="0.2">
      <c r="A1310" s="3">
        <v>40668</v>
      </c>
      <c r="B1310" s="2">
        <v>2375.21</v>
      </c>
      <c r="C1310" s="2">
        <v>2402.0500000000002</v>
      </c>
      <c r="D1310" s="2">
        <v>2366.73</v>
      </c>
      <c r="E1310" s="2">
        <v>2621931235990</v>
      </c>
      <c r="F1310" s="2">
        <v>0</v>
      </c>
      <c r="G1310">
        <v>1469.78</v>
      </c>
      <c r="H1310">
        <v>1488.05</v>
      </c>
      <c r="I1310">
        <v>1461.14</v>
      </c>
      <c r="J1310">
        <v>4266303400</v>
      </c>
      <c r="K1310">
        <v>0</v>
      </c>
      <c r="L1310" s="2">
        <f>VLOOKUP(A1310,[1]aaabonddata!$A:$B,2,0)</f>
        <v>2.69</v>
      </c>
    </row>
    <row r="1311" spans="1:12" x14ac:dyDescent="0.2">
      <c r="A1311" s="3">
        <v>40669</v>
      </c>
      <c r="B1311" s="2">
        <v>2383.1799999999998</v>
      </c>
      <c r="C1311" s="2">
        <v>2411.63</v>
      </c>
      <c r="D1311" s="2">
        <v>2376.15</v>
      </c>
      <c r="E1311" s="2">
        <v>2630721814161</v>
      </c>
      <c r="F1311" s="2">
        <v>19197675</v>
      </c>
      <c r="G1311">
        <v>1481.28</v>
      </c>
      <c r="H1311">
        <v>1500.52</v>
      </c>
      <c r="I1311">
        <v>1475.37</v>
      </c>
      <c r="J1311">
        <v>4299702559</v>
      </c>
      <c r="K1311">
        <v>150753</v>
      </c>
      <c r="L1311" s="2">
        <f>VLOOKUP(A1311,[1]aaabonddata!$A:$B,2,0)</f>
        <v>2.67</v>
      </c>
    </row>
    <row r="1312" spans="1:12" x14ac:dyDescent="0.2">
      <c r="A1312" s="3">
        <v>40672</v>
      </c>
      <c r="B1312" s="2">
        <v>2390.9699999999998</v>
      </c>
      <c r="C1312" s="2">
        <v>2399.6799999999998</v>
      </c>
      <c r="D1312" s="2">
        <v>2376.96</v>
      </c>
      <c r="E1312" s="2">
        <v>2639325958318</v>
      </c>
      <c r="F1312" s="2">
        <v>96980000</v>
      </c>
      <c r="G1312">
        <v>1482.08</v>
      </c>
      <c r="H1312">
        <v>1488.4</v>
      </c>
      <c r="I1312">
        <v>1471.36</v>
      </c>
      <c r="J1312">
        <v>4302018011</v>
      </c>
      <c r="K1312">
        <v>0</v>
      </c>
      <c r="L1312" s="2">
        <f>VLOOKUP(A1312,[1]aaabonddata!$A:$B,2,0)</f>
        <v>2.65</v>
      </c>
    </row>
    <row r="1313" spans="1:12" x14ac:dyDescent="0.2">
      <c r="A1313" s="3">
        <v>40673</v>
      </c>
      <c r="B1313" s="2">
        <v>2411.35</v>
      </c>
      <c r="C1313" s="2">
        <v>2414.58</v>
      </c>
      <c r="D1313" s="2">
        <v>2394.84</v>
      </c>
      <c r="E1313" s="2">
        <v>2661823778128</v>
      </c>
      <c r="F1313" s="2">
        <v>0</v>
      </c>
      <c r="G1313">
        <v>1496.99</v>
      </c>
      <c r="H1313">
        <v>1499.78</v>
      </c>
      <c r="I1313">
        <v>1483.02</v>
      </c>
      <c r="J1313">
        <v>4345284076</v>
      </c>
      <c r="K1313">
        <v>0</v>
      </c>
      <c r="L1313" s="2">
        <f>VLOOKUP(A1313,[1]aaabonddata!$A:$B,2,0)</f>
        <v>2.7</v>
      </c>
    </row>
    <row r="1314" spans="1:12" x14ac:dyDescent="0.2">
      <c r="A1314" s="3">
        <v>40674</v>
      </c>
      <c r="B1314" s="2">
        <v>2393.08</v>
      </c>
      <c r="C1314" s="2">
        <v>2415.9</v>
      </c>
      <c r="D1314" s="2">
        <v>2377.4299999999998</v>
      </c>
      <c r="E1314" s="2">
        <v>2641657616224</v>
      </c>
      <c r="F1314" s="2">
        <v>104765938</v>
      </c>
      <c r="G1314">
        <v>1481.8</v>
      </c>
      <c r="H1314">
        <v>1503.42</v>
      </c>
      <c r="I1314">
        <v>1470.93</v>
      </c>
      <c r="J1314">
        <v>4301189805</v>
      </c>
      <c r="K1314">
        <v>0</v>
      </c>
      <c r="L1314" s="2">
        <f>VLOOKUP(A1314,[1]aaabonddata!$A:$B,2,0)</f>
        <v>2.67</v>
      </c>
    </row>
    <row r="1315" spans="1:12" x14ac:dyDescent="0.2">
      <c r="A1315" s="3">
        <v>40675</v>
      </c>
      <c r="B1315" s="2">
        <v>2407.89</v>
      </c>
      <c r="C1315" s="2">
        <v>2410.4499999999998</v>
      </c>
      <c r="D1315" s="2">
        <v>2372.19</v>
      </c>
      <c r="E1315" s="2">
        <v>2658003074736</v>
      </c>
      <c r="F1315" s="2">
        <v>41805299</v>
      </c>
      <c r="G1315">
        <v>1497.09</v>
      </c>
      <c r="H1315">
        <v>1499.97</v>
      </c>
      <c r="I1315">
        <v>1471.05</v>
      </c>
      <c r="J1315">
        <v>4345597577</v>
      </c>
      <c r="K1315">
        <v>558285</v>
      </c>
      <c r="L1315" s="2">
        <f>VLOOKUP(A1315,[1]aaabonddata!$A:$B,2,0)</f>
        <v>2.69</v>
      </c>
    </row>
    <row r="1316" spans="1:12" x14ac:dyDescent="0.2">
      <c r="A1316" s="3">
        <v>40676</v>
      </c>
      <c r="B1316" s="2">
        <v>2379.2399999999998</v>
      </c>
      <c r="C1316" s="2">
        <v>2406.0100000000002</v>
      </c>
      <c r="D1316" s="2">
        <v>2378.7600000000002</v>
      </c>
      <c r="E1316" s="2">
        <v>2626374987727</v>
      </c>
      <c r="F1316" s="2">
        <v>0</v>
      </c>
      <c r="G1316">
        <v>1472.3</v>
      </c>
      <c r="H1316">
        <v>1489.8</v>
      </c>
      <c r="I1316">
        <v>1471.84</v>
      </c>
      <c r="J1316">
        <v>4273639880</v>
      </c>
      <c r="K1316">
        <v>0</v>
      </c>
      <c r="L1316" s="2">
        <f>VLOOKUP(A1316,[1]aaabonddata!$A:$B,2,0)</f>
        <v>2.66</v>
      </c>
    </row>
    <row r="1317" spans="1:12" x14ac:dyDescent="0.2">
      <c r="A1317" s="3">
        <v>40679</v>
      </c>
      <c r="B1317" s="2">
        <v>2337.85</v>
      </c>
      <c r="C1317" s="2">
        <v>2375.36</v>
      </c>
      <c r="D1317" s="2">
        <v>2332.84</v>
      </c>
      <c r="E1317" s="2">
        <v>2580684593899</v>
      </c>
      <c r="F1317" s="2">
        <v>49601457</v>
      </c>
      <c r="G1317">
        <v>1446.99</v>
      </c>
      <c r="H1317">
        <v>1476.32</v>
      </c>
      <c r="I1317">
        <v>1444.29</v>
      </c>
      <c r="J1317">
        <v>4200168844</v>
      </c>
      <c r="K1317">
        <v>598048</v>
      </c>
      <c r="L1317" s="2">
        <f>VLOOKUP(A1317,[1]aaabonddata!$A:$B,2,0)</f>
        <v>2.63</v>
      </c>
    </row>
    <row r="1318" spans="1:12" x14ac:dyDescent="0.2">
      <c r="A1318" s="3">
        <v>40680</v>
      </c>
      <c r="B1318" s="2">
        <v>2343.5100000000002</v>
      </c>
      <c r="C1318" s="2">
        <v>2343.73</v>
      </c>
      <c r="D1318" s="2">
        <v>2320.33</v>
      </c>
      <c r="E1318" s="2">
        <v>2586934393756</v>
      </c>
      <c r="F1318" s="2">
        <v>1453339493</v>
      </c>
      <c r="G1318">
        <v>1440.47</v>
      </c>
      <c r="H1318">
        <v>1444.13</v>
      </c>
      <c r="I1318">
        <v>1426.46</v>
      </c>
      <c r="J1318">
        <v>4181234122</v>
      </c>
      <c r="K1318">
        <v>1614348</v>
      </c>
      <c r="L1318" s="2">
        <f>VLOOKUP(A1318,[1]aaabonddata!$A:$B,2,0)</f>
        <v>2.61</v>
      </c>
    </row>
    <row r="1319" spans="1:12" x14ac:dyDescent="0.2">
      <c r="A1319" s="3">
        <v>40681</v>
      </c>
      <c r="B1319" s="2">
        <v>2362.9499999999998</v>
      </c>
      <c r="C1319" s="2">
        <v>2366.4</v>
      </c>
      <c r="D1319" s="2">
        <v>2337.48</v>
      </c>
      <c r="E1319" s="2">
        <v>2608389162964</v>
      </c>
      <c r="F1319" s="2">
        <v>107587622</v>
      </c>
      <c r="G1319">
        <v>1461.5</v>
      </c>
      <c r="H1319">
        <v>1465.05</v>
      </c>
      <c r="I1319">
        <v>1442.87</v>
      </c>
      <c r="J1319">
        <v>4242285365</v>
      </c>
      <c r="K1319">
        <v>966242</v>
      </c>
      <c r="L1319" s="2">
        <f>VLOOKUP(A1319,[1]aaabonddata!$A:$B,2,0)</f>
        <v>2.66</v>
      </c>
    </row>
    <row r="1320" spans="1:12" x14ac:dyDescent="0.2">
      <c r="A1320" s="3">
        <v>40682</v>
      </c>
      <c r="B1320" s="2">
        <v>2369.67</v>
      </c>
      <c r="C1320" s="2">
        <v>2374.2199999999998</v>
      </c>
      <c r="D1320" s="2">
        <v>2355.4</v>
      </c>
      <c r="E1320" s="2">
        <v>2615810987302</v>
      </c>
      <c r="F1320" s="2">
        <v>188443714</v>
      </c>
      <c r="G1320">
        <v>1461.5</v>
      </c>
      <c r="H1320">
        <v>1464.03</v>
      </c>
      <c r="I1320">
        <v>1448.2</v>
      </c>
      <c r="J1320">
        <v>4242266105</v>
      </c>
      <c r="K1320">
        <v>218627</v>
      </c>
      <c r="L1320" s="2">
        <f>VLOOKUP(A1320,[1]aaabonddata!$A:$B,2,0)</f>
        <v>2.65</v>
      </c>
    </row>
    <row r="1321" spans="1:12" x14ac:dyDescent="0.2">
      <c r="A1321" s="3">
        <v>40683</v>
      </c>
      <c r="B1321" s="2">
        <v>2351.4299999999998</v>
      </c>
      <c r="C1321" s="2">
        <v>2368.9899999999998</v>
      </c>
      <c r="D1321" s="2">
        <v>2348.73</v>
      </c>
      <c r="E1321" s="2">
        <v>2595674227806</v>
      </c>
      <c r="F1321" s="2">
        <v>62259975</v>
      </c>
      <c r="G1321">
        <v>1456.1</v>
      </c>
      <c r="H1321">
        <v>1466.1</v>
      </c>
      <c r="I1321">
        <v>1450.34</v>
      </c>
      <c r="J1321">
        <v>4226603102</v>
      </c>
      <c r="K1321">
        <v>868127</v>
      </c>
      <c r="L1321" s="2">
        <f>VLOOKUP(A1321,[1]aaabonddata!$A:$B,2,0)</f>
        <v>2.64</v>
      </c>
    </row>
    <row r="1322" spans="1:12" x14ac:dyDescent="0.2">
      <c r="A1322" s="3">
        <v>40686</v>
      </c>
      <c r="B1322" s="2">
        <v>2316.7800000000002</v>
      </c>
      <c r="C1322" s="2">
        <v>2325.86</v>
      </c>
      <c r="D1322" s="2">
        <v>2306.4299999999998</v>
      </c>
      <c r="E1322" s="2">
        <v>2557427424781</v>
      </c>
      <c r="F1322" s="2">
        <v>80196800</v>
      </c>
      <c r="G1322">
        <v>1429.69</v>
      </c>
      <c r="H1322">
        <v>1436.29</v>
      </c>
      <c r="I1322">
        <v>1425.82</v>
      </c>
      <c r="J1322">
        <v>4149956150</v>
      </c>
      <c r="K1322">
        <v>0</v>
      </c>
      <c r="L1322" s="2">
        <f>VLOOKUP(A1322,[1]aaabonddata!$A:$B,2,0)</f>
        <v>2.62</v>
      </c>
    </row>
    <row r="1323" spans="1:12" x14ac:dyDescent="0.2">
      <c r="A1323" s="3">
        <v>40687</v>
      </c>
      <c r="B1323" s="2">
        <v>2303.5500000000002</v>
      </c>
      <c r="C1323" s="2">
        <v>2322.63</v>
      </c>
      <c r="D1323" s="2">
        <v>2302.36</v>
      </c>
      <c r="E1323" s="2">
        <v>2542824444893</v>
      </c>
      <c r="F1323" s="2">
        <v>0</v>
      </c>
      <c r="G1323">
        <v>1420.01</v>
      </c>
      <c r="H1323">
        <v>1435.75</v>
      </c>
      <c r="I1323">
        <v>1419.1</v>
      </c>
      <c r="J1323">
        <v>4121851849</v>
      </c>
      <c r="K1323">
        <v>0</v>
      </c>
      <c r="L1323" s="2">
        <f>VLOOKUP(A1323,[1]aaabonddata!$A:$B,2,0)</f>
        <v>2.63</v>
      </c>
    </row>
    <row r="1324" spans="1:12" x14ac:dyDescent="0.2">
      <c r="A1324" s="3">
        <v>40688</v>
      </c>
      <c r="B1324" s="2">
        <v>2310.9499999999998</v>
      </c>
      <c r="C1324" s="2">
        <v>2321.5100000000002</v>
      </c>
      <c r="D1324" s="2">
        <v>2298.7199999999998</v>
      </c>
      <c r="E1324" s="2">
        <v>2550997288699</v>
      </c>
      <c r="F1324" s="2">
        <v>417507127</v>
      </c>
      <c r="G1324">
        <v>1425.76</v>
      </c>
      <c r="H1324">
        <v>1431.6</v>
      </c>
      <c r="I1324">
        <v>1414.07</v>
      </c>
      <c r="J1324">
        <v>4138527410</v>
      </c>
      <c r="K1324">
        <v>1105168</v>
      </c>
      <c r="L1324" s="2">
        <f>VLOOKUP(A1324,[1]aaabonddata!$A:$B,2,0)</f>
        <v>2.63</v>
      </c>
    </row>
    <row r="1325" spans="1:12" x14ac:dyDescent="0.2">
      <c r="A1325" s="3">
        <v>40689</v>
      </c>
      <c r="B1325" s="2">
        <v>2325.9299999999998</v>
      </c>
      <c r="C1325" s="2">
        <v>2332.02</v>
      </c>
      <c r="D1325" s="2">
        <v>2306.11</v>
      </c>
      <c r="E1325" s="2">
        <v>2567524415613</v>
      </c>
      <c r="F1325" s="2">
        <v>0</v>
      </c>
      <c r="G1325">
        <v>1441.89</v>
      </c>
      <c r="H1325">
        <v>1445.53</v>
      </c>
      <c r="I1325">
        <v>1423.12</v>
      </c>
      <c r="J1325">
        <v>4185370939</v>
      </c>
      <c r="K1325">
        <v>0</v>
      </c>
      <c r="L1325" s="2">
        <f>VLOOKUP(A1325,[1]aaabonddata!$A:$B,2,0)</f>
        <v>2.57</v>
      </c>
    </row>
    <row r="1326" spans="1:12" x14ac:dyDescent="0.2">
      <c r="A1326" s="3">
        <v>40690</v>
      </c>
      <c r="B1326" s="2">
        <v>2336.09</v>
      </c>
      <c r="C1326" s="2">
        <v>2339.1</v>
      </c>
      <c r="D1326" s="2">
        <v>2327.3200000000002</v>
      </c>
      <c r="E1326" s="2">
        <v>2579010752233</v>
      </c>
      <c r="F1326" s="2">
        <v>180550481</v>
      </c>
      <c r="G1326">
        <v>1453.38</v>
      </c>
      <c r="H1326">
        <v>1456.36</v>
      </c>
      <c r="I1326">
        <v>1447.4</v>
      </c>
      <c r="J1326">
        <v>4218702027</v>
      </c>
      <c r="K1326">
        <v>539083</v>
      </c>
      <c r="L1326" s="2">
        <f>VLOOKUP(A1326,[1]aaabonddata!$A:$B,2,0)</f>
        <v>2.57</v>
      </c>
    </row>
    <row r="1327" spans="1:12" x14ac:dyDescent="0.2">
      <c r="A1327" s="3">
        <v>40694</v>
      </c>
      <c r="B1327" s="2">
        <v>2372.54</v>
      </c>
      <c r="C1327" s="2">
        <v>2372.54</v>
      </c>
      <c r="D1327" s="2">
        <v>2347.23</v>
      </c>
      <c r="E1327" s="2">
        <v>2619250063240</v>
      </c>
      <c r="F1327" s="2">
        <v>0</v>
      </c>
      <c r="G1327">
        <v>1472.53</v>
      </c>
      <c r="H1327">
        <v>1472.55</v>
      </c>
      <c r="I1327">
        <v>1457.42</v>
      </c>
      <c r="J1327">
        <v>4274291521</v>
      </c>
      <c r="K1327">
        <v>0</v>
      </c>
      <c r="L1327" s="2">
        <f>VLOOKUP(A1327,[1]aaabonddata!$A:$B,2,0)</f>
        <v>2.56</v>
      </c>
    </row>
    <row r="1328" spans="1:12" x14ac:dyDescent="0.2">
      <c r="A1328" s="3">
        <v>40695</v>
      </c>
      <c r="B1328" s="2">
        <v>2322.48</v>
      </c>
      <c r="C1328" s="2">
        <v>2373.8200000000002</v>
      </c>
      <c r="D1328" s="2">
        <v>2321</v>
      </c>
      <c r="E1328" s="2">
        <v>2563975944951</v>
      </c>
      <c r="F1328" s="2">
        <v>868701531</v>
      </c>
      <c r="G1328">
        <v>1433.28</v>
      </c>
      <c r="H1328">
        <v>1473.35</v>
      </c>
      <c r="I1328">
        <v>1433.08</v>
      </c>
      <c r="J1328">
        <v>4160367885</v>
      </c>
      <c r="K1328">
        <v>0</v>
      </c>
      <c r="L1328" s="2">
        <f>VLOOKUP(A1328,[1]aaabonddata!$A:$B,2,0)</f>
        <v>2.5099999999999998</v>
      </c>
    </row>
    <row r="1329" spans="1:12" x14ac:dyDescent="0.2">
      <c r="A1329" s="3">
        <v>40696</v>
      </c>
      <c r="B1329" s="2">
        <v>2326.6999999999998</v>
      </c>
      <c r="C1329" s="2">
        <v>2335.66</v>
      </c>
      <c r="D1329" s="2">
        <v>2314.69</v>
      </c>
      <c r="E1329" s="2">
        <v>2568636565890</v>
      </c>
      <c r="F1329" s="2">
        <v>18303413</v>
      </c>
      <c r="G1329">
        <v>1438.21</v>
      </c>
      <c r="H1329">
        <v>1445.88</v>
      </c>
      <c r="I1329">
        <v>1429.67</v>
      </c>
      <c r="J1329">
        <v>4174661126</v>
      </c>
      <c r="K1329">
        <v>0</v>
      </c>
      <c r="L1329" s="2">
        <f>VLOOKUP(A1329,[1]aaabonddata!$A:$B,2,0)</f>
        <v>2.56</v>
      </c>
    </row>
    <row r="1330" spans="1:12" x14ac:dyDescent="0.2">
      <c r="A1330" s="3">
        <v>40697</v>
      </c>
      <c r="B1330" s="2">
        <v>2292.31</v>
      </c>
      <c r="C1330" s="2">
        <v>2317.9299999999998</v>
      </c>
      <c r="D1330" s="2">
        <v>2289.41</v>
      </c>
      <c r="E1330" s="2">
        <v>2530670136183</v>
      </c>
      <c r="F1330" s="2">
        <v>26198598</v>
      </c>
      <c r="G1330">
        <v>1409.64</v>
      </c>
      <c r="H1330">
        <v>1431.49</v>
      </c>
      <c r="I1330">
        <v>1408.04</v>
      </c>
      <c r="J1330">
        <v>4091756530</v>
      </c>
      <c r="K1330">
        <v>0</v>
      </c>
      <c r="L1330" s="2">
        <f>VLOOKUP(A1330,[1]aaabonddata!$A:$B,2,0)</f>
        <v>2.5299999999999998</v>
      </c>
    </row>
    <row r="1331" spans="1:12" x14ac:dyDescent="0.2">
      <c r="A1331" s="3">
        <v>40700</v>
      </c>
      <c r="B1331" s="2">
        <v>2274.48</v>
      </c>
      <c r="C1331" s="2">
        <v>2299.4</v>
      </c>
      <c r="D1331" s="2">
        <v>2273.2399999999998</v>
      </c>
      <c r="E1331" s="2">
        <v>2510991420080</v>
      </c>
      <c r="F1331" s="2">
        <v>0</v>
      </c>
      <c r="G1331">
        <v>1396.78</v>
      </c>
      <c r="H1331">
        <v>1411.8</v>
      </c>
      <c r="I1331">
        <v>1395.68</v>
      </c>
      <c r="J1331">
        <v>4054414832</v>
      </c>
      <c r="K1331">
        <v>0</v>
      </c>
      <c r="L1331" s="2">
        <f>VLOOKUP(A1331,[1]aaabonddata!$A:$B,2,0)</f>
        <v>2.5299999999999998</v>
      </c>
    </row>
    <row r="1332" spans="1:12" x14ac:dyDescent="0.2">
      <c r="A1332" s="3">
        <v>40701</v>
      </c>
      <c r="B1332" s="2">
        <v>2268.96</v>
      </c>
      <c r="C1332" s="2">
        <v>2288.7600000000002</v>
      </c>
      <c r="D1332" s="2">
        <v>2268.06</v>
      </c>
      <c r="E1332" s="2">
        <v>2504899496366</v>
      </c>
      <c r="F1332" s="2">
        <v>0</v>
      </c>
      <c r="G1332">
        <v>1397.56</v>
      </c>
      <c r="H1332">
        <v>1409.63</v>
      </c>
      <c r="I1332">
        <v>1395.8</v>
      </c>
      <c r="J1332">
        <v>4056690749</v>
      </c>
      <c r="K1332">
        <v>0</v>
      </c>
      <c r="L1332" s="2">
        <f>VLOOKUP(A1332,[1]aaabonddata!$A:$B,2,0)</f>
        <v>2.52</v>
      </c>
    </row>
    <row r="1333" spans="1:12" x14ac:dyDescent="0.2">
      <c r="A1333" s="3">
        <v>40702</v>
      </c>
      <c r="B1333" s="2">
        <v>2252.89</v>
      </c>
      <c r="C1333" s="2">
        <v>2268</v>
      </c>
      <c r="D1333" s="2">
        <v>2246.62</v>
      </c>
      <c r="E1333" s="2">
        <v>2487149925475</v>
      </c>
      <c r="F1333" s="2">
        <v>178710000</v>
      </c>
      <c r="G1333">
        <v>1376.63</v>
      </c>
      <c r="H1333">
        <v>1393.06</v>
      </c>
      <c r="I1333">
        <v>1372.51</v>
      </c>
      <c r="J1333">
        <v>3995918825</v>
      </c>
      <c r="K1333">
        <v>0</v>
      </c>
      <c r="L1333" s="2">
        <f>VLOOKUP(A1333,[1]aaabonddata!$A:$B,2,0)</f>
        <v>2.4700000000000002</v>
      </c>
    </row>
    <row r="1334" spans="1:12" x14ac:dyDescent="0.2">
      <c r="A1334" s="3">
        <v>40703</v>
      </c>
      <c r="B1334" s="2">
        <v>2256.65</v>
      </c>
      <c r="C1334" s="2">
        <v>2267.7600000000002</v>
      </c>
      <c r="D1334" s="2">
        <v>2246.4899999999998</v>
      </c>
      <c r="E1334" s="2">
        <v>2491310876363</v>
      </c>
      <c r="F1334" s="2">
        <v>12880402</v>
      </c>
      <c r="G1334">
        <v>1377.58</v>
      </c>
      <c r="H1334">
        <v>1384.28</v>
      </c>
      <c r="I1334">
        <v>1370.15</v>
      </c>
      <c r="J1334">
        <v>3998683483</v>
      </c>
      <c r="K1334">
        <v>0</v>
      </c>
      <c r="L1334" s="2">
        <f>VLOOKUP(A1334,[1]aaabonddata!$A:$B,2,0)</f>
        <v>2.52</v>
      </c>
    </row>
    <row r="1335" spans="1:12" x14ac:dyDescent="0.2">
      <c r="A1335" s="3">
        <v>40704</v>
      </c>
      <c r="B1335" s="2">
        <v>2221.09</v>
      </c>
      <c r="C1335" s="2">
        <v>2250.89</v>
      </c>
      <c r="D1335" s="2">
        <v>2220.83</v>
      </c>
      <c r="E1335" s="2">
        <v>2452049493323</v>
      </c>
      <c r="F1335" s="2">
        <v>0</v>
      </c>
      <c r="G1335">
        <v>1357.24</v>
      </c>
      <c r="H1335">
        <v>1375.02</v>
      </c>
      <c r="I1335">
        <v>1353.93</v>
      </c>
      <c r="J1335">
        <v>3939637203</v>
      </c>
      <c r="K1335">
        <v>0</v>
      </c>
      <c r="L1335" s="2">
        <f>VLOOKUP(A1335,[1]aaabonddata!$A:$B,2,0)</f>
        <v>2.4900000000000002</v>
      </c>
    </row>
    <row r="1336" spans="1:12" x14ac:dyDescent="0.2">
      <c r="A1336" s="3">
        <v>40707</v>
      </c>
      <c r="B1336" s="2">
        <v>2222.2800000000002</v>
      </c>
      <c r="C1336" s="2">
        <v>2234.2199999999998</v>
      </c>
      <c r="D1336" s="2">
        <v>2214.37</v>
      </c>
      <c r="E1336" s="2">
        <v>2453359874877</v>
      </c>
      <c r="F1336" s="2">
        <v>166461934</v>
      </c>
      <c r="G1336">
        <v>1350.54</v>
      </c>
      <c r="H1336">
        <v>1364.15</v>
      </c>
      <c r="I1336">
        <v>1345.69</v>
      </c>
      <c r="J1336">
        <v>3920182228</v>
      </c>
      <c r="K1336">
        <v>0</v>
      </c>
      <c r="L1336" s="2">
        <f>VLOOKUP(A1336,[1]aaabonddata!$A:$B,2,0)</f>
        <v>2.52</v>
      </c>
    </row>
    <row r="1337" spans="1:12" x14ac:dyDescent="0.2">
      <c r="A1337" s="3">
        <v>40708</v>
      </c>
      <c r="B1337" s="2">
        <v>2250.34</v>
      </c>
      <c r="C1337" s="2">
        <v>2256.46</v>
      </c>
      <c r="D1337" s="2">
        <v>2240.39</v>
      </c>
      <c r="E1337" s="2">
        <v>2484345218123</v>
      </c>
      <c r="F1337" s="2">
        <v>0</v>
      </c>
      <c r="G1337">
        <v>1370.18</v>
      </c>
      <c r="H1337">
        <v>1374.68</v>
      </c>
      <c r="I1337">
        <v>1363.16</v>
      </c>
      <c r="J1337">
        <v>3977213551</v>
      </c>
      <c r="K1337">
        <v>0</v>
      </c>
      <c r="L1337" s="2">
        <f>VLOOKUP(A1337,[1]aaabonddata!$A:$B,2,0)</f>
        <v>2.59</v>
      </c>
    </row>
    <row r="1338" spans="1:12" x14ac:dyDescent="0.2">
      <c r="A1338" s="3">
        <v>40709</v>
      </c>
      <c r="B1338" s="2">
        <v>2209.0100000000002</v>
      </c>
      <c r="C1338" s="2">
        <v>2243.2199999999998</v>
      </c>
      <c r="D1338" s="2">
        <v>2204.15</v>
      </c>
      <c r="E1338" s="2">
        <v>2438712851236</v>
      </c>
      <c r="F1338" s="2">
        <v>0</v>
      </c>
      <c r="G1338">
        <v>1340.34</v>
      </c>
      <c r="H1338">
        <v>1366.62</v>
      </c>
      <c r="I1338">
        <v>1338.41</v>
      </c>
      <c r="J1338">
        <v>3890588885</v>
      </c>
      <c r="K1338">
        <v>0</v>
      </c>
      <c r="L1338" s="2">
        <f>VLOOKUP(A1338,[1]aaabonddata!$A:$B,2,0)</f>
        <v>2.4900000000000002</v>
      </c>
    </row>
    <row r="1339" spans="1:12" x14ac:dyDescent="0.2">
      <c r="A1339" s="3">
        <v>40710</v>
      </c>
      <c r="B1339" s="2">
        <v>2199.9299999999998</v>
      </c>
      <c r="C1339" s="2">
        <v>2216.7399999999998</v>
      </c>
      <c r="D1339" s="2">
        <v>2180.94</v>
      </c>
      <c r="E1339" s="2">
        <v>2428691909702</v>
      </c>
      <c r="F1339" s="2">
        <v>0</v>
      </c>
      <c r="G1339">
        <v>1327.26</v>
      </c>
      <c r="H1339">
        <v>1345.04</v>
      </c>
      <c r="I1339">
        <v>1315.23</v>
      </c>
      <c r="J1339">
        <v>3852609485</v>
      </c>
      <c r="K1339">
        <v>0</v>
      </c>
      <c r="L1339" s="2">
        <f>VLOOKUP(A1339,[1]aaabonddata!$A:$B,2,0)</f>
        <v>2.4700000000000002</v>
      </c>
    </row>
    <row r="1340" spans="1:12" x14ac:dyDescent="0.2">
      <c r="A1340" s="3">
        <v>40711</v>
      </c>
      <c r="B1340" s="2">
        <v>2192.96</v>
      </c>
      <c r="C1340" s="2">
        <v>2222.5100000000002</v>
      </c>
      <c r="D1340" s="2">
        <v>2186.7800000000002</v>
      </c>
      <c r="E1340" s="2">
        <v>2420988493213</v>
      </c>
      <c r="F1340" s="2">
        <v>0</v>
      </c>
      <c r="G1340">
        <v>1314.03</v>
      </c>
      <c r="H1340">
        <v>1340.42</v>
      </c>
      <c r="I1340">
        <v>1311.74</v>
      </c>
      <c r="J1340">
        <v>3814224462</v>
      </c>
      <c r="K1340">
        <v>0</v>
      </c>
      <c r="L1340" s="2">
        <f>VLOOKUP(A1340,[1]aaabonddata!$A:$B,2,0)</f>
        <v>2.4900000000000002</v>
      </c>
    </row>
    <row r="1341" spans="1:12" x14ac:dyDescent="0.2">
      <c r="A1341" s="3">
        <v>40714</v>
      </c>
      <c r="B1341" s="2">
        <v>2204.36</v>
      </c>
      <c r="C1341" s="2">
        <v>2210.64</v>
      </c>
      <c r="D1341" s="2">
        <v>2186.77</v>
      </c>
      <c r="E1341" s="2">
        <v>2431362499258</v>
      </c>
      <c r="F1341" s="2">
        <v>0</v>
      </c>
      <c r="G1341">
        <v>1318.59</v>
      </c>
      <c r="H1341">
        <v>1323.71</v>
      </c>
      <c r="I1341">
        <v>1309.48</v>
      </c>
      <c r="J1341">
        <v>4114214141</v>
      </c>
      <c r="K1341">
        <v>0</v>
      </c>
      <c r="L1341" s="2">
        <f>VLOOKUP(A1341,[1]aaabonddata!$A:$B,2,0)</f>
        <v>2.4900000000000002</v>
      </c>
    </row>
    <row r="1342" spans="1:12" x14ac:dyDescent="0.2">
      <c r="A1342" s="3">
        <v>40715</v>
      </c>
      <c r="B1342" s="2">
        <v>2251.8200000000002</v>
      </c>
      <c r="C1342" s="2">
        <v>2253.27</v>
      </c>
      <c r="D1342" s="2">
        <v>2203.71</v>
      </c>
      <c r="E1342" s="2">
        <v>2483714124679</v>
      </c>
      <c r="F1342" s="2">
        <v>0</v>
      </c>
      <c r="G1342">
        <v>1354.35</v>
      </c>
      <c r="H1342">
        <v>1355.55</v>
      </c>
      <c r="I1342">
        <v>1318.77</v>
      </c>
      <c r="J1342">
        <v>4225797747</v>
      </c>
      <c r="K1342">
        <v>0</v>
      </c>
      <c r="L1342" s="2">
        <f>VLOOKUP(A1342,[1]aaabonddata!$A:$B,2,0)</f>
        <v>2.5099999999999998</v>
      </c>
    </row>
    <row r="1343" spans="1:12" x14ac:dyDescent="0.2">
      <c r="A1343" s="3">
        <v>40716</v>
      </c>
      <c r="B1343" s="2">
        <v>2235.75</v>
      </c>
      <c r="C1343" s="2">
        <v>2254.64</v>
      </c>
      <c r="D1343" s="2">
        <v>2234.83</v>
      </c>
      <c r="E1343" s="2">
        <v>2465985904637</v>
      </c>
      <c r="F1343" s="2">
        <v>88886682</v>
      </c>
      <c r="G1343">
        <v>1344.82</v>
      </c>
      <c r="H1343">
        <v>1359.05</v>
      </c>
      <c r="I1343">
        <v>1344.17</v>
      </c>
      <c r="J1343">
        <v>4196061286</v>
      </c>
      <c r="K1343">
        <v>0</v>
      </c>
      <c r="L1343" s="2">
        <f>VLOOKUP(A1343,[1]aaabonddata!$A:$B,2,0)</f>
        <v>2.5099999999999998</v>
      </c>
    </row>
    <row r="1344" spans="1:12" x14ac:dyDescent="0.2">
      <c r="A1344" s="3">
        <v>40717</v>
      </c>
      <c r="B1344" s="2">
        <v>2255.0500000000002</v>
      </c>
      <c r="C1344" s="2">
        <v>2256.6999999999998</v>
      </c>
      <c r="D1344" s="2">
        <v>2204.4699999999998</v>
      </c>
      <c r="E1344" s="2">
        <v>2487280690484</v>
      </c>
      <c r="F1344" s="2">
        <v>0</v>
      </c>
      <c r="G1344">
        <v>1364.13</v>
      </c>
      <c r="H1344">
        <v>1364.66</v>
      </c>
      <c r="I1344">
        <v>1325.34</v>
      </c>
      <c r="J1344">
        <v>4256318577</v>
      </c>
      <c r="K1344">
        <v>0</v>
      </c>
      <c r="L1344" s="2">
        <f>VLOOKUP(A1344,[1]aaabonddata!$A:$B,2,0)</f>
        <v>2.44</v>
      </c>
    </row>
    <row r="1345" spans="1:12" x14ac:dyDescent="0.2">
      <c r="A1345" s="3">
        <v>40718</v>
      </c>
      <c r="B1345" s="2">
        <v>2217.06</v>
      </c>
      <c r="C1345" s="2">
        <v>2246.96</v>
      </c>
      <c r="D1345" s="2">
        <v>2213.1</v>
      </c>
      <c r="E1345" s="2">
        <v>2445376274235</v>
      </c>
      <c r="F1345" s="2">
        <v>0</v>
      </c>
      <c r="G1345">
        <v>1333.73</v>
      </c>
      <c r="H1345">
        <v>1356.74</v>
      </c>
      <c r="I1345">
        <v>1331.94</v>
      </c>
      <c r="J1345">
        <v>4161446850</v>
      </c>
      <c r="K1345">
        <v>0</v>
      </c>
      <c r="L1345" s="2">
        <f>VLOOKUP(A1345,[1]aaabonddata!$A:$B,2,0)</f>
        <v>2.41</v>
      </c>
    </row>
    <row r="1346" spans="1:12" x14ac:dyDescent="0.2">
      <c r="A1346" s="3">
        <v>40721</v>
      </c>
      <c r="B1346" s="2">
        <v>2252.2399999999998</v>
      </c>
      <c r="C1346" s="2">
        <v>2263.21</v>
      </c>
      <c r="D1346" s="2">
        <v>2215.14</v>
      </c>
      <c r="E1346" s="2">
        <v>2484175992673</v>
      </c>
      <c r="F1346" s="2">
        <v>0</v>
      </c>
      <c r="G1346">
        <v>1349.49</v>
      </c>
      <c r="H1346">
        <v>1355.09</v>
      </c>
      <c r="I1346">
        <v>1329.14</v>
      </c>
      <c r="J1346">
        <v>4210633332</v>
      </c>
      <c r="K1346">
        <v>0</v>
      </c>
      <c r="L1346" s="2">
        <f>VLOOKUP(A1346,[1]aaabonddata!$A:$B,2,0)</f>
        <v>2.48</v>
      </c>
    </row>
    <row r="1347" spans="1:12" x14ac:dyDescent="0.2">
      <c r="A1347" s="3">
        <v>40722</v>
      </c>
      <c r="B1347" s="2">
        <v>2285.75</v>
      </c>
      <c r="C1347" s="2">
        <v>2286.92</v>
      </c>
      <c r="D1347" s="2">
        <v>2254.94</v>
      </c>
      <c r="E1347" s="2">
        <v>2521141299505</v>
      </c>
      <c r="F1347" s="2">
        <v>7038773</v>
      </c>
      <c r="G1347">
        <v>1362.6</v>
      </c>
      <c r="H1347">
        <v>1364.71</v>
      </c>
      <c r="I1347">
        <v>1349.71</v>
      </c>
      <c r="J1347">
        <v>4251556323</v>
      </c>
      <c r="K1347">
        <v>0</v>
      </c>
      <c r="L1347" s="2">
        <f>VLOOKUP(A1347,[1]aaabonddata!$A:$B,2,0)</f>
        <v>2.58</v>
      </c>
    </row>
    <row r="1348" spans="1:12" x14ac:dyDescent="0.2">
      <c r="A1348" s="3">
        <v>40723</v>
      </c>
      <c r="B1348" s="2">
        <v>2294.4299999999998</v>
      </c>
      <c r="C1348" s="2">
        <v>2299.3200000000002</v>
      </c>
      <c r="D1348" s="2">
        <v>2278.85</v>
      </c>
      <c r="E1348" s="2">
        <v>2530708458419</v>
      </c>
      <c r="F1348" s="2">
        <v>0</v>
      </c>
      <c r="G1348">
        <v>1370.21</v>
      </c>
      <c r="H1348">
        <v>1375.2</v>
      </c>
      <c r="I1348">
        <v>1358.83</v>
      </c>
      <c r="J1348">
        <v>4275278258</v>
      </c>
      <c r="K1348">
        <v>0</v>
      </c>
      <c r="L1348" s="2">
        <f>VLOOKUP(A1348,[1]aaabonddata!$A:$B,2,0)</f>
        <v>2.61</v>
      </c>
    </row>
    <row r="1349" spans="1:12" x14ac:dyDescent="0.2">
      <c r="A1349" s="3">
        <v>40724</v>
      </c>
      <c r="B1349" s="2">
        <v>2325.0700000000002</v>
      </c>
      <c r="C1349" s="2">
        <v>2327.36</v>
      </c>
      <c r="D1349" s="2">
        <v>2302.67</v>
      </c>
      <c r="E1349" s="2">
        <v>2564504393865</v>
      </c>
      <c r="F1349" s="2">
        <v>0</v>
      </c>
      <c r="G1349">
        <v>1393.83</v>
      </c>
      <c r="H1349">
        <v>1396.03</v>
      </c>
      <c r="I1349">
        <v>1375.13</v>
      </c>
      <c r="J1349">
        <v>4348986781</v>
      </c>
      <c r="K1349">
        <v>0</v>
      </c>
      <c r="L1349" s="2">
        <f>VLOOKUP(A1349,[1]aaabonddata!$A:$B,2,0)</f>
        <v>2.64</v>
      </c>
    </row>
    <row r="1350" spans="1:12" x14ac:dyDescent="0.2">
      <c r="A1350" s="3">
        <v>40725</v>
      </c>
      <c r="B1350" s="2">
        <v>2361.39</v>
      </c>
      <c r="C1350" s="2">
        <v>2363.36</v>
      </c>
      <c r="D1350" s="2">
        <v>2320.5700000000002</v>
      </c>
      <c r="E1350" s="2">
        <v>2604566128120</v>
      </c>
      <c r="F1350" s="2">
        <v>234491368</v>
      </c>
      <c r="G1350">
        <v>1416.99</v>
      </c>
      <c r="H1350">
        <v>1418.43</v>
      </c>
      <c r="I1350">
        <v>1390.34</v>
      </c>
      <c r="J1350">
        <v>4421243441</v>
      </c>
      <c r="K1350">
        <v>0</v>
      </c>
      <c r="L1350" s="2">
        <f>VLOOKUP(A1350,[1]aaabonddata!$A:$B,2,0)</f>
        <v>2.67</v>
      </c>
    </row>
    <row r="1351" spans="1:12" x14ac:dyDescent="0.2">
      <c r="A1351" s="3">
        <v>40729</v>
      </c>
      <c r="B1351" s="2">
        <v>2371.21</v>
      </c>
      <c r="C1351" s="2">
        <v>2374.41</v>
      </c>
      <c r="D1351" s="2">
        <v>2357.31</v>
      </c>
      <c r="E1351" s="2">
        <v>2615400124197</v>
      </c>
      <c r="F1351" s="2">
        <v>330011094</v>
      </c>
      <c r="G1351">
        <v>1415</v>
      </c>
      <c r="H1351">
        <v>1418.72</v>
      </c>
      <c r="I1351">
        <v>1408.66</v>
      </c>
      <c r="J1351">
        <v>4415024121</v>
      </c>
      <c r="K1351">
        <v>400801</v>
      </c>
      <c r="L1351" s="2">
        <f>VLOOKUP(A1351,[1]aaabonddata!$A:$B,2,0)</f>
        <v>2.6</v>
      </c>
    </row>
    <row r="1352" spans="1:12" x14ac:dyDescent="0.2">
      <c r="A1352" s="3">
        <v>40730</v>
      </c>
      <c r="B1352" s="2">
        <v>2378.58</v>
      </c>
      <c r="C1352" s="2">
        <v>2383.77</v>
      </c>
      <c r="D1352" s="2">
        <v>2361.4699999999998</v>
      </c>
      <c r="E1352" s="2">
        <v>2623526057162</v>
      </c>
      <c r="F1352" s="2">
        <v>0</v>
      </c>
      <c r="G1352">
        <v>1414.71</v>
      </c>
      <c r="H1352">
        <v>1418.48</v>
      </c>
      <c r="I1352">
        <v>1405.02</v>
      </c>
      <c r="J1352">
        <v>4414117490</v>
      </c>
      <c r="K1352">
        <v>0</v>
      </c>
      <c r="L1352" s="2">
        <f>VLOOKUP(A1352,[1]aaabonddata!$A:$B,2,0)</f>
        <v>2.57</v>
      </c>
    </row>
    <row r="1353" spans="1:12" x14ac:dyDescent="0.2">
      <c r="A1353" s="3">
        <v>40731</v>
      </c>
      <c r="B1353" s="2">
        <v>2412.89</v>
      </c>
      <c r="C1353" s="2">
        <v>2418.9899999999998</v>
      </c>
      <c r="D1353" s="2">
        <v>2394.5500000000002</v>
      </c>
      <c r="E1353" s="2">
        <v>2661372798902</v>
      </c>
      <c r="F1353" s="2">
        <v>0</v>
      </c>
      <c r="G1353">
        <v>1439.63</v>
      </c>
      <c r="H1353">
        <v>1445.03</v>
      </c>
      <c r="I1353">
        <v>1426.09</v>
      </c>
      <c r="J1353">
        <v>4491878989</v>
      </c>
      <c r="K1353">
        <v>0</v>
      </c>
      <c r="L1353" s="2">
        <f>VLOOKUP(A1353,[1]aaabonddata!$A:$B,2,0)</f>
        <v>2.63</v>
      </c>
    </row>
    <row r="1354" spans="1:12" x14ac:dyDescent="0.2">
      <c r="A1354" s="3">
        <v>40732</v>
      </c>
      <c r="B1354" s="2">
        <v>2405.89</v>
      </c>
      <c r="C1354" s="2">
        <v>2405.92</v>
      </c>
      <c r="D1354" s="2">
        <v>2379.14</v>
      </c>
      <c r="E1354" s="2">
        <v>2653648997823</v>
      </c>
      <c r="F1354" s="2">
        <v>0</v>
      </c>
      <c r="G1354">
        <v>1428.64</v>
      </c>
      <c r="H1354">
        <v>1430.23</v>
      </c>
      <c r="I1354">
        <v>1412.45</v>
      </c>
      <c r="J1354">
        <v>4457590311</v>
      </c>
      <c r="K1354">
        <v>0</v>
      </c>
      <c r="L1354" s="2">
        <f>VLOOKUP(A1354,[1]aaabonddata!$A:$B,2,0)</f>
        <v>2.5099999999999998</v>
      </c>
    </row>
    <row r="1355" spans="1:12" x14ac:dyDescent="0.2">
      <c r="A1355" s="3">
        <v>40735</v>
      </c>
      <c r="B1355" s="2">
        <v>2362</v>
      </c>
      <c r="C1355" s="2">
        <v>2392.09</v>
      </c>
      <c r="D1355" s="2">
        <v>2354.12</v>
      </c>
      <c r="E1355" s="2">
        <v>2605236539878</v>
      </c>
      <c r="F1355" s="2">
        <v>303630960</v>
      </c>
      <c r="G1355">
        <v>1400.53</v>
      </c>
      <c r="H1355">
        <v>1426.26</v>
      </c>
      <c r="I1355">
        <v>1395.89</v>
      </c>
      <c r="J1355">
        <v>4369877426</v>
      </c>
      <c r="K1355">
        <v>192307</v>
      </c>
      <c r="L1355" s="2">
        <f>VLOOKUP(A1355,[1]aaabonddata!$A:$B,2,0)</f>
        <v>2.4300000000000002</v>
      </c>
    </row>
    <row r="1356" spans="1:12" x14ac:dyDescent="0.2">
      <c r="A1356" s="3">
        <v>40736</v>
      </c>
      <c r="B1356" s="2">
        <v>2343.79</v>
      </c>
      <c r="C1356" s="2">
        <v>2366.35</v>
      </c>
      <c r="D1356" s="2">
        <v>2342.13</v>
      </c>
      <c r="E1356" s="2">
        <v>2585150462181</v>
      </c>
      <c r="F1356" s="2">
        <v>0</v>
      </c>
      <c r="G1356">
        <v>1371.99</v>
      </c>
      <c r="H1356">
        <v>1388.58</v>
      </c>
      <c r="I1356">
        <v>1369.69</v>
      </c>
      <c r="J1356">
        <v>4280853131</v>
      </c>
      <c r="K1356">
        <v>0</v>
      </c>
      <c r="L1356" s="2">
        <f>VLOOKUP(A1356,[1]aaabonddata!$A:$B,2,0)</f>
        <v>2.4300000000000002</v>
      </c>
    </row>
    <row r="1357" spans="1:12" x14ac:dyDescent="0.2">
      <c r="A1357" s="3">
        <v>40737</v>
      </c>
      <c r="B1357" s="2">
        <v>2352.4299999999998</v>
      </c>
      <c r="C1357" s="2">
        <v>2377.34</v>
      </c>
      <c r="D1357" s="2">
        <v>2345.8000000000002</v>
      </c>
      <c r="E1357" s="2">
        <v>2594689510955</v>
      </c>
      <c r="F1357" s="2">
        <v>0</v>
      </c>
      <c r="G1357">
        <v>1371.98</v>
      </c>
      <c r="H1357">
        <v>1392</v>
      </c>
      <c r="I1357">
        <v>1368.24</v>
      </c>
      <c r="J1357">
        <v>4280803296</v>
      </c>
      <c r="K1357">
        <v>0</v>
      </c>
      <c r="L1357" s="2">
        <f>VLOOKUP(A1357,[1]aaabonddata!$A:$B,2,0)</f>
        <v>2.42</v>
      </c>
    </row>
    <row r="1358" spans="1:12" x14ac:dyDescent="0.2">
      <c r="A1358" s="3">
        <v>40738</v>
      </c>
      <c r="B1358" s="2">
        <v>2325.06</v>
      </c>
      <c r="C1358" s="2">
        <v>2370.7199999999998</v>
      </c>
      <c r="D1358" s="2">
        <v>2318.1999999999998</v>
      </c>
      <c r="E1358" s="2">
        <v>2564495755402</v>
      </c>
      <c r="F1358" s="2">
        <v>0</v>
      </c>
      <c r="G1358">
        <v>1349.75</v>
      </c>
      <c r="H1358">
        <v>1385.08</v>
      </c>
      <c r="I1358">
        <v>1346.1</v>
      </c>
      <c r="J1358">
        <v>4211432142</v>
      </c>
      <c r="K1358">
        <v>0</v>
      </c>
      <c r="L1358" s="2">
        <f>VLOOKUP(A1358,[1]aaabonddata!$A:$B,2,0)</f>
        <v>2.44</v>
      </c>
    </row>
    <row r="1359" spans="1:12" x14ac:dyDescent="0.2">
      <c r="A1359" s="3">
        <v>40739</v>
      </c>
      <c r="B1359" s="2">
        <v>2356.67</v>
      </c>
      <c r="C1359" s="2">
        <v>2357.36</v>
      </c>
      <c r="D1359" s="2">
        <v>2336.13</v>
      </c>
      <c r="E1359" s="2">
        <v>2602181777142</v>
      </c>
      <c r="F1359" s="2">
        <v>0</v>
      </c>
      <c r="G1359">
        <v>1365.59</v>
      </c>
      <c r="H1359">
        <v>1366.32</v>
      </c>
      <c r="I1359">
        <v>1352.86</v>
      </c>
      <c r="J1359">
        <v>4260873621</v>
      </c>
      <c r="K1359">
        <v>0</v>
      </c>
      <c r="L1359" s="2">
        <f>VLOOKUP(A1359,[1]aaabonddata!$A:$B,2,0)</f>
        <v>2.42</v>
      </c>
    </row>
    <row r="1360" spans="1:12" x14ac:dyDescent="0.2">
      <c r="A1360" s="3">
        <v>40742</v>
      </c>
      <c r="B1360" s="2">
        <v>2344.0100000000002</v>
      </c>
      <c r="C1360" s="2">
        <v>2354.56</v>
      </c>
      <c r="D1360" s="2">
        <v>2322.62</v>
      </c>
      <c r="E1360" s="2">
        <v>2588198857625</v>
      </c>
      <c r="F1360" s="2">
        <v>0</v>
      </c>
      <c r="G1360">
        <v>1352.1</v>
      </c>
      <c r="H1360">
        <v>1363.89</v>
      </c>
      <c r="I1360">
        <v>1338.97</v>
      </c>
      <c r="J1360">
        <v>4218794116</v>
      </c>
      <c r="K1360">
        <v>0</v>
      </c>
      <c r="L1360" s="2">
        <f>VLOOKUP(A1360,[1]aaabonddata!$A:$B,2,0)</f>
        <v>2.4300000000000002</v>
      </c>
    </row>
    <row r="1361" spans="1:12" x14ac:dyDescent="0.2">
      <c r="A1361" s="3">
        <v>40743</v>
      </c>
      <c r="B1361" s="2">
        <v>2398.17</v>
      </c>
      <c r="C1361" s="2">
        <v>2400.58</v>
      </c>
      <c r="D1361" s="2">
        <v>2367.81</v>
      </c>
      <c r="E1361" s="2">
        <v>2647996576461</v>
      </c>
      <c r="F1361" s="2">
        <v>0</v>
      </c>
      <c r="G1361">
        <v>1387.24</v>
      </c>
      <c r="H1361">
        <v>1389.06</v>
      </c>
      <c r="I1361">
        <v>1366.34</v>
      </c>
      <c r="J1361">
        <v>4328433756</v>
      </c>
      <c r="K1361">
        <v>0</v>
      </c>
      <c r="L1361" s="2">
        <f>VLOOKUP(A1361,[1]aaabonddata!$A:$B,2,0)</f>
        <v>2.42</v>
      </c>
    </row>
    <row r="1362" spans="1:12" x14ac:dyDescent="0.2">
      <c r="A1362" s="3">
        <v>40744</v>
      </c>
      <c r="B1362" s="2">
        <v>2387.8000000000002</v>
      </c>
      <c r="C1362" s="2">
        <v>2412.39</v>
      </c>
      <c r="D1362" s="2">
        <v>2384.5</v>
      </c>
      <c r="E1362" s="2">
        <v>2636550482038</v>
      </c>
      <c r="F1362" s="2">
        <v>0</v>
      </c>
      <c r="G1362">
        <v>1371.07</v>
      </c>
      <c r="H1362">
        <v>1386.09</v>
      </c>
      <c r="I1362">
        <v>1366.84</v>
      </c>
      <c r="J1362">
        <v>4277976363</v>
      </c>
      <c r="K1362">
        <v>0</v>
      </c>
      <c r="L1362" s="2">
        <f>VLOOKUP(A1362,[1]aaabonddata!$A:$B,2,0)</f>
        <v>2.4500000000000002</v>
      </c>
    </row>
    <row r="1363" spans="1:12" x14ac:dyDescent="0.2">
      <c r="A1363" s="3">
        <v>40745</v>
      </c>
      <c r="B1363" s="2">
        <v>2404.2399999999998</v>
      </c>
      <c r="C1363" s="2">
        <v>2417.13</v>
      </c>
      <c r="D1363" s="2">
        <v>2377.8200000000002</v>
      </c>
      <c r="E1363" s="2">
        <v>2654702257775</v>
      </c>
      <c r="F1363" s="2">
        <v>38331985</v>
      </c>
      <c r="G1363">
        <v>1370.79</v>
      </c>
      <c r="H1363">
        <v>1375.48</v>
      </c>
      <c r="I1363">
        <v>1350.04</v>
      </c>
      <c r="J1363">
        <v>4277109873</v>
      </c>
      <c r="K1363">
        <v>0</v>
      </c>
      <c r="L1363" s="2">
        <f>VLOOKUP(A1363,[1]aaabonddata!$A:$B,2,0)</f>
        <v>2.5099999999999998</v>
      </c>
    </row>
    <row r="1364" spans="1:12" x14ac:dyDescent="0.2">
      <c r="A1364" s="3">
        <v>40746</v>
      </c>
      <c r="B1364" s="2">
        <v>2429.5</v>
      </c>
      <c r="C1364" s="2">
        <v>2432.84</v>
      </c>
      <c r="D1364" s="2">
        <v>2402.06</v>
      </c>
      <c r="E1364" s="2">
        <v>2682595562411</v>
      </c>
      <c r="F1364" s="2">
        <v>0</v>
      </c>
      <c r="G1364">
        <v>1394.51</v>
      </c>
      <c r="H1364">
        <v>1397.45</v>
      </c>
      <c r="I1364">
        <v>1375.25</v>
      </c>
      <c r="J1364">
        <v>4351092863</v>
      </c>
      <c r="K1364">
        <v>0</v>
      </c>
      <c r="L1364" s="2">
        <f>VLOOKUP(A1364,[1]aaabonddata!$A:$B,2,0)</f>
        <v>2.4700000000000002</v>
      </c>
    </row>
    <row r="1365" spans="1:12" x14ac:dyDescent="0.2">
      <c r="A1365" s="3">
        <v>40749</v>
      </c>
      <c r="B1365" s="2">
        <v>2424.15</v>
      </c>
      <c r="C1365" s="2">
        <v>2437.42</v>
      </c>
      <c r="D1365" s="2">
        <v>2406.17</v>
      </c>
      <c r="E1365" s="2">
        <v>2676691430236</v>
      </c>
      <c r="F1365" s="2">
        <v>0</v>
      </c>
      <c r="G1365">
        <v>1383.48</v>
      </c>
      <c r="H1365">
        <v>1391.9</v>
      </c>
      <c r="I1365">
        <v>1375.66</v>
      </c>
      <c r="J1365">
        <v>4316680726</v>
      </c>
      <c r="K1365">
        <v>0</v>
      </c>
      <c r="L1365" s="2">
        <f>VLOOKUP(A1365,[1]aaabonddata!$A:$B,2,0)</f>
        <v>2.5</v>
      </c>
    </row>
    <row r="1366" spans="1:12" x14ac:dyDescent="0.2">
      <c r="A1366" s="3">
        <v>40750</v>
      </c>
      <c r="B1366" s="2">
        <v>2429.4499999999998</v>
      </c>
      <c r="C1366" s="2">
        <v>2438.44</v>
      </c>
      <c r="D1366" s="2">
        <v>2418.52</v>
      </c>
      <c r="E1366" s="2">
        <v>2682543249946</v>
      </c>
      <c r="F1366" s="2">
        <v>62378879</v>
      </c>
      <c r="G1366">
        <v>1391.2</v>
      </c>
      <c r="H1366">
        <v>1398.93</v>
      </c>
      <c r="I1366">
        <v>1387.48</v>
      </c>
      <c r="J1366">
        <v>4340784697</v>
      </c>
      <c r="K1366">
        <v>0</v>
      </c>
      <c r="L1366" s="2">
        <f>VLOOKUP(A1366,[1]aaabonddata!$A:$B,2,0)</f>
        <v>2.46</v>
      </c>
    </row>
    <row r="1367" spans="1:12" x14ac:dyDescent="0.2">
      <c r="A1367" s="3">
        <v>40751</v>
      </c>
      <c r="B1367" s="2">
        <v>2367.16</v>
      </c>
      <c r="C1367" s="2">
        <v>2416.2199999999998</v>
      </c>
      <c r="D1367" s="2">
        <v>2362.12</v>
      </c>
      <c r="E1367" s="2">
        <v>2613766048969</v>
      </c>
      <c r="F1367" s="2">
        <v>0</v>
      </c>
      <c r="G1367">
        <v>1343.22</v>
      </c>
      <c r="H1367">
        <v>1375.72</v>
      </c>
      <c r="I1367">
        <v>1341.11</v>
      </c>
      <c r="J1367">
        <v>4191085171</v>
      </c>
      <c r="K1367">
        <v>0</v>
      </c>
      <c r="L1367" s="2">
        <f>VLOOKUP(A1367,[1]aaabonddata!$A:$B,2,0)</f>
        <v>2.4900000000000002</v>
      </c>
    </row>
    <row r="1368" spans="1:12" x14ac:dyDescent="0.2">
      <c r="A1368" s="3">
        <v>40752</v>
      </c>
      <c r="B1368" s="2">
        <v>2371.77</v>
      </c>
      <c r="C1368" s="2">
        <v>2401.25</v>
      </c>
      <c r="D1368" s="2">
        <v>2359.87</v>
      </c>
      <c r="E1368" s="2">
        <v>2618855673678</v>
      </c>
      <c r="F1368" s="2">
        <v>112173401</v>
      </c>
      <c r="G1368">
        <v>1336.12</v>
      </c>
      <c r="H1368">
        <v>1353.12</v>
      </c>
      <c r="I1368">
        <v>1328.46</v>
      </c>
      <c r="J1368">
        <v>4168927221</v>
      </c>
      <c r="K1368">
        <v>0</v>
      </c>
      <c r="L1368" s="2">
        <f>VLOOKUP(A1368,[1]aaabonddata!$A:$B,2,0)</f>
        <v>2.5099999999999998</v>
      </c>
    </row>
    <row r="1369" spans="1:12" x14ac:dyDescent="0.2">
      <c r="A1369" s="3">
        <v>40753</v>
      </c>
      <c r="B1369" s="2">
        <v>2362.81</v>
      </c>
      <c r="C1369" s="2">
        <v>2388.2399999999998</v>
      </c>
      <c r="D1369" s="2">
        <v>2341.8200000000002</v>
      </c>
      <c r="E1369" s="2">
        <v>2608959753409</v>
      </c>
      <c r="F1369" s="2">
        <v>0</v>
      </c>
      <c r="G1369">
        <v>1327.63</v>
      </c>
      <c r="H1369">
        <v>1344.57</v>
      </c>
      <c r="I1369">
        <v>1318.04</v>
      </c>
      <c r="J1369">
        <v>4142418877</v>
      </c>
      <c r="K1369">
        <v>0</v>
      </c>
      <c r="L1369" s="2">
        <f>VLOOKUP(A1369,[1]aaabonddata!$A:$B,2,0)</f>
        <v>2.4</v>
      </c>
    </row>
    <row r="1370" spans="1:12" x14ac:dyDescent="0.2">
      <c r="A1370" s="3">
        <v>40756</v>
      </c>
      <c r="B1370" s="2">
        <v>2354.0500000000002</v>
      </c>
      <c r="C1370" s="2">
        <v>2396.5</v>
      </c>
      <c r="D1370" s="2">
        <v>2325.17</v>
      </c>
      <c r="E1370" s="2">
        <v>2599286163359</v>
      </c>
      <c r="F1370" s="2">
        <v>0</v>
      </c>
      <c r="G1370">
        <v>1324.59</v>
      </c>
      <c r="H1370">
        <v>1350.49</v>
      </c>
      <c r="I1370">
        <v>1308.54</v>
      </c>
      <c r="J1370">
        <v>4132945955</v>
      </c>
      <c r="K1370">
        <v>0</v>
      </c>
      <c r="L1370" s="2">
        <f>VLOOKUP(A1370,[1]aaabonddata!$A:$B,2,0)</f>
        <v>2.41</v>
      </c>
    </row>
    <row r="1371" spans="1:12" x14ac:dyDescent="0.2">
      <c r="A1371" s="3">
        <v>40757</v>
      </c>
      <c r="B1371" s="2">
        <v>2292.85</v>
      </c>
      <c r="C1371" s="2">
        <v>2352.48</v>
      </c>
      <c r="D1371" s="2">
        <v>2291.37</v>
      </c>
      <c r="E1371" s="2">
        <v>2531714589035</v>
      </c>
      <c r="F1371" s="2">
        <v>0</v>
      </c>
      <c r="G1371">
        <v>1289.5</v>
      </c>
      <c r="H1371">
        <v>1326.78</v>
      </c>
      <c r="I1371">
        <v>1288.95</v>
      </c>
      <c r="J1371">
        <v>4023447421</v>
      </c>
      <c r="K1371">
        <v>0</v>
      </c>
      <c r="L1371" s="2">
        <f>VLOOKUP(A1371,[1]aaabonddata!$A:$B,2,0)</f>
        <v>2.33</v>
      </c>
    </row>
    <row r="1372" spans="1:12" x14ac:dyDescent="0.2">
      <c r="A1372" s="3">
        <v>40758</v>
      </c>
      <c r="B1372" s="2">
        <v>2312.7800000000002</v>
      </c>
      <c r="C1372" s="2">
        <v>2316.73</v>
      </c>
      <c r="D1372" s="2">
        <v>2254.91</v>
      </c>
      <c r="E1372" s="2">
        <v>2553715129904</v>
      </c>
      <c r="F1372" s="2">
        <v>1295681629</v>
      </c>
      <c r="G1372">
        <v>1303.68</v>
      </c>
      <c r="H1372">
        <v>1305.82</v>
      </c>
      <c r="I1372">
        <v>1266.67</v>
      </c>
      <c r="J1372">
        <v>4067705869</v>
      </c>
      <c r="K1372">
        <v>2253723</v>
      </c>
      <c r="L1372" s="2">
        <f>VLOOKUP(A1372,[1]aaabonddata!$A:$B,2,0)</f>
        <v>2.33</v>
      </c>
    </row>
    <row r="1373" spans="1:12" x14ac:dyDescent="0.2">
      <c r="A1373" s="3">
        <v>40759</v>
      </c>
      <c r="B1373" s="2">
        <v>2207.1999999999998</v>
      </c>
      <c r="C1373" s="2">
        <v>2284.3000000000002</v>
      </c>
      <c r="D1373" s="2">
        <v>2207.0500000000002</v>
      </c>
      <c r="E1373" s="2">
        <v>2437136784987</v>
      </c>
      <c r="F1373" s="2">
        <v>165156357</v>
      </c>
      <c r="G1373">
        <v>1235.07</v>
      </c>
      <c r="H1373">
        <v>1285.28</v>
      </c>
      <c r="I1373">
        <v>1234.9100000000001</v>
      </c>
      <c r="J1373">
        <v>3853633294</v>
      </c>
      <c r="K1373">
        <v>0</v>
      </c>
      <c r="L1373" s="2">
        <f>VLOOKUP(A1373,[1]aaabonddata!$A:$B,2,0)</f>
        <v>2.25</v>
      </c>
    </row>
    <row r="1374" spans="1:12" x14ac:dyDescent="0.2">
      <c r="A1374" s="3">
        <v>40760</v>
      </c>
      <c r="B1374" s="2">
        <v>2194.38</v>
      </c>
      <c r="C1374" s="2">
        <v>2240.6799999999998</v>
      </c>
      <c r="D1374" s="2">
        <v>2131.52</v>
      </c>
      <c r="E1374" s="2">
        <v>2422985265507</v>
      </c>
      <c r="F1374" s="2">
        <v>0</v>
      </c>
      <c r="G1374">
        <v>1220.3699999999999</v>
      </c>
      <c r="H1374">
        <v>1255.49</v>
      </c>
      <c r="I1374">
        <v>1183.42</v>
      </c>
      <c r="J1374">
        <v>3807768088</v>
      </c>
      <c r="K1374">
        <v>0</v>
      </c>
      <c r="L1374" s="2">
        <f>VLOOKUP(A1374,[1]aaabonddata!$A:$B,2,0)</f>
        <v>2.33</v>
      </c>
    </row>
    <row r="1375" spans="1:12" x14ac:dyDescent="0.2">
      <c r="A1375" s="3">
        <v>40763</v>
      </c>
      <c r="B1375" s="2">
        <v>2060.29</v>
      </c>
      <c r="C1375" s="2">
        <v>2162.7800000000002</v>
      </c>
      <c r="D1375" s="2">
        <v>2060.29</v>
      </c>
      <c r="E1375" s="2">
        <v>2274927624145</v>
      </c>
      <c r="F1375" s="2">
        <v>173694723</v>
      </c>
      <c r="G1375">
        <v>1144.1500000000001</v>
      </c>
      <c r="H1375">
        <v>1199.9000000000001</v>
      </c>
      <c r="I1375">
        <v>1141.6099999999999</v>
      </c>
      <c r="J1375">
        <v>3569952644</v>
      </c>
      <c r="K1375">
        <v>763677</v>
      </c>
      <c r="L1375" s="2">
        <f>VLOOKUP(A1375,[1]aaabonddata!$A:$B,2,0)</f>
        <v>2.29</v>
      </c>
    </row>
    <row r="1376" spans="1:12" x14ac:dyDescent="0.2">
      <c r="A1376" s="3">
        <v>40764</v>
      </c>
      <c r="B1376" s="2">
        <v>2160.79</v>
      </c>
      <c r="C1376" s="2">
        <v>2161.75</v>
      </c>
      <c r="D1376" s="2">
        <v>2034.92</v>
      </c>
      <c r="E1376" s="2">
        <v>2385889973105</v>
      </c>
      <c r="F1376" s="2">
        <v>0</v>
      </c>
      <c r="G1376">
        <v>1197.6600000000001</v>
      </c>
      <c r="H1376">
        <v>1198.23</v>
      </c>
      <c r="I1376">
        <v>1126.33</v>
      </c>
      <c r="J1376">
        <v>3736912078</v>
      </c>
      <c r="K1376">
        <v>0</v>
      </c>
      <c r="L1376" s="2">
        <f>VLOOKUP(A1376,[1]aaabonddata!$A:$B,2,0)</f>
        <v>2.1800000000000002</v>
      </c>
    </row>
    <row r="1377" spans="1:12" x14ac:dyDescent="0.2">
      <c r="A1377" s="3">
        <v>40765</v>
      </c>
      <c r="B1377" s="2">
        <v>2073.09</v>
      </c>
      <c r="C1377" s="2">
        <v>2142.31</v>
      </c>
      <c r="D1377" s="2">
        <v>2070.2399999999998</v>
      </c>
      <c r="E1377" s="2">
        <v>2289061289167</v>
      </c>
      <c r="F1377" s="2">
        <v>0</v>
      </c>
      <c r="G1377">
        <v>1153.49</v>
      </c>
      <c r="H1377">
        <v>1194.07</v>
      </c>
      <c r="I1377">
        <v>1151.5899999999999</v>
      </c>
      <c r="J1377">
        <v>3599075798</v>
      </c>
      <c r="K1377">
        <v>0</v>
      </c>
      <c r="L1377" s="2">
        <f>VLOOKUP(A1377,[1]aaabonddata!$A:$B,2,0)</f>
        <v>2.15</v>
      </c>
    </row>
    <row r="1378" spans="1:12" x14ac:dyDescent="0.2">
      <c r="A1378" s="3">
        <v>40766</v>
      </c>
      <c r="B1378" s="2">
        <v>2167.0700000000002</v>
      </c>
      <c r="C1378" s="2">
        <v>2187.48</v>
      </c>
      <c r="D1378" s="2">
        <v>2091.91</v>
      </c>
      <c r="E1378" s="2">
        <v>2392822638495</v>
      </c>
      <c r="F1378" s="2">
        <v>58766058</v>
      </c>
      <c r="G1378">
        <v>1213.72</v>
      </c>
      <c r="H1378">
        <v>1226.79</v>
      </c>
      <c r="I1378">
        <v>1166.0999999999999</v>
      </c>
      <c r="J1378">
        <v>3787024747</v>
      </c>
      <c r="K1378">
        <v>918635</v>
      </c>
      <c r="L1378" s="2">
        <f>VLOOKUP(A1378,[1]aaabonddata!$A:$B,2,0)</f>
        <v>2.2400000000000002</v>
      </c>
    </row>
    <row r="1379" spans="1:12" x14ac:dyDescent="0.2">
      <c r="A1379" s="3">
        <v>40767</v>
      </c>
      <c r="B1379" s="2">
        <v>2182.0500000000002</v>
      </c>
      <c r="C1379" s="2">
        <v>2195.25</v>
      </c>
      <c r="D1379" s="2">
        <v>2154.86</v>
      </c>
      <c r="E1379" s="2">
        <v>2409370054191</v>
      </c>
      <c r="F1379" s="2">
        <v>25305413</v>
      </c>
      <c r="G1379">
        <v>1221.28</v>
      </c>
      <c r="H1379">
        <v>1228.1300000000001</v>
      </c>
      <c r="I1379">
        <v>1205.3399999999999</v>
      </c>
      <c r="J1379">
        <v>3810590411</v>
      </c>
      <c r="K1379">
        <v>231588</v>
      </c>
      <c r="L1379" s="2">
        <f>VLOOKUP(A1379,[1]aaabonddata!$A:$B,2,0)</f>
        <v>2.2000000000000002</v>
      </c>
    </row>
    <row r="1380" spans="1:12" x14ac:dyDescent="0.2">
      <c r="A1380" s="3">
        <v>40770</v>
      </c>
      <c r="B1380" s="2">
        <v>2214.12</v>
      </c>
      <c r="C1380" s="2">
        <v>2214.12</v>
      </c>
      <c r="D1380" s="2">
        <v>2180.86</v>
      </c>
      <c r="E1380" s="2">
        <v>2444781634935</v>
      </c>
      <c r="F1380" s="2">
        <v>0</v>
      </c>
      <c r="G1380">
        <v>1243.4000000000001</v>
      </c>
      <c r="H1380">
        <v>1243.4000000000001</v>
      </c>
      <c r="I1380">
        <v>1222.76</v>
      </c>
      <c r="J1380">
        <v>3879611979</v>
      </c>
      <c r="K1380">
        <v>0</v>
      </c>
      <c r="L1380" s="2">
        <f>VLOOKUP(A1380,[1]aaabonddata!$A:$B,2,0)</f>
        <v>2.2400000000000002</v>
      </c>
    </row>
    <row r="1381" spans="1:12" x14ac:dyDescent="0.2">
      <c r="A1381" s="3">
        <v>40771</v>
      </c>
      <c r="B1381" s="2">
        <v>2194.27</v>
      </c>
      <c r="C1381" s="2">
        <v>2211.9</v>
      </c>
      <c r="D1381" s="2">
        <v>2165.04</v>
      </c>
      <c r="E1381" s="2">
        <v>2422860867181</v>
      </c>
      <c r="F1381" s="2">
        <v>1741448163</v>
      </c>
      <c r="G1381">
        <v>1225.6400000000001</v>
      </c>
      <c r="H1381">
        <v>1238.3800000000001</v>
      </c>
      <c r="I1381">
        <v>1208.08</v>
      </c>
      <c r="J1381">
        <v>3824196495</v>
      </c>
      <c r="K1381">
        <v>1631919</v>
      </c>
      <c r="L1381" s="2">
        <f>VLOOKUP(A1381,[1]aaabonddata!$A:$B,2,0)</f>
        <v>2.19</v>
      </c>
    </row>
    <row r="1382" spans="1:12" x14ac:dyDescent="0.2">
      <c r="A1382" s="3">
        <v>40772</v>
      </c>
      <c r="B1382" s="2">
        <v>2181.62</v>
      </c>
      <c r="C1382" s="2">
        <v>2214.2600000000002</v>
      </c>
      <c r="D1382" s="2">
        <v>2158.9499999999998</v>
      </c>
      <c r="E1382" s="2">
        <v>2408895826962</v>
      </c>
      <c r="F1382" s="2">
        <v>54656187</v>
      </c>
      <c r="G1382">
        <v>1211.97</v>
      </c>
      <c r="H1382">
        <v>1236.31</v>
      </c>
      <c r="I1382">
        <v>1198.9000000000001</v>
      </c>
      <c r="J1382">
        <v>3781543830</v>
      </c>
      <c r="K1382">
        <v>766528</v>
      </c>
      <c r="L1382" s="2">
        <f>VLOOKUP(A1382,[1]aaabonddata!$A:$B,2,0)</f>
        <v>2.16</v>
      </c>
    </row>
    <row r="1383" spans="1:12" x14ac:dyDescent="0.2">
      <c r="A1383" s="3">
        <v>40773</v>
      </c>
      <c r="B1383" s="2">
        <v>2073.0300000000002</v>
      </c>
      <c r="C1383" s="2">
        <v>2118.61</v>
      </c>
      <c r="D1383" s="2">
        <v>2055.1799999999998</v>
      </c>
      <c r="E1383" s="2">
        <v>2288984459384</v>
      </c>
      <c r="F1383" s="2">
        <v>9580951</v>
      </c>
      <c r="G1383">
        <v>1137.21</v>
      </c>
      <c r="H1383">
        <v>1167.6199999999999</v>
      </c>
      <c r="I1383">
        <v>1128.05</v>
      </c>
      <c r="J1383">
        <v>3548276711</v>
      </c>
      <c r="K1383">
        <v>0</v>
      </c>
      <c r="L1383" s="2">
        <f>VLOOKUP(A1383,[1]aaabonddata!$A:$B,2,0)</f>
        <v>2.14</v>
      </c>
    </row>
    <row r="1384" spans="1:12" x14ac:dyDescent="0.2">
      <c r="A1384" s="3">
        <v>40774</v>
      </c>
      <c r="B1384" s="2">
        <v>2038.22</v>
      </c>
      <c r="C1384" s="2">
        <v>2102.88</v>
      </c>
      <c r="D1384" s="2">
        <v>2035.3</v>
      </c>
      <c r="E1384" s="2">
        <v>2250552727846</v>
      </c>
      <c r="F1384" s="2">
        <v>64980888</v>
      </c>
      <c r="G1384">
        <v>1121.74</v>
      </c>
      <c r="H1384">
        <v>1162.95</v>
      </c>
      <c r="I1384">
        <v>1118.52</v>
      </c>
      <c r="J1384">
        <v>3500025737</v>
      </c>
      <c r="K1384">
        <v>925536</v>
      </c>
      <c r="L1384" s="2">
        <f>VLOOKUP(A1384,[1]aaabonddata!$A:$B,2,0)</f>
        <v>2.14</v>
      </c>
    </row>
    <row r="1385" spans="1:12" x14ac:dyDescent="0.2">
      <c r="A1385" s="3">
        <v>40777</v>
      </c>
      <c r="B1385" s="2">
        <v>2044.73</v>
      </c>
      <c r="C1385" s="2">
        <v>2084.83</v>
      </c>
      <c r="D1385" s="2">
        <v>2038.14</v>
      </c>
      <c r="E1385" s="2">
        <v>2257744678958</v>
      </c>
      <c r="F1385" s="2">
        <v>0</v>
      </c>
      <c r="G1385">
        <v>1130.05</v>
      </c>
      <c r="H1385">
        <v>1149.8800000000001</v>
      </c>
      <c r="I1385">
        <v>1124.47</v>
      </c>
      <c r="J1385">
        <v>3525943776</v>
      </c>
      <c r="K1385">
        <v>0</v>
      </c>
      <c r="L1385" s="2">
        <f>VLOOKUP(A1385,[1]aaabonddata!$A:$B,2,0)</f>
        <v>2.15</v>
      </c>
    </row>
    <row r="1386" spans="1:12" x14ac:dyDescent="0.2">
      <c r="A1386" s="3">
        <v>40778</v>
      </c>
      <c r="B1386" s="2">
        <v>2129.27</v>
      </c>
      <c r="C1386" s="2">
        <v>2129.27</v>
      </c>
      <c r="D1386" s="2">
        <v>2050.19</v>
      </c>
      <c r="E1386" s="2">
        <v>2351086225559</v>
      </c>
      <c r="F1386" s="2">
        <v>0</v>
      </c>
      <c r="G1386">
        <v>1183.2</v>
      </c>
      <c r="H1386">
        <v>1183.2</v>
      </c>
      <c r="I1386">
        <v>1134.25</v>
      </c>
      <c r="J1386">
        <v>3691778198</v>
      </c>
      <c r="K1386">
        <v>0</v>
      </c>
      <c r="L1386" s="2">
        <f>VLOOKUP(A1386,[1]aaabonddata!$A:$B,2,0)</f>
        <v>2.1800000000000002</v>
      </c>
    </row>
    <row r="1387" spans="1:12" x14ac:dyDescent="0.2">
      <c r="A1387" s="3">
        <v>40779</v>
      </c>
      <c r="B1387" s="2">
        <v>2145.04</v>
      </c>
      <c r="C1387" s="2">
        <v>2148.2199999999998</v>
      </c>
      <c r="D1387" s="2">
        <v>2105.31</v>
      </c>
      <c r="E1387" s="2">
        <v>2368496546831</v>
      </c>
      <c r="F1387" s="2">
        <v>419727788</v>
      </c>
      <c r="G1387">
        <v>1186.6500000000001</v>
      </c>
      <c r="H1387">
        <v>1189.4000000000001</v>
      </c>
      <c r="I1387">
        <v>1161.55</v>
      </c>
      <c r="J1387">
        <v>3702562458</v>
      </c>
      <c r="K1387">
        <v>692335</v>
      </c>
      <c r="L1387" s="2">
        <f>VLOOKUP(A1387,[1]aaabonddata!$A:$B,2,0)</f>
        <v>2.25</v>
      </c>
    </row>
    <row r="1388" spans="1:12" x14ac:dyDescent="0.2">
      <c r="A1388" s="3">
        <v>40780</v>
      </c>
      <c r="B1388" s="2">
        <v>2108.21</v>
      </c>
      <c r="C1388" s="2">
        <v>2153.71</v>
      </c>
      <c r="D1388" s="2">
        <v>2102.5</v>
      </c>
      <c r="E1388" s="2">
        <v>2327833248184</v>
      </c>
      <c r="F1388" s="2">
        <v>0</v>
      </c>
      <c r="G1388">
        <v>1160.77</v>
      </c>
      <c r="H1388">
        <v>1193.08</v>
      </c>
      <c r="I1388">
        <v>1157.58</v>
      </c>
      <c r="J1388">
        <v>3621795368</v>
      </c>
      <c r="K1388">
        <v>0</v>
      </c>
      <c r="L1388" s="2">
        <f>VLOOKUP(A1388,[1]aaabonddata!$A:$B,2,0)</f>
        <v>2.2200000000000002</v>
      </c>
    </row>
    <row r="1389" spans="1:12" x14ac:dyDescent="0.2">
      <c r="A1389" s="3">
        <v>40781</v>
      </c>
      <c r="B1389" s="2">
        <v>2161.9699999999998</v>
      </c>
      <c r="C1389" s="2">
        <v>2169.41</v>
      </c>
      <c r="D1389" s="2">
        <v>2082.04</v>
      </c>
      <c r="E1389" s="2">
        <v>2387193602173</v>
      </c>
      <c r="F1389" s="2">
        <v>0</v>
      </c>
      <c r="G1389">
        <v>1193.71</v>
      </c>
      <c r="H1389">
        <v>1199.18</v>
      </c>
      <c r="I1389">
        <v>1146.28</v>
      </c>
      <c r="J1389">
        <v>3724566046</v>
      </c>
      <c r="K1389">
        <v>0</v>
      </c>
      <c r="L1389" s="2">
        <f>VLOOKUP(A1389,[1]aaabonddata!$A:$B,2,0)</f>
        <v>2.19</v>
      </c>
    </row>
    <row r="1390" spans="1:12" x14ac:dyDescent="0.2">
      <c r="A1390" s="3">
        <v>40784</v>
      </c>
      <c r="B1390" s="2">
        <v>2223.96</v>
      </c>
      <c r="C1390" s="2">
        <v>2224.5</v>
      </c>
      <c r="D1390" s="2">
        <v>2187.7199999999998</v>
      </c>
      <c r="E1390" s="2">
        <v>2455647803538</v>
      </c>
      <c r="F1390" s="2">
        <v>185405268</v>
      </c>
      <c r="G1390">
        <v>1236.03</v>
      </c>
      <c r="H1390">
        <v>1236.3900000000001</v>
      </c>
      <c r="I1390">
        <v>1210.18</v>
      </c>
      <c r="J1390">
        <v>3856635573</v>
      </c>
      <c r="K1390">
        <v>644641</v>
      </c>
      <c r="L1390" s="2">
        <f>VLOOKUP(A1390,[1]aaabonddata!$A:$B,2,0)</f>
        <v>2.23</v>
      </c>
    </row>
    <row r="1391" spans="1:12" x14ac:dyDescent="0.2">
      <c r="A1391" s="3">
        <v>40785</v>
      </c>
      <c r="B1391" s="2">
        <v>2237.69</v>
      </c>
      <c r="C1391" s="2">
        <v>2250.1</v>
      </c>
      <c r="D1391" s="2">
        <v>2202.4499999999998</v>
      </c>
      <c r="E1391" s="2">
        <v>2470808772696</v>
      </c>
      <c r="F1391" s="2">
        <v>21928778</v>
      </c>
      <c r="G1391">
        <v>1240.4100000000001</v>
      </c>
      <c r="H1391">
        <v>1248.06</v>
      </c>
      <c r="I1391">
        <v>1221.8399999999999</v>
      </c>
      <c r="J1391">
        <v>3870278667</v>
      </c>
      <c r="K1391">
        <v>0</v>
      </c>
      <c r="L1391" s="2">
        <f>VLOOKUP(A1391,[1]aaabonddata!$A:$B,2,0)</f>
        <v>2.1800000000000002</v>
      </c>
    </row>
    <row r="1392" spans="1:12" x14ac:dyDescent="0.2">
      <c r="A1392" s="3">
        <v>40786</v>
      </c>
      <c r="B1392" s="2">
        <v>2241.0100000000002</v>
      </c>
      <c r="C1392" s="2">
        <v>2268.0700000000002</v>
      </c>
      <c r="D1392" s="2">
        <v>2222.48</v>
      </c>
      <c r="E1392" s="2">
        <v>2473614725543</v>
      </c>
      <c r="F1392" s="2">
        <v>92203267</v>
      </c>
      <c r="G1392">
        <v>1240.01</v>
      </c>
      <c r="H1392">
        <v>1260.55</v>
      </c>
      <c r="I1392">
        <v>1230.33</v>
      </c>
      <c r="J1392">
        <v>3869028861</v>
      </c>
      <c r="K1392">
        <v>0</v>
      </c>
      <c r="L1392" s="2">
        <f>VLOOKUP(A1392,[1]aaabonddata!$A:$B,2,0)</f>
        <v>2.2599999999999998</v>
      </c>
    </row>
    <row r="1393" spans="1:12" x14ac:dyDescent="0.2">
      <c r="A1393" s="3">
        <v>40787</v>
      </c>
      <c r="B1393" s="2">
        <v>2219.0500000000002</v>
      </c>
      <c r="C1393" s="2">
        <v>2263.94</v>
      </c>
      <c r="D1393" s="2">
        <v>2217.02</v>
      </c>
      <c r="E1393" s="2">
        <v>2449382082663</v>
      </c>
      <c r="F1393" s="2">
        <v>0</v>
      </c>
      <c r="G1393">
        <v>1222.94</v>
      </c>
      <c r="H1393">
        <v>1253.46</v>
      </c>
      <c r="I1393">
        <v>1221.9000000000001</v>
      </c>
      <c r="J1393">
        <v>3815762863</v>
      </c>
      <c r="K1393">
        <v>0</v>
      </c>
      <c r="L1393" s="2">
        <f>VLOOKUP(A1393,[1]aaabonddata!$A:$B,2,0)</f>
        <v>2.2200000000000002</v>
      </c>
    </row>
    <row r="1394" spans="1:12" x14ac:dyDescent="0.2">
      <c r="A1394" s="3">
        <v>40788</v>
      </c>
      <c r="B1394" s="2">
        <v>2167.83</v>
      </c>
      <c r="C1394" s="2">
        <v>2189.7600000000002</v>
      </c>
      <c r="D1394" s="2">
        <v>2156.9899999999998</v>
      </c>
      <c r="E1394" s="2">
        <v>2392836727031</v>
      </c>
      <c r="F1394" s="2">
        <v>0</v>
      </c>
      <c r="G1394">
        <v>1188.5899999999999</v>
      </c>
      <c r="H1394">
        <v>1203.27</v>
      </c>
      <c r="I1394">
        <v>1181.5999999999999</v>
      </c>
      <c r="J1394">
        <v>3708602370</v>
      </c>
      <c r="K1394">
        <v>0</v>
      </c>
      <c r="L1394" s="2">
        <f>VLOOKUP(A1394,[1]aaabonddata!$A:$B,2,0)</f>
        <v>2.16</v>
      </c>
    </row>
    <row r="1395" spans="1:12" x14ac:dyDescent="0.2">
      <c r="A1395" s="3">
        <v>40792</v>
      </c>
      <c r="B1395" s="2">
        <v>2167.6</v>
      </c>
      <c r="C1395" s="2">
        <v>2171.39</v>
      </c>
      <c r="D1395" s="2">
        <v>2112.84</v>
      </c>
      <c r="E1395" s="2">
        <v>2392591746883</v>
      </c>
      <c r="F1395" s="2">
        <v>0</v>
      </c>
      <c r="G1395">
        <v>1186.6500000000001</v>
      </c>
      <c r="H1395">
        <v>1188.44</v>
      </c>
      <c r="I1395">
        <v>1153.96</v>
      </c>
      <c r="J1395">
        <v>3702535403</v>
      </c>
      <c r="K1395">
        <v>0</v>
      </c>
      <c r="L1395" s="2">
        <f>VLOOKUP(A1395,[1]aaabonddata!$A:$B,2,0)</f>
        <v>2.16</v>
      </c>
    </row>
    <row r="1396" spans="1:12" x14ac:dyDescent="0.2">
      <c r="A1396" s="3">
        <v>40793</v>
      </c>
      <c r="B1396" s="2">
        <v>2223.75</v>
      </c>
      <c r="C1396" s="2">
        <v>2223.8000000000002</v>
      </c>
      <c r="D1396" s="2">
        <v>2193.83</v>
      </c>
      <c r="E1396" s="2">
        <v>2454569356912</v>
      </c>
      <c r="F1396" s="2">
        <v>179893728</v>
      </c>
      <c r="G1396">
        <v>1231.45</v>
      </c>
      <c r="H1396">
        <v>1231.8499999999999</v>
      </c>
      <c r="I1396">
        <v>1208.81</v>
      </c>
      <c r="J1396">
        <v>3842327729</v>
      </c>
      <c r="K1396">
        <v>0</v>
      </c>
      <c r="L1396" s="2">
        <f>VLOOKUP(A1396,[1]aaabonddata!$A:$B,2,0)</f>
        <v>2.19</v>
      </c>
    </row>
    <row r="1397" spans="1:12" x14ac:dyDescent="0.2">
      <c r="A1397" s="3">
        <v>40794</v>
      </c>
      <c r="B1397" s="2">
        <v>2214.29</v>
      </c>
      <c r="C1397" s="2">
        <v>2244.5100000000002</v>
      </c>
      <c r="D1397" s="2">
        <v>2206.79</v>
      </c>
      <c r="E1397" s="2">
        <v>2444120903903</v>
      </c>
      <c r="F1397" s="2">
        <v>12690713</v>
      </c>
      <c r="G1397">
        <v>1225.3399999999999</v>
      </c>
      <c r="H1397">
        <v>1248.67</v>
      </c>
      <c r="I1397">
        <v>1219.26</v>
      </c>
      <c r="J1397">
        <v>3823261888</v>
      </c>
      <c r="K1397">
        <v>0</v>
      </c>
      <c r="L1397" s="2">
        <f>VLOOKUP(A1397,[1]aaabonddata!$A:$B,2,0)</f>
        <v>2.16</v>
      </c>
    </row>
    <row r="1398" spans="1:12" x14ac:dyDescent="0.2">
      <c r="A1398" s="3">
        <v>40795</v>
      </c>
      <c r="B1398" s="2">
        <v>2163.66</v>
      </c>
      <c r="C1398" s="2">
        <v>2206.4899999999998</v>
      </c>
      <c r="D1398" s="2">
        <v>2151.35</v>
      </c>
      <c r="E1398" s="2">
        <v>2388241414054</v>
      </c>
      <c r="F1398" s="2">
        <v>0</v>
      </c>
      <c r="G1398">
        <v>1199.19</v>
      </c>
      <c r="H1398">
        <v>1227.57</v>
      </c>
      <c r="I1398">
        <v>1190.04</v>
      </c>
      <c r="J1398">
        <v>3741672597</v>
      </c>
      <c r="K1398">
        <v>0</v>
      </c>
      <c r="L1398" s="2">
        <f>VLOOKUP(A1398,[1]aaabonddata!$A:$B,2,0)</f>
        <v>2.12</v>
      </c>
    </row>
    <row r="1399" spans="1:12" x14ac:dyDescent="0.2">
      <c r="A1399" s="3">
        <v>40798</v>
      </c>
      <c r="B1399" s="2">
        <v>2191.84</v>
      </c>
      <c r="C1399" s="2">
        <v>2192.2800000000002</v>
      </c>
      <c r="D1399" s="2">
        <v>2139.58</v>
      </c>
      <c r="E1399" s="2">
        <v>2419348473516</v>
      </c>
      <c r="F1399" s="2">
        <v>173670318</v>
      </c>
      <c r="G1399">
        <v>1221.02</v>
      </c>
      <c r="H1399">
        <v>1221.03</v>
      </c>
      <c r="I1399">
        <v>1185.33</v>
      </c>
      <c r="J1399">
        <v>3809780858</v>
      </c>
      <c r="K1399">
        <v>0</v>
      </c>
      <c r="L1399" s="2">
        <f>VLOOKUP(A1399,[1]aaabonddata!$A:$B,2,0)</f>
        <v>2.16</v>
      </c>
    </row>
    <row r="1400" spans="1:12" x14ac:dyDescent="0.2">
      <c r="A1400" s="3">
        <v>40799</v>
      </c>
      <c r="B1400" s="2">
        <v>2220.58</v>
      </c>
      <c r="C1400" s="2">
        <v>2225.4</v>
      </c>
      <c r="D1400" s="2">
        <v>2189.83</v>
      </c>
      <c r="E1400" s="2">
        <v>2451066375578</v>
      </c>
      <c r="F1400" s="2">
        <v>83230967</v>
      </c>
      <c r="G1400">
        <v>1239.5</v>
      </c>
      <c r="H1400">
        <v>1242.1300000000001</v>
      </c>
      <c r="I1400">
        <v>1218.93</v>
      </c>
      <c r="J1400">
        <v>3867459556</v>
      </c>
      <c r="K1400">
        <v>1189060</v>
      </c>
      <c r="L1400" s="2">
        <f>VLOOKUP(A1400,[1]aaabonddata!$A:$B,2,0)</f>
        <v>2.21</v>
      </c>
    </row>
    <row r="1401" spans="1:12" x14ac:dyDescent="0.2">
      <c r="A1401" s="3">
        <v>40800</v>
      </c>
      <c r="B1401" s="2">
        <v>2252.75</v>
      </c>
      <c r="C1401" s="2">
        <v>2277.92</v>
      </c>
      <c r="D1401" s="2">
        <v>2210.63</v>
      </c>
      <c r="E1401" s="2">
        <v>2486574002237</v>
      </c>
      <c r="F1401" s="2">
        <v>0</v>
      </c>
      <c r="G1401">
        <v>1268.6300000000001</v>
      </c>
      <c r="H1401">
        <v>1284.23</v>
      </c>
      <c r="I1401">
        <v>1238.3699999999999</v>
      </c>
      <c r="J1401">
        <v>3958327770</v>
      </c>
      <c r="K1401">
        <v>0</v>
      </c>
      <c r="L1401" s="2">
        <f>VLOOKUP(A1401,[1]aaabonddata!$A:$B,2,0)</f>
        <v>2.21</v>
      </c>
    </row>
    <row r="1402" spans="1:12" x14ac:dyDescent="0.2">
      <c r="A1402" s="3">
        <v>40801</v>
      </c>
      <c r="B1402" s="2">
        <v>2286.56</v>
      </c>
      <c r="C1402" s="2">
        <v>2289.69</v>
      </c>
      <c r="D1402" s="2">
        <v>2254.4699999999998</v>
      </c>
      <c r="E1402" s="2">
        <v>2523898518623</v>
      </c>
      <c r="F1402" s="2">
        <v>17571274</v>
      </c>
      <c r="G1402">
        <v>1285.57</v>
      </c>
      <c r="H1402">
        <v>1289.1400000000001</v>
      </c>
      <c r="I1402">
        <v>1269.0899999999999</v>
      </c>
      <c r="J1402">
        <v>4011202521</v>
      </c>
      <c r="K1402">
        <v>0</v>
      </c>
      <c r="L1402" s="2">
        <f>VLOOKUP(A1402,[1]aaabonddata!$A:$B,2,0)</f>
        <v>2.25</v>
      </c>
    </row>
    <row r="1403" spans="1:12" x14ac:dyDescent="0.2">
      <c r="A1403" s="3">
        <v>40802</v>
      </c>
      <c r="B1403" s="2">
        <v>2306.09</v>
      </c>
      <c r="C1403" s="2">
        <v>2308.96</v>
      </c>
      <c r="D1403" s="2">
        <v>2283.4299999999998</v>
      </c>
      <c r="E1403" s="2">
        <v>2545449458473</v>
      </c>
      <c r="F1403" s="2">
        <v>0</v>
      </c>
      <c r="G1403">
        <v>1282.8599999999999</v>
      </c>
      <c r="H1403">
        <v>1291.3399999999999</v>
      </c>
      <c r="I1403">
        <v>1275.81</v>
      </c>
      <c r="J1403">
        <v>4002730216</v>
      </c>
      <c r="K1403">
        <v>0</v>
      </c>
      <c r="L1403" s="2">
        <f>VLOOKUP(A1403,[1]aaabonddata!$A:$B,2,0)</f>
        <v>2.2400000000000002</v>
      </c>
    </row>
    <row r="1404" spans="1:12" x14ac:dyDescent="0.2">
      <c r="A1404" s="3">
        <v>40805</v>
      </c>
      <c r="B1404" s="2">
        <v>2308.7600000000002</v>
      </c>
      <c r="C1404" s="2">
        <v>2319.73</v>
      </c>
      <c r="D1404" s="2">
        <v>2260.2399999999998</v>
      </c>
      <c r="E1404" s="2">
        <v>2540821364799</v>
      </c>
      <c r="F1404" s="2">
        <v>0</v>
      </c>
      <c r="G1404">
        <v>1269.57</v>
      </c>
      <c r="H1404">
        <v>1276.3800000000001</v>
      </c>
      <c r="I1404">
        <v>1250.53</v>
      </c>
      <c r="J1404">
        <v>4057546279</v>
      </c>
      <c r="K1404">
        <v>0</v>
      </c>
      <c r="L1404" s="2">
        <f>VLOOKUP(A1404,[1]aaabonddata!$A:$B,2,0)</f>
        <v>2.15</v>
      </c>
    </row>
    <row r="1405" spans="1:12" x14ac:dyDescent="0.2">
      <c r="A1405" s="3">
        <v>40806</v>
      </c>
      <c r="B1405" s="2">
        <v>2295.89</v>
      </c>
      <c r="C1405" s="2">
        <v>2337.6999999999998</v>
      </c>
      <c r="D1405" s="2">
        <v>2293.06</v>
      </c>
      <c r="E1405" s="2">
        <v>2526660084195</v>
      </c>
      <c r="F1405" s="2">
        <v>0</v>
      </c>
      <c r="G1405">
        <v>1253.5999999999999</v>
      </c>
      <c r="H1405">
        <v>1279.27</v>
      </c>
      <c r="I1405">
        <v>1252.57</v>
      </c>
      <c r="J1405">
        <v>4006507033</v>
      </c>
      <c r="K1405">
        <v>0</v>
      </c>
      <c r="L1405" s="2">
        <f>VLOOKUP(A1405,[1]aaabonddata!$A:$B,2,0)</f>
        <v>2.17</v>
      </c>
    </row>
    <row r="1406" spans="1:12" x14ac:dyDescent="0.2">
      <c r="A1406" s="3">
        <v>40807</v>
      </c>
      <c r="B1406" s="2">
        <v>2258.3000000000002</v>
      </c>
      <c r="C1406" s="2">
        <v>2321.2199999999998</v>
      </c>
      <c r="D1406" s="2">
        <v>2257.5500000000002</v>
      </c>
      <c r="E1406" s="2">
        <v>2485292707117</v>
      </c>
      <c r="F1406" s="2">
        <v>70918939</v>
      </c>
      <c r="G1406">
        <v>1235.5999999999999</v>
      </c>
      <c r="H1406">
        <v>1274.1600000000001</v>
      </c>
      <c r="I1406">
        <v>1235.1600000000001</v>
      </c>
      <c r="J1406">
        <v>3948955095</v>
      </c>
      <c r="K1406">
        <v>0</v>
      </c>
      <c r="L1406" s="2">
        <f>VLOOKUP(A1406,[1]aaabonddata!$A:$B,2,0)</f>
        <v>2.17</v>
      </c>
    </row>
    <row r="1407" spans="1:12" x14ac:dyDescent="0.2">
      <c r="A1407" s="3">
        <v>40808</v>
      </c>
      <c r="B1407" s="2">
        <v>2184.59</v>
      </c>
      <c r="C1407" s="2">
        <v>2219.7199999999998</v>
      </c>
      <c r="D1407" s="2">
        <v>2151.48</v>
      </c>
      <c r="E1407" s="2">
        <v>2404178236566</v>
      </c>
      <c r="F1407" s="2">
        <v>0</v>
      </c>
      <c r="G1407">
        <v>1190.3699999999999</v>
      </c>
      <c r="H1407">
        <v>1208.77</v>
      </c>
      <c r="I1407">
        <v>1170.47</v>
      </c>
      <c r="J1407">
        <v>3804415460</v>
      </c>
      <c r="K1407">
        <v>0</v>
      </c>
      <c r="L1407" s="2">
        <f>VLOOKUP(A1407,[1]aaabonddata!$A:$B,2,0)</f>
        <v>2.12</v>
      </c>
    </row>
    <row r="1408" spans="1:12" x14ac:dyDescent="0.2">
      <c r="A1408" s="3">
        <v>40809</v>
      </c>
      <c r="B1408" s="2">
        <v>2206.86</v>
      </c>
      <c r="C1408" s="2">
        <v>2216.75</v>
      </c>
      <c r="D1408" s="2">
        <v>2165.62</v>
      </c>
      <c r="E1408" s="2">
        <v>2428681412568</v>
      </c>
      <c r="F1408" s="2">
        <v>7066522</v>
      </c>
      <c r="G1408">
        <v>1209.8599999999999</v>
      </c>
      <c r="H1408">
        <v>1215.1199999999999</v>
      </c>
      <c r="I1408">
        <v>1179.5</v>
      </c>
      <c r="J1408">
        <v>3866695173</v>
      </c>
      <c r="K1408">
        <v>0</v>
      </c>
      <c r="L1408" s="2">
        <f>VLOOKUP(A1408,[1]aaabonddata!$A:$B,2,0)</f>
        <v>2.1800000000000002</v>
      </c>
    </row>
    <row r="1409" spans="1:12" x14ac:dyDescent="0.2">
      <c r="A1409" s="3">
        <v>40812</v>
      </c>
      <c r="B1409" s="2">
        <v>2234.2800000000002</v>
      </c>
      <c r="C1409" s="2">
        <v>2237.13</v>
      </c>
      <c r="D1409" s="2">
        <v>2170.14</v>
      </c>
      <c r="E1409" s="2">
        <v>2458857411435</v>
      </c>
      <c r="F1409" s="2">
        <v>0</v>
      </c>
      <c r="G1409">
        <v>1226.7</v>
      </c>
      <c r="H1409">
        <v>1227.96</v>
      </c>
      <c r="I1409">
        <v>1186.5899999999999</v>
      </c>
      <c r="J1409">
        <v>3920507257</v>
      </c>
      <c r="K1409">
        <v>0</v>
      </c>
      <c r="L1409" s="2">
        <f>VLOOKUP(A1409,[1]aaabonddata!$A:$B,2,0)</f>
        <v>2.23</v>
      </c>
    </row>
    <row r="1410" spans="1:12" x14ac:dyDescent="0.2">
      <c r="A1410" s="3">
        <v>40813</v>
      </c>
      <c r="B1410" s="2">
        <v>2253.5500000000002</v>
      </c>
      <c r="C1410" s="2">
        <v>2290.71</v>
      </c>
      <c r="D1410" s="2">
        <v>2241.75</v>
      </c>
      <c r="E1410" s="2">
        <v>2480059985649</v>
      </c>
      <c r="F1410" s="2">
        <v>0</v>
      </c>
      <c r="G1410">
        <v>1248.58</v>
      </c>
      <c r="H1410">
        <v>1273.08</v>
      </c>
      <c r="I1410">
        <v>1241.55</v>
      </c>
      <c r="J1410">
        <v>3990451756</v>
      </c>
      <c r="K1410">
        <v>0</v>
      </c>
      <c r="L1410" s="2">
        <f>VLOOKUP(A1410,[1]aaabonddata!$A:$B,2,0)</f>
        <v>2.2999999999999998</v>
      </c>
    </row>
    <row r="1411" spans="1:12" x14ac:dyDescent="0.2">
      <c r="A1411" s="3">
        <v>40814</v>
      </c>
      <c r="B1411" s="2">
        <v>2220.84</v>
      </c>
      <c r="C1411" s="2">
        <v>2281.09</v>
      </c>
      <c r="D1411" s="2">
        <v>2218.77</v>
      </c>
      <c r="E1411" s="2">
        <v>2444068113851</v>
      </c>
      <c r="F1411" s="2">
        <v>0</v>
      </c>
      <c r="G1411">
        <v>1218.8599999999999</v>
      </c>
      <c r="H1411">
        <v>1257.42</v>
      </c>
      <c r="I1411">
        <v>1216.74</v>
      </c>
      <c r="J1411">
        <v>3895466820</v>
      </c>
      <c r="K1411">
        <v>0</v>
      </c>
      <c r="L1411" s="2">
        <f>VLOOKUP(A1411,[1]aaabonddata!$A:$B,2,0)</f>
        <v>2.2799999999999998</v>
      </c>
    </row>
    <row r="1412" spans="1:12" x14ac:dyDescent="0.2">
      <c r="A1412" s="3">
        <v>40815</v>
      </c>
      <c r="B1412" s="2">
        <v>2197.6799999999998</v>
      </c>
      <c r="C1412" s="2">
        <v>2258.96</v>
      </c>
      <c r="D1412" s="2">
        <v>2160.1999999999998</v>
      </c>
      <c r="E1412" s="2">
        <v>2418583772728</v>
      </c>
      <c r="F1412" s="2">
        <v>0</v>
      </c>
      <c r="G1412">
        <v>1208.8800000000001</v>
      </c>
      <c r="H1412">
        <v>1243.92</v>
      </c>
      <c r="I1412">
        <v>1185.05</v>
      </c>
      <c r="J1412">
        <v>3863582375</v>
      </c>
      <c r="K1412">
        <v>0</v>
      </c>
      <c r="L1412" s="2">
        <f>VLOOKUP(A1412,[1]aaabonddata!$A:$B,2,0)</f>
        <v>2.25</v>
      </c>
    </row>
    <row r="1413" spans="1:12" x14ac:dyDescent="0.2">
      <c r="A1413" s="3">
        <v>40816</v>
      </c>
      <c r="B1413" s="2">
        <v>2139.1799999999998</v>
      </c>
      <c r="C1413" s="2">
        <v>2185.61</v>
      </c>
      <c r="D1413" s="2">
        <v>2139.17</v>
      </c>
      <c r="E1413" s="2">
        <v>2354200319105</v>
      </c>
      <c r="F1413" s="2">
        <v>0</v>
      </c>
      <c r="G1413">
        <v>1171.07</v>
      </c>
      <c r="H1413">
        <v>1201.5</v>
      </c>
      <c r="I1413">
        <v>1171.04</v>
      </c>
      <c r="J1413">
        <v>3742713064</v>
      </c>
      <c r="K1413">
        <v>0</v>
      </c>
      <c r="L1413" s="2">
        <f>VLOOKUP(A1413,[1]aaabonddata!$A:$B,2,0)</f>
        <v>2.2200000000000002</v>
      </c>
    </row>
    <row r="1414" spans="1:12" x14ac:dyDescent="0.2">
      <c r="A1414" s="3">
        <v>40819</v>
      </c>
      <c r="B1414" s="2">
        <v>2085.04</v>
      </c>
      <c r="C1414" s="2">
        <v>2153.9499999999998</v>
      </c>
      <c r="D1414" s="2">
        <v>2084.3000000000002</v>
      </c>
      <c r="E1414" s="2">
        <v>2294614485866</v>
      </c>
      <c r="F1414" s="2">
        <v>235082732</v>
      </c>
      <c r="G1414">
        <v>1136.1099999999999</v>
      </c>
      <c r="H1414">
        <v>1178.19</v>
      </c>
      <c r="I1414">
        <v>1134.77</v>
      </c>
      <c r="J1414">
        <v>3630982263</v>
      </c>
      <c r="K1414">
        <v>0</v>
      </c>
      <c r="L1414" s="2">
        <f>VLOOKUP(A1414,[1]aaabonddata!$A:$B,2,0)</f>
        <v>2.14</v>
      </c>
    </row>
    <row r="1415" spans="1:12" x14ac:dyDescent="0.2">
      <c r="A1415" s="3">
        <v>40820</v>
      </c>
      <c r="B1415" s="2">
        <v>2129.21</v>
      </c>
      <c r="C1415" s="2">
        <v>2131.31</v>
      </c>
      <c r="D1415" s="2">
        <v>2042.9</v>
      </c>
      <c r="E1415" s="2">
        <v>2343229206599</v>
      </c>
      <c r="F1415" s="2">
        <v>330011094</v>
      </c>
      <c r="G1415">
        <v>1176.43</v>
      </c>
      <c r="H1415">
        <v>1177.05</v>
      </c>
      <c r="I1415">
        <v>1122.1500000000001</v>
      </c>
      <c r="J1415">
        <v>3759848800</v>
      </c>
      <c r="K1415">
        <v>361010</v>
      </c>
      <c r="L1415" s="2">
        <f>VLOOKUP(A1415,[1]aaabonddata!$A:$B,2,0)</f>
        <v>2.16</v>
      </c>
    </row>
    <row r="1416" spans="1:12" x14ac:dyDescent="0.2">
      <c r="A1416" s="3">
        <v>40821</v>
      </c>
      <c r="B1416" s="2">
        <v>2182.77</v>
      </c>
      <c r="C1416" s="2">
        <v>2187.56</v>
      </c>
      <c r="D1416" s="2">
        <v>2106.62</v>
      </c>
      <c r="E1416" s="2">
        <v>2402166979884</v>
      </c>
      <c r="F1416" s="2">
        <v>45600062</v>
      </c>
      <c r="G1416">
        <v>1219.33</v>
      </c>
      <c r="H1416">
        <v>1222.19</v>
      </c>
      <c r="I1416">
        <v>1165.55</v>
      </c>
      <c r="J1416">
        <v>3896969380</v>
      </c>
      <c r="K1416">
        <v>304197</v>
      </c>
      <c r="L1416" s="2">
        <f>VLOOKUP(A1416,[1]aaabonddata!$A:$B,2,0)</f>
        <v>2.2400000000000002</v>
      </c>
    </row>
    <row r="1417" spans="1:12" x14ac:dyDescent="0.2">
      <c r="A1417" s="3">
        <v>40822</v>
      </c>
      <c r="B1417" s="2">
        <v>2217.9899999999998</v>
      </c>
      <c r="C1417" s="2">
        <v>2218.3000000000002</v>
      </c>
      <c r="D1417" s="2">
        <v>2169.5700000000002</v>
      </c>
      <c r="E1417" s="2">
        <v>2440928723955</v>
      </c>
      <c r="F1417" s="2">
        <v>0</v>
      </c>
      <c r="G1417">
        <v>1242.44</v>
      </c>
      <c r="H1417">
        <v>1242.82</v>
      </c>
      <c r="I1417">
        <v>1206.3399999999999</v>
      </c>
      <c r="J1417">
        <v>3970823632</v>
      </c>
      <c r="K1417">
        <v>0</v>
      </c>
      <c r="L1417" s="2">
        <f>VLOOKUP(A1417,[1]aaabonddata!$A:$B,2,0)</f>
        <v>2.29</v>
      </c>
    </row>
    <row r="1418" spans="1:12" x14ac:dyDescent="0.2">
      <c r="A1418" s="3">
        <v>40823</v>
      </c>
      <c r="B1418" s="2">
        <v>2202.7600000000002</v>
      </c>
      <c r="C1418" s="2">
        <v>2227.38</v>
      </c>
      <c r="D1418" s="2">
        <v>2190.2600000000002</v>
      </c>
      <c r="E1418" s="2">
        <v>2424171803043</v>
      </c>
      <c r="F1418" s="2">
        <v>303523020</v>
      </c>
      <c r="G1418">
        <v>1236.67</v>
      </c>
      <c r="H1418">
        <v>1252.3900000000001</v>
      </c>
      <c r="I1418">
        <v>1226.92</v>
      </c>
      <c r="J1418">
        <v>3952383712</v>
      </c>
      <c r="K1418">
        <v>205268</v>
      </c>
      <c r="L1418" s="2">
        <f>VLOOKUP(A1418,[1]aaabonddata!$A:$B,2,0)</f>
        <v>2.34</v>
      </c>
    </row>
    <row r="1419" spans="1:12" x14ac:dyDescent="0.2">
      <c r="A1419" s="3">
        <v>40826</v>
      </c>
      <c r="B1419" s="2">
        <v>2278.65</v>
      </c>
      <c r="C1419" s="2">
        <v>2278.7399999999998</v>
      </c>
      <c r="D1419" s="2">
        <v>2237.48</v>
      </c>
      <c r="E1419" s="2">
        <v>2507689727884</v>
      </c>
      <c r="F1419" s="2">
        <v>0</v>
      </c>
      <c r="G1419">
        <v>1274.06</v>
      </c>
      <c r="H1419">
        <v>1276.19</v>
      </c>
      <c r="I1419">
        <v>1255.03</v>
      </c>
      <c r="J1419">
        <v>4071890208</v>
      </c>
      <c r="K1419">
        <v>0</v>
      </c>
      <c r="L1419" s="2">
        <f>VLOOKUP(A1419,[1]aaabonddata!$A:$B,2,0)</f>
        <v>2.34</v>
      </c>
    </row>
    <row r="1420" spans="1:12" x14ac:dyDescent="0.2">
      <c r="A1420" s="3">
        <v>40827</v>
      </c>
      <c r="B1420" s="2">
        <v>2294.92</v>
      </c>
      <c r="C1420" s="2">
        <v>2300.6999999999998</v>
      </c>
      <c r="D1420" s="2">
        <v>2269.54</v>
      </c>
      <c r="E1420" s="2">
        <v>2525590721977</v>
      </c>
      <c r="F1420" s="2">
        <v>0</v>
      </c>
      <c r="G1420">
        <v>1278.6300000000001</v>
      </c>
      <c r="H1420">
        <v>1283.6400000000001</v>
      </c>
      <c r="I1420">
        <v>1264.55</v>
      </c>
      <c r="J1420">
        <v>4086501015</v>
      </c>
      <c r="K1420">
        <v>0</v>
      </c>
      <c r="L1420" s="2">
        <f>VLOOKUP(A1420,[1]aaabonddata!$A:$B,2,0)</f>
        <v>2.4</v>
      </c>
    </row>
    <row r="1421" spans="1:12" x14ac:dyDescent="0.2">
      <c r="A1421" s="3">
        <v>40828</v>
      </c>
      <c r="B1421" s="2">
        <v>2307.1799999999998</v>
      </c>
      <c r="C1421" s="2">
        <v>2331.91</v>
      </c>
      <c r="D1421" s="2">
        <v>2305.31</v>
      </c>
      <c r="E1421" s="2">
        <v>2539088690206</v>
      </c>
      <c r="F1421" s="2">
        <v>0</v>
      </c>
      <c r="G1421">
        <v>1287.22</v>
      </c>
      <c r="H1421">
        <v>1302.6600000000001</v>
      </c>
      <c r="I1421">
        <v>1286.51</v>
      </c>
      <c r="J1421">
        <v>4113936384</v>
      </c>
      <c r="K1421">
        <v>0</v>
      </c>
      <c r="L1421" s="2">
        <f>VLOOKUP(A1421,[1]aaabonddata!$A:$B,2,0)</f>
        <v>2.42</v>
      </c>
    </row>
    <row r="1422" spans="1:12" x14ac:dyDescent="0.2">
      <c r="A1422" s="3">
        <v>40829</v>
      </c>
      <c r="B1422" s="2">
        <v>2326.88</v>
      </c>
      <c r="C1422" s="2">
        <v>2330.64</v>
      </c>
      <c r="D1422" s="2">
        <v>2299.73</v>
      </c>
      <c r="E1422" s="2">
        <v>2560761317168</v>
      </c>
      <c r="F1422" s="2">
        <v>0</v>
      </c>
      <c r="G1422">
        <v>1306.76</v>
      </c>
      <c r="H1422">
        <v>1309.9100000000001</v>
      </c>
      <c r="I1422">
        <v>1281.77</v>
      </c>
      <c r="J1422">
        <v>4176396178</v>
      </c>
      <c r="K1422">
        <v>0</v>
      </c>
      <c r="L1422" s="2">
        <f>VLOOKUP(A1422,[1]aaabonddata!$A:$B,2,0)</f>
        <v>2.37</v>
      </c>
    </row>
    <row r="1423" spans="1:12" x14ac:dyDescent="0.2">
      <c r="A1423" s="3">
        <v>40830</v>
      </c>
      <c r="B1423" s="2">
        <v>2371.94</v>
      </c>
      <c r="C1423" s="2">
        <v>2371.94</v>
      </c>
      <c r="D1423" s="2">
        <v>2344.7399999999998</v>
      </c>
      <c r="E1423" s="2">
        <v>2610353402438</v>
      </c>
      <c r="F1423" s="2">
        <v>0</v>
      </c>
      <c r="G1423">
        <v>1325.78</v>
      </c>
      <c r="H1423">
        <v>1326.91</v>
      </c>
      <c r="I1423">
        <v>1307.26</v>
      </c>
      <c r="J1423">
        <v>4237185528</v>
      </c>
      <c r="K1423">
        <v>0</v>
      </c>
      <c r="L1423" s="2">
        <f>VLOOKUP(A1423,[1]aaabonddata!$A:$B,2,0)</f>
        <v>2.39</v>
      </c>
    </row>
    <row r="1424" spans="1:12" x14ac:dyDescent="0.2">
      <c r="A1424" s="3">
        <v>40833</v>
      </c>
      <c r="B1424" s="2">
        <v>2334.38</v>
      </c>
      <c r="C1424" s="2">
        <v>2367.21</v>
      </c>
      <c r="D1424" s="2">
        <v>2322.5300000000002</v>
      </c>
      <c r="E1424" s="2">
        <v>2569022830809</v>
      </c>
      <c r="F1424" s="2">
        <v>0</v>
      </c>
      <c r="G1424">
        <v>1296.1400000000001</v>
      </c>
      <c r="H1424">
        <v>1320.37</v>
      </c>
      <c r="I1424">
        <v>1290.3699999999999</v>
      </c>
      <c r="J1424">
        <v>4142459951</v>
      </c>
      <c r="K1424">
        <v>0</v>
      </c>
      <c r="L1424" s="2">
        <f>VLOOKUP(A1424,[1]aaabonddata!$A:$B,2,0)</f>
        <v>2.33</v>
      </c>
    </row>
    <row r="1425" spans="1:12" x14ac:dyDescent="0.2">
      <c r="A1425" s="3">
        <v>40834</v>
      </c>
      <c r="B1425" s="2">
        <v>2364.87</v>
      </c>
      <c r="C1425" s="2">
        <v>2375.2600000000002</v>
      </c>
      <c r="D1425" s="2">
        <v>2309.88</v>
      </c>
      <c r="E1425" s="2">
        <v>2602568760504</v>
      </c>
      <c r="F1425" s="2">
        <v>0</v>
      </c>
      <c r="G1425">
        <v>1317.81</v>
      </c>
      <c r="H1425">
        <v>1323.44</v>
      </c>
      <c r="I1425">
        <v>1276.3900000000001</v>
      </c>
      <c r="J1425">
        <v>4211714652</v>
      </c>
      <c r="K1425">
        <v>0</v>
      </c>
      <c r="L1425" s="2">
        <f>VLOOKUP(A1425,[1]aaabonddata!$A:$B,2,0)</f>
        <v>2.3199999999999998</v>
      </c>
    </row>
    <row r="1426" spans="1:12" x14ac:dyDescent="0.2">
      <c r="A1426" s="3">
        <v>40835</v>
      </c>
      <c r="B1426" s="2">
        <v>2316.81</v>
      </c>
      <c r="C1426" s="2">
        <v>2357.5500000000002</v>
      </c>
      <c r="D1426" s="2">
        <v>2310.65</v>
      </c>
      <c r="E1426" s="2">
        <v>2549678593869</v>
      </c>
      <c r="F1426" s="2">
        <v>25517756</v>
      </c>
      <c r="G1426">
        <v>1291.19</v>
      </c>
      <c r="H1426">
        <v>1317.22</v>
      </c>
      <c r="I1426">
        <v>1288.1400000000001</v>
      </c>
      <c r="J1426">
        <v>4126633300</v>
      </c>
      <c r="K1426">
        <v>598538</v>
      </c>
      <c r="L1426" s="2">
        <f>VLOOKUP(A1426,[1]aaabonddata!$A:$B,2,0)</f>
        <v>2.31</v>
      </c>
    </row>
    <row r="1427" spans="1:12" x14ac:dyDescent="0.2">
      <c r="A1427" s="3">
        <v>40836</v>
      </c>
      <c r="B1427" s="2">
        <v>2306.29</v>
      </c>
      <c r="C1427" s="2">
        <v>2317.34</v>
      </c>
      <c r="D1427" s="2">
        <v>2274.4899999999998</v>
      </c>
      <c r="E1427" s="2">
        <v>2538108300999</v>
      </c>
      <c r="F1427" s="2">
        <v>0</v>
      </c>
      <c r="G1427">
        <v>1281.22</v>
      </c>
      <c r="H1427">
        <v>1287.1500000000001</v>
      </c>
      <c r="I1427">
        <v>1258.52</v>
      </c>
      <c r="J1427">
        <v>4094751435</v>
      </c>
      <c r="K1427">
        <v>0</v>
      </c>
      <c r="L1427" s="2">
        <f>VLOOKUP(A1427,[1]aaabonddata!$A:$B,2,0)</f>
        <v>2.3199999999999998</v>
      </c>
    </row>
    <row r="1428" spans="1:12" x14ac:dyDescent="0.2">
      <c r="A1428" s="3">
        <v>40837</v>
      </c>
      <c r="B1428" s="2">
        <v>2335.9299999999998</v>
      </c>
      <c r="C1428" s="2">
        <v>2349.79</v>
      </c>
      <c r="D1428" s="2">
        <v>2314.77</v>
      </c>
      <c r="E1428" s="2">
        <v>2570723665185</v>
      </c>
      <c r="F1428" s="2">
        <v>0</v>
      </c>
      <c r="G1428">
        <v>1313.11</v>
      </c>
      <c r="H1428">
        <v>1319.33</v>
      </c>
      <c r="I1428">
        <v>1300.32</v>
      </c>
      <c r="J1428">
        <v>4196688356</v>
      </c>
      <c r="K1428">
        <v>0</v>
      </c>
      <c r="L1428" s="2">
        <f>VLOOKUP(A1428,[1]aaabonddata!$A:$B,2,0)</f>
        <v>2.2999999999999998</v>
      </c>
    </row>
    <row r="1429" spans="1:12" x14ac:dyDescent="0.2">
      <c r="A1429" s="3">
        <v>40840</v>
      </c>
      <c r="B1429" s="2">
        <v>2384.42</v>
      </c>
      <c r="C1429" s="2">
        <v>2389.91</v>
      </c>
      <c r="D1429" s="2">
        <v>2341.15</v>
      </c>
      <c r="E1429" s="2">
        <v>2624086875469</v>
      </c>
      <c r="F1429" s="2">
        <v>41316985</v>
      </c>
      <c r="G1429">
        <v>1348.26</v>
      </c>
      <c r="H1429">
        <v>1351.48</v>
      </c>
      <c r="I1429">
        <v>1319.06</v>
      </c>
      <c r="J1429">
        <v>4309032217</v>
      </c>
      <c r="K1429">
        <v>0</v>
      </c>
      <c r="L1429" s="2">
        <f>VLOOKUP(A1429,[1]aaabonddata!$A:$B,2,0)</f>
        <v>2.2999999999999998</v>
      </c>
    </row>
    <row r="1430" spans="1:12" x14ac:dyDescent="0.2">
      <c r="A1430" s="3">
        <v>40841</v>
      </c>
      <c r="B1430" s="2">
        <v>2335.87</v>
      </c>
      <c r="C1430" s="2">
        <v>2375.5300000000002</v>
      </c>
      <c r="D1430" s="2">
        <v>2332.1799999999998</v>
      </c>
      <c r="E1430" s="2">
        <v>2570661180792</v>
      </c>
      <c r="F1430" s="2">
        <v>0</v>
      </c>
      <c r="G1430">
        <v>1325.81</v>
      </c>
      <c r="H1430">
        <v>1348.95</v>
      </c>
      <c r="I1430">
        <v>1323.48</v>
      </c>
      <c r="J1430">
        <v>4237262324</v>
      </c>
      <c r="K1430">
        <v>0</v>
      </c>
      <c r="L1430" s="2">
        <f>VLOOKUP(A1430,[1]aaabonddata!$A:$B,2,0)</f>
        <v>2.23</v>
      </c>
    </row>
    <row r="1431" spans="1:12" x14ac:dyDescent="0.2">
      <c r="A1431" s="3">
        <v>40842</v>
      </c>
      <c r="B1431" s="2">
        <v>2334.79</v>
      </c>
      <c r="C1431" s="2">
        <v>2355.02</v>
      </c>
      <c r="D1431" s="2">
        <v>2291.7800000000002</v>
      </c>
      <c r="E1431" s="2">
        <v>2569470846435</v>
      </c>
      <c r="F1431" s="2">
        <v>0</v>
      </c>
      <c r="G1431">
        <v>1334.02</v>
      </c>
      <c r="H1431">
        <v>1346.85</v>
      </c>
      <c r="I1431">
        <v>1305.01</v>
      </c>
      <c r="J1431">
        <v>4263513327</v>
      </c>
      <c r="K1431">
        <v>0</v>
      </c>
      <c r="L1431" s="2">
        <f>VLOOKUP(A1431,[1]aaabonddata!$A:$B,2,0)</f>
        <v>2.2799999999999998</v>
      </c>
    </row>
    <row r="1432" spans="1:12" x14ac:dyDescent="0.2">
      <c r="A1432" s="3">
        <v>40843</v>
      </c>
      <c r="B1432" s="2">
        <v>2399.83</v>
      </c>
      <c r="C1432" s="2">
        <v>2412.52</v>
      </c>
      <c r="D1432" s="2">
        <v>2365.91</v>
      </c>
      <c r="E1432" s="2">
        <v>2641049885159</v>
      </c>
      <c r="F1432" s="2">
        <v>0</v>
      </c>
      <c r="G1432">
        <v>1384.15</v>
      </c>
      <c r="H1432">
        <v>1392.92</v>
      </c>
      <c r="I1432">
        <v>1358.63</v>
      </c>
      <c r="J1432">
        <v>4423721869</v>
      </c>
      <c r="K1432">
        <v>0</v>
      </c>
      <c r="L1432" s="2">
        <f>VLOOKUP(A1432,[1]aaabonddata!$A:$B,2,0)</f>
        <v>2.34</v>
      </c>
    </row>
    <row r="1433" spans="1:12" x14ac:dyDescent="0.2">
      <c r="A1433" s="3">
        <v>40844</v>
      </c>
      <c r="B1433" s="2">
        <v>2401.29</v>
      </c>
      <c r="C1433" s="2">
        <v>2404.8000000000002</v>
      </c>
      <c r="D1433" s="2">
        <v>2384.9699999999998</v>
      </c>
      <c r="E1433" s="2">
        <v>2642653346900</v>
      </c>
      <c r="F1433" s="2">
        <v>116059430</v>
      </c>
      <c r="G1433">
        <v>1389.7</v>
      </c>
      <c r="H1433">
        <v>1391.89</v>
      </c>
      <c r="I1433">
        <v>1372.29</v>
      </c>
      <c r="J1433">
        <v>4441469031</v>
      </c>
      <c r="K1433">
        <v>0</v>
      </c>
      <c r="L1433" s="2">
        <f>VLOOKUP(A1433,[1]aaabonddata!$A:$B,2,0)</f>
        <v>2.2799999999999998</v>
      </c>
    </row>
    <row r="1434" spans="1:12" x14ac:dyDescent="0.2">
      <c r="A1434" s="3">
        <v>40847</v>
      </c>
      <c r="B1434" s="2">
        <v>2360.08</v>
      </c>
      <c r="C1434" s="2">
        <v>2389.29</v>
      </c>
      <c r="D1434" s="2">
        <v>2359.85</v>
      </c>
      <c r="E1434" s="2">
        <v>2597299149475</v>
      </c>
      <c r="F1434" s="2">
        <v>62474285</v>
      </c>
      <c r="G1434">
        <v>1355.84</v>
      </c>
      <c r="H1434">
        <v>1373.84</v>
      </c>
      <c r="I1434">
        <v>1355.84</v>
      </c>
      <c r="J1434">
        <v>4333245825</v>
      </c>
      <c r="K1434">
        <v>0</v>
      </c>
      <c r="L1434" s="2">
        <f>VLOOKUP(A1434,[1]aaabonddata!$A:$B,2,0)</f>
        <v>2.21</v>
      </c>
    </row>
    <row r="1435" spans="1:12" x14ac:dyDescent="0.2">
      <c r="A1435" s="3">
        <v>40848</v>
      </c>
      <c r="B1435" s="2">
        <v>2298.37</v>
      </c>
      <c r="C1435" s="2">
        <v>2321.36</v>
      </c>
      <c r="D1435" s="2">
        <v>2287.7399999999998</v>
      </c>
      <c r="E1435" s="2">
        <v>2529384835046</v>
      </c>
      <c r="F1435" s="2">
        <v>75518392</v>
      </c>
      <c r="G1435">
        <v>1316.28</v>
      </c>
      <c r="H1435">
        <v>1330.72</v>
      </c>
      <c r="I1435">
        <v>1308.21</v>
      </c>
      <c r="J1435">
        <v>4206811922</v>
      </c>
      <c r="K1435">
        <v>1497504</v>
      </c>
      <c r="L1435" s="2">
        <f>VLOOKUP(A1435,[1]aaabonddata!$A:$B,2,0)</f>
        <v>2.11</v>
      </c>
    </row>
    <row r="1436" spans="1:12" x14ac:dyDescent="0.2">
      <c r="A1436" s="3">
        <v>40849</v>
      </c>
      <c r="B1436" s="2">
        <v>2318.3200000000002</v>
      </c>
      <c r="C1436" s="2">
        <v>2329.06</v>
      </c>
      <c r="D1436" s="2">
        <v>2298.71</v>
      </c>
      <c r="E1436" s="2">
        <v>2551347595704</v>
      </c>
      <c r="F1436" s="2">
        <v>0</v>
      </c>
      <c r="G1436">
        <v>1332.72</v>
      </c>
      <c r="H1436">
        <v>1341.43</v>
      </c>
      <c r="I1436">
        <v>1321.37</v>
      </c>
      <c r="J1436">
        <v>4259358276</v>
      </c>
      <c r="K1436">
        <v>0</v>
      </c>
      <c r="L1436" s="2">
        <f>VLOOKUP(A1436,[1]aaabonddata!$A:$B,2,0)</f>
        <v>2.13</v>
      </c>
    </row>
    <row r="1437" spans="1:12" x14ac:dyDescent="0.2">
      <c r="A1437" s="3">
        <v>40850</v>
      </c>
      <c r="B1437" s="2">
        <v>2367.71</v>
      </c>
      <c r="C1437" s="2">
        <v>2369.77</v>
      </c>
      <c r="D1437" s="2">
        <v>2311.1999999999998</v>
      </c>
      <c r="E1437" s="2">
        <v>2605700728132</v>
      </c>
      <c r="F1437" s="2">
        <v>1102710000</v>
      </c>
      <c r="G1437">
        <v>1370.42</v>
      </c>
      <c r="H1437">
        <v>1372.44</v>
      </c>
      <c r="I1437">
        <v>1324.07</v>
      </c>
      <c r="J1437">
        <v>4379835678</v>
      </c>
      <c r="K1437">
        <v>955848</v>
      </c>
      <c r="L1437" s="2">
        <f>VLOOKUP(A1437,[1]aaabonddata!$A:$B,2,0)</f>
        <v>2.17</v>
      </c>
    </row>
    <row r="1438" spans="1:12" x14ac:dyDescent="0.2">
      <c r="A1438" s="3">
        <v>40851</v>
      </c>
      <c r="B1438" s="2">
        <v>2356.3200000000002</v>
      </c>
      <c r="C1438" s="2">
        <v>2364.37</v>
      </c>
      <c r="D1438" s="2">
        <v>2331.46</v>
      </c>
      <c r="E1438" s="2">
        <v>2593162347739</v>
      </c>
      <c r="F1438" s="2">
        <v>0</v>
      </c>
      <c r="G1438">
        <v>1376.96</v>
      </c>
      <c r="H1438">
        <v>1380.55</v>
      </c>
      <c r="I1438">
        <v>1352.48</v>
      </c>
      <c r="J1438">
        <v>4400746166</v>
      </c>
      <c r="K1438">
        <v>0</v>
      </c>
      <c r="L1438" s="2">
        <f>VLOOKUP(A1438,[1]aaabonddata!$A:$B,2,0)</f>
        <v>2.16</v>
      </c>
    </row>
    <row r="1439" spans="1:12" x14ac:dyDescent="0.2">
      <c r="A1439" s="3">
        <v>40854</v>
      </c>
      <c r="B1439" s="2">
        <v>2371.04</v>
      </c>
      <c r="C1439" s="2">
        <v>2372.7199999999998</v>
      </c>
      <c r="D1439" s="2">
        <v>2329.6799999999998</v>
      </c>
      <c r="E1439" s="2">
        <v>2609363062961</v>
      </c>
      <c r="F1439" s="2">
        <v>50380163</v>
      </c>
      <c r="G1439">
        <v>1378.72</v>
      </c>
      <c r="H1439">
        <v>1380.12</v>
      </c>
      <c r="I1439">
        <v>1352.89</v>
      </c>
      <c r="J1439">
        <v>4406359956</v>
      </c>
      <c r="K1439">
        <v>598613</v>
      </c>
      <c r="L1439" s="2">
        <f>VLOOKUP(A1439,[1]aaabonddata!$A:$B,2,0)</f>
        <v>2.12</v>
      </c>
    </row>
    <row r="1440" spans="1:12" x14ac:dyDescent="0.2">
      <c r="A1440" s="3">
        <v>40855</v>
      </c>
      <c r="B1440" s="2">
        <v>2400.0100000000002</v>
      </c>
      <c r="C1440" s="2">
        <v>2402.5100000000002</v>
      </c>
      <c r="D1440" s="2">
        <v>2362.23</v>
      </c>
      <c r="E1440" s="2">
        <v>2641247117151</v>
      </c>
      <c r="F1440" s="2">
        <v>130995159</v>
      </c>
      <c r="G1440">
        <v>1393.76</v>
      </c>
      <c r="H1440">
        <v>1397.62</v>
      </c>
      <c r="I1440">
        <v>1370.92</v>
      </c>
      <c r="J1440">
        <v>4454456245</v>
      </c>
      <c r="K1440">
        <v>209205</v>
      </c>
      <c r="L1440" s="2">
        <f>VLOOKUP(A1440,[1]aaabonddata!$A:$B,2,0)</f>
        <v>2.1800000000000002</v>
      </c>
    </row>
    <row r="1441" spans="1:12" x14ac:dyDescent="0.2">
      <c r="A1441" s="3">
        <v>40856</v>
      </c>
      <c r="B1441" s="2">
        <v>2314.1</v>
      </c>
      <c r="C1441" s="2">
        <v>2354.9</v>
      </c>
      <c r="D1441" s="2">
        <v>2307.7800000000002</v>
      </c>
      <c r="E1441" s="2">
        <v>2546700648566</v>
      </c>
      <c r="F1441" s="2">
        <v>211814335</v>
      </c>
      <c r="G1441">
        <v>1333.45</v>
      </c>
      <c r="H1441">
        <v>1359.68</v>
      </c>
      <c r="I1441">
        <v>1329.59</v>
      </c>
      <c r="J1441">
        <v>4261688805</v>
      </c>
      <c r="K1441">
        <v>889453</v>
      </c>
      <c r="L1441" s="2">
        <f>VLOOKUP(A1441,[1]aaabonddata!$A:$B,2,0)</f>
        <v>2.14</v>
      </c>
    </row>
    <row r="1442" spans="1:12" x14ac:dyDescent="0.2">
      <c r="A1442" s="3">
        <v>40857</v>
      </c>
      <c r="B1442" s="2">
        <v>2312.0700000000002</v>
      </c>
      <c r="C1442" s="2">
        <v>2338.91</v>
      </c>
      <c r="D1442" s="2">
        <v>2290.5300000000002</v>
      </c>
      <c r="E1442" s="2">
        <v>2544465852321</v>
      </c>
      <c r="F1442" s="2">
        <v>0</v>
      </c>
      <c r="G1442">
        <v>1340.25</v>
      </c>
      <c r="H1442">
        <v>1352.58</v>
      </c>
      <c r="I1442">
        <v>1322.39</v>
      </c>
      <c r="J1442">
        <v>4283418783</v>
      </c>
      <c r="K1442">
        <v>0</v>
      </c>
      <c r="L1442" s="2">
        <f>VLOOKUP(A1442,[1]aaabonddata!$A:$B,2,0)</f>
        <v>2.2000000000000002</v>
      </c>
    </row>
    <row r="1443" spans="1:12" x14ac:dyDescent="0.2">
      <c r="A1443" s="3">
        <v>40858</v>
      </c>
      <c r="B1443" s="2">
        <v>2355.7800000000002</v>
      </c>
      <c r="C1443" s="2">
        <v>2363.12</v>
      </c>
      <c r="D1443" s="2">
        <v>2330.63</v>
      </c>
      <c r="E1443" s="2">
        <v>2592570877683</v>
      </c>
      <c r="F1443" s="2">
        <v>0</v>
      </c>
      <c r="G1443">
        <v>1376.88</v>
      </c>
      <c r="H1443">
        <v>1381.74</v>
      </c>
      <c r="I1443">
        <v>1356</v>
      </c>
      <c r="J1443">
        <v>4400496109</v>
      </c>
      <c r="K1443">
        <v>0</v>
      </c>
      <c r="L1443" s="2">
        <f>VLOOKUP(A1443,[1]aaabonddata!$A:$B,2,0)</f>
        <v>2.2000000000000002</v>
      </c>
    </row>
    <row r="1444" spans="1:12" x14ac:dyDescent="0.2">
      <c r="A1444" s="3">
        <v>40861</v>
      </c>
      <c r="B1444" s="2">
        <v>2341.3200000000002</v>
      </c>
      <c r="C1444" s="2">
        <v>2362.46</v>
      </c>
      <c r="D1444" s="2">
        <v>2333.5500000000002</v>
      </c>
      <c r="E1444" s="2">
        <v>2576659360894</v>
      </c>
      <c r="F1444" s="2">
        <v>0</v>
      </c>
      <c r="G1444">
        <v>1364.36</v>
      </c>
      <c r="H1444">
        <v>1383.47</v>
      </c>
      <c r="I1444">
        <v>1359.67</v>
      </c>
      <c r="J1444">
        <v>4360473413</v>
      </c>
      <c r="K1444">
        <v>0</v>
      </c>
      <c r="L1444" s="2">
        <f>VLOOKUP(A1444,[1]aaabonddata!$A:$B,2,0)</f>
        <v>2.19</v>
      </c>
    </row>
    <row r="1445" spans="1:12" x14ac:dyDescent="0.2">
      <c r="A1445" s="3">
        <v>40862</v>
      </c>
      <c r="B1445" s="2">
        <v>2366.2399999999998</v>
      </c>
      <c r="C1445" s="2">
        <v>2375.1</v>
      </c>
      <c r="D1445" s="2">
        <v>2331.75</v>
      </c>
      <c r="E1445" s="2">
        <v>2604084137584</v>
      </c>
      <c r="F1445" s="2">
        <v>2061235735</v>
      </c>
      <c r="G1445">
        <v>1381.2</v>
      </c>
      <c r="H1445">
        <v>1388.38</v>
      </c>
      <c r="I1445">
        <v>1357.52</v>
      </c>
      <c r="J1445">
        <v>4414312378</v>
      </c>
      <c r="K1445">
        <v>737463</v>
      </c>
      <c r="L1445" s="2">
        <f>VLOOKUP(A1445,[1]aaabonddata!$A:$B,2,0)</f>
        <v>2.21</v>
      </c>
    </row>
    <row r="1446" spans="1:12" x14ac:dyDescent="0.2">
      <c r="A1446" s="3">
        <v>40863</v>
      </c>
      <c r="B1446" s="2">
        <v>2324.37</v>
      </c>
      <c r="C1446" s="2">
        <v>2365.13</v>
      </c>
      <c r="D1446" s="2">
        <v>2322.0500000000002</v>
      </c>
      <c r="E1446" s="2">
        <v>2557442548853</v>
      </c>
      <c r="F1446" s="2">
        <v>137896984</v>
      </c>
      <c r="G1446">
        <v>1365.98</v>
      </c>
      <c r="H1446">
        <v>1389.04</v>
      </c>
      <c r="I1446">
        <v>1358.98</v>
      </c>
      <c r="J1446">
        <v>4365642509</v>
      </c>
      <c r="K1446">
        <v>785340</v>
      </c>
      <c r="L1446" s="2">
        <f>VLOOKUP(A1446,[1]aaabonddata!$A:$B,2,0)</f>
        <v>2.21</v>
      </c>
    </row>
    <row r="1447" spans="1:12" x14ac:dyDescent="0.2">
      <c r="A1447" s="3">
        <v>40864</v>
      </c>
      <c r="B1447" s="2">
        <v>2272.09</v>
      </c>
      <c r="C1447" s="2">
        <v>2320.81</v>
      </c>
      <c r="D1447" s="2">
        <v>2257.92</v>
      </c>
      <c r="E1447" s="2">
        <v>2499922467774</v>
      </c>
      <c r="F1447" s="2">
        <v>75912284</v>
      </c>
      <c r="G1447">
        <v>1318.65</v>
      </c>
      <c r="H1447">
        <v>1359.68</v>
      </c>
      <c r="I1447">
        <v>1305.51</v>
      </c>
      <c r="J1447">
        <v>4214379967</v>
      </c>
      <c r="K1447">
        <v>1007235</v>
      </c>
      <c r="L1447" s="2">
        <f>VLOOKUP(A1447,[1]aaabonddata!$A:$B,2,0)</f>
        <v>2.2000000000000002</v>
      </c>
    </row>
    <row r="1448" spans="1:12" x14ac:dyDescent="0.2">
      <c r="A1448" s="3">
        <v>40865</v>
      </c>
      <c r="B1448" s="2">
        <v>2253.9499999999998</v>
      </c>
      <c r="C1448" s="2">
        <v>2274.62</v>
      </c>
      <c r="D1448" s="2">
        <v>2250.94</v>
      </c>
      <c r="E1448" s="2">
        <v>2479959098829</v>
      </c>
      <c r="F1448" s="2">
        <v>25234808</v>
      </c>
      <c r="G1448">
        <v>1304.99</v>
      </c>
      <c r="H1448">
        <v>1323.01</v>
      </c>
      <c r="I1448">
        <v>1301.31</v>
      </c>
      <c r="J1448">
        <v>4170744763</v>
      </c>
      <c r="K1448">
        <v>235294</v>
      </c>
      <c r="L1448" s="2">
        <f>VLOOKUP(A1448,[1]aaabonddata!$A:$B,2,0)</f>
        <v>2.2400000000000002</v>
      </c>
    </row>
    <row r="1449" spans="1:12" x14ac:dyDescent="0.2">
      <c r="A1449" s="3">
        <v>40868</v>
      </c>
      <c r="B1449" s="2">
        <v>2211.14</v>
      </c>
      <c r="C1449" s="2">
        <v>2225.54</v>
      </c>
      <c r="D1449" s="2">
        <v>2188.14</v>
      </c>
      <c r="E1449" s="2">
        <v>2432857828629</v>
      </c>
      <c r="F1449" s="2">
        <v>1156148507</v>
      </c>
      <c r="G1449">
        <v>1280.94</v>
      </c>
      <c r="H1449">
        <v>1287.79</v>
      </c>
      <c r="I1449">
        <v>1263.5</v>
      </c>
      <c r="J1449">
        <v>4093864429</v>
      </c>
      <c r="K1449">
        <v>1959430</v>
      </c>
      <c r="L1449" s="2">
        <f>VLOOKUP(A1449,[1]aaabonddata!$A:$B,2,0)</f>
        <v>2.2200000000000002</v>
      </c>
    </row>
    <row r="1450" spans="1:12" x14ac:dyDescent="0.2">
      <c r="A1450" s="3">
        <v>40869</v>
      </c>
      <c r="B1450" s="2">
        <v>2216.33</v>
      </c>
      <c r="C1450" s="2">
        <v>2224.04</v>
      </c>
      <c r="D1450" s="2">
        <v>2191.87</v>
      </c>
      <c r="E1450" s="2">
        <v>2438561819513</v>
      </c>
      <c r="F1450" s="2">
        <v>0</v>
      </c>
      <c r="G1450">
        <v>1273.51</v>
      </c>
      <c r="H1450">
        <v>1288.27</v>
      </c>
      <c r="I1450">
        <v>1262.8499999999999</v>
      </c>
      <c r="J1450">
        <v>4070118323</v>
      </c>
      <c r="K1450">
        <v>0</v>
      </c>
      <c r="L1450" s="2">
        <f>VLOOKUP(A1450,[1]aaabonddata!$A:$B,2,0)</f>
        <v>2.2200000000000002</v>
      </c>
    </row>
    <row r="1451" spans="1:12" x14ac:dyDescent="0.2">
      <c r="A1451" s="3">
        <v>40870</v>
      </c>
      <c r="B1451" s="2">
        <v>2166.54</v>
      </c>
      <c r="C1451" s="2">
        <v>2203.14</v>
      </c>
      <c r="D1451" s="2">
        <v>2166.54</v>
      </c>
      <c r="E1451" s="2">
        <v>2383784194565</v>
      </c>
      <c r="F1451" s="2">
        <v>0</v>
      </c>
      <c r="G1451">
        <v>1239.17</v>
      </c>
      <c r="H1451">
        <v>1263.8499999999999</v>
      </c>
      <c r="I1451">
        <v>1239.17</v>
      </c>
      <c r="J1451">
        <v>3960384284</v>
      </c>
      <c r="K1451">
        <v>0</v>
      </c>
      <c r="L1451" s="2">
        <f>VLOOKUP(A1451,[1]aaabonddata!$A:$B,2,0)</f>
        <v>2.19</v>
      </c>
    </row>
    <row r="1452" spans="1:12" x14ac:dyDescent="0.2">
      <c r="A1452" s="3">
        <v>40872</v>
      </c>
      <c r="B1452" s="2">
        <v>2150.88</v>
      </c>
      <c r="C1452" s="2">
        <v>2182.2800000000002</v>
      </c>
      <c r="D1452" s="2">
        <v>2150.71</v>
      </c>
      <c r="E1452" s="2">
        <v>2366558833435</v>
      </c>
      <c r="F1452" s="2">
        <v>25730387</v>
      </c>
      <c r="G1452">
        <v>1229.9000000000001</v>
      </c>
      <c r="H1452">
        <v>1251.4000000000001</v>
      </c>
      <c r="I1452">
        <v>1229.6300000000001</v>
      </c>
      <c r="J1452">
        <v>3930742092</v>
      </c>
      <c r="K1452">
        <v>0</v>
      </c>
      <c r="L1452" s="2">
        <f>VLOOKUP(A1452,[1]aaabonddata!$A:$B,2,0)</f>
        <v>2.2400000000000002</v>
      </c>
    </row>
    <row r="1453" spans="1:12" x14ac:dyDescent="0.2">
      <c r="A1453" s="3">
        <v>40875</v>
      </c>
      <c r="B1453" s="2">
        <v>2224.2199999999998</v>
      </c>
      <c r="C1453" s="2">
        <v>2227.81</v>
      </c>
      <c r="D1453" s="2">
        <v>2206.69</v>
      </c>
      <c r="E1453" s="2">
        <v>2447246600318</v>
      </c>
      <c r="F1453" s="2">
        <v>78864783</v>
      </c>
      <c r="G1453">
        <v>1273.8399999999999</v>
      </c>
      <c r="H1453">
        <v>1279.69</v>
      </c>
      <c r="I1453">
        <v>1263.18</v>
      </c>
      <c r="J1453">
        <v>4071194101</v>
      </c>
      <c r="K1453">
        <v>0</v>
      </c>
      <c r="L1453" s="2">
        <f>VLOOKUP(A1453,[1]aaabonddata!$A:$B,2,0)</f>
        <v>2.2400000000000002</v>
      </c>
    </row>
    <row r="1454" spans="1:12" x14ac:dyDescent="0.2">
      <c r="A1454" s="3">
        <v>40876</v>
      </c>
      <c r="B1454" s="2">
        <v>2211.39</v>
      </c>
      <c r="C1454" s="2">
        <v>2240.63</v>
      </c>
      <c r="D1454" s="2">
        <v>2205.77</v>
      </c>
      <c r="E1454" s="2">
        <v>2433133622275</v>
      </c>
      <c r="F1454" s="2">
        <v>74996243</v>
      </c>
      <c r="G1454">
        <v>1268.23</v>
      </c>
      <c r="H1454">
        <v>1287.6600000000001</v>
      </c>
      <c r="I1454">
        <v>1264.99</v>
      </c>
      <c r="J1454">
        <v>4053258174</v>
      </c>
      <c r="K1454">
        <v>0</v>
      </c>
      <c r="L1454" s="2">
        <f>VLOOKUP(A1454,[1]aaabonddata!$A:$B,2,0)</f>
        <v>2.25</v>
      </c>
    </row>
    <row r="1455" spans="1:12" x14ac:dyDescent="0.2">
      <c r="A1455" s="3">
        <v>40877</v>
      </c>
      <c r="B1455" s="2">
        <v>2295.1999999999998</v>
      </c>
      <c r="C1455" s="2">
        <v>2295.35</v>
      </c>
      <c r="D1455" s="2">
        <v>2264.7199999999998</v>
      </c>
      <c r="E1455" s="2">
        <v>2525348445608</v>
      </c>
      <c r="F1455" s="2">
        <v>43290000</v>
      </c>
      <c r="G1455">
        <v>1330.22</v>
      </c>
      <c r="H1455">
        <v>1331.03</v>
      </c>
      <c r="I1455">
        <v>1302.44</v>
      </c>
      <c r="J1455">
        <v>4251362032</v>
      </c>
      <c r="K1455">
        <v>252312</v>
      </c>
      <c r="L1455" s="2">
        <f>VLOOKUP(A1455,[1]aaabonddata!$A:$B,2,0)</f>
        <v>2.29</v>
      </c>
    </row>
    <row r="1456" spans="1:12" x14ac:dyDescent="0.2">
      <c r="A1456" s="3">
        <v>40878</v>
      </c>
      <c r="B1456" s="2">
        <v>2309.1999999999998</v>
      </c>
      <c r="C1456" s="2">
        <v>2314.9</v>
      </c>
      <c r="D1456" s="2">
        <v>2292.2600000000002</v>
      </c>
      <c r="E1456" s="2">
        <v>2540749438993</v>
      </c>
      <c r="F1456" s="2">
        <v>18381926</v>
      </c>
      <c r="G1456">
        <v>1337.06</v>
      </c>
      <c r="H1456">
        <v>1340.53</v>
      </c>
      <c r="I1456">
        <v>1322.99</v>
      </c>
      <c r="J1456">
        <v>4273242023</v>
      </c>
      <c r="K1456">
        <v>0</v>
      </c>
      <c r="L1456" s="2">
        <f>VLOOKUP(A1456,[1]aaabonddata!$A:$B,2,0)</f>
        <v>2.37</v>
      </c>
    </row>
    <row r="1457" spans="1:12" x14ac:dyDescent="0.2">
      <c r="A1457" s="3">
        <v>40879</v>
      </c>
      <c r="B1457" s="2">
        <v>2302.04</v>
      </c>
      <c r="C1457" s="2">
        <v>2331.12</v>
      </c>
      <c r="D1457" s="2">
        <v>2301.25</v>
      </c>
      <c r="E1457" s="2">
        <v>2532867437131</v>
      </c>
      <c r="F1457" s="2">
        <v>0</v>
      </c>
      <c r="G1457">
        <v>1327.07</v>
      </c>
      <c r="H1457">
        <v>1349.18</v>
      </c>
      <c r="I1457">
        <v>1326.08</v>
      </c>
      <c r="J1457">
        <v>4241294547</v>
      </c>
      <c r="K1457">
        <v>0</v>
      </c>
      <c r="L1457" s="2">
        <f>VLOOKUP(A1457,[1]aaabonddata!$A:$B,2,0)</f>
        <v>2.31</v>
      </c>
    </row>
    <row r="1458" spans="1:12" x14ac:dyDescent="0.2">
      <c r="A1458" s="3">
        <v>40882</v>
      </c>
      <c r="B1458" s="2">
        <v>2326.9499999999998</v>
      </c>
      <c r="C1458" s="2">
        <v>2343.1</v>
      </c>
      <c r="D1458" s="2">
        <v>2315.1799999999998</v>
      </c>
      <c r="E1458" s="2">
        <v>2560282019527</v>
      </c>
      <c r="F1458" s="2">
        <v>0</v>
      </c>
      <c r="G1458">
        <v>1344.98</v>
      </c>
      <c r="H1458">
        <v>1357.24</v>
      </c>
      <c r="I1458">
        <v>1337.78</v>
      </c>
      <c r="J1458">
        <v>4298527139</v>
      </c>
      <c r="K1458">
        <v>0</v>
      </c>
      <c r="L1458" s="2">
        <f>VLOOKUP(A1458,[1]aaabonddata!$A:$B,2,0)</f>
        <v>2.3199999999999998</v>
      </c>
    </row>
    <row r="1459" spans="1:12" x14ac:dyDescent="0.2">
      <c r="A1459" s="3">
        <v>40883</v>
      </c>
      <c r="B1459" s="2">
        <v>2321.4899999999998</v>
      </c>
      <c r="C1459" s="2">
        <v>2335.79</v>
      </c>
      <c r="D1459" s="2">
        <v>2313.9899999999998</v>
      </c>
      <c r="E1459" s="2">
        <v>2554272219121</v>
      </c>
      <c r="F1459" s="2">
        <v>0</v>
      </c>
      <c r="G1459">
        <v>1339.38</v>
      </c>
      <c r="H1459">
        <v>1349.72</v>
      </c>
      <c r="I1459">
        <v>1333.05</v>
      </c>
      <c r="J1459">
        <v>4280646483</v>
      </c>
      <c r="K1459">
        <v>0</v>
      </c>
      <c r="L1459" s="2">
        <f>VLOOKUP(A1459,[1]aaabonddata!$A:$B,2,0)</f>
        <v>2.34</v>
      </c>
    </row>
    <row r="1460" spans="1:12" x14ac:dyDescent="0.2">
      <c r="A1460" s="3">
        <v>40884</v>
      </c>
      <c r="B1460" s="2">
        <v>2320.54</v>
      </c>
      <c r="C1460" s="2">
        <v>2331.73</v>
      </c>
      <c r="D1460" s="2">
        <v>2292.15</v>
      </c>
      <c r="E1460" s="2">
        <v>2553226278105</v>
      </c>
      <c r="F1460" s="2">
        <v>193422665</v>
      </c>
      <c r="G1460">
        <v>1339.74</v>
      </c>
      <c r="H1460">
        <v>1345.02</v>
      </c>
      <c r="I1460">
        <v>1317.27</v>
      </c>
      <c r="J1460">
        <v>4281795193</v>
      </c>
      <c r="K1460">
        <v>0</v>
      </c>
      <c r="L1460" s="2">
        <f>VLOOKUP(A1460,[1]aaabonddata!$A:$B,2,0)</f>
        <v>2.31</v>
      </c>
    </row>
    <row r="1461" spans="1:12" x14ac:dyDescent="0.2">
      <c r="A1461" s="3">
        <v>40885</v>
      </c>
      <c r="B1461" s="2">
        <v>2282.59</v>
      </c>
      <c r="C1461" s="2">
        <v>2324.04</v>
      </c>
      <c r="D1461" s="2">
        <v>2278.42</v>
      </c>
      <c r="E1461" s="2">
        <v>2511477612279</v>
      </c>
      <c r="F1461" s="2">
        <v>12571742</v>
      </c>
      <c r="G1461">
        <v>1310.85</v>
      </c>
      <c r="H1461">
        <v>1340.59</v>
      </c>
      <c r="I1461">
        <v>1307.79</v>
      </c>
      <c r="J1461">
        <v>4189452224</v>
      </c>
      <c r="K1461">
        <v>0</v>
      </c>
      <c r="L1461" s="2">
        <f>VLOOKUP(A1461,[1]aaabonddata!$A:$B,2,0)</f>
        <v>2.2799999999999998</v>
      </c>
    </row>
    <row r="1462" spans="1:12" x14ac:dyDescent="0.2">
      <c r="A1462" s="3">
        <v>40886</v>
      </c>
      <c r="B1462" s="2">
        <v>2318.6799999999998</v>
      </c>
      <c r="C1462" s="2">
        <v>2325.64</v>
      </c>
      <c r="D1462" s="2">
        <v>2287.27</v>
      </c>
      <c r="E1462" s="2">
        <v>2551181180924</v>
      </c>
      <c r="F1462" s="2">
        <v>0</v>
      </c>
      <c r="G1462">
        <v>1335.84</v>
      </c>
      <c r="H1462">
        <v>1340.45</v>
      </c>
      <c r="I1462">
        <v>1307.43</v>
      </c>
      <c r="J1462">
        <v>4269344513</v>
      </c>
      <c r="K1462">
        <v>0</v>
      </c>
      <c r="L1462" s="2">
        <f>VLOOKUP(A1462,[1]aaabonddata!$A:$B,2,0)</f>
        <v>2.34</v>
      </c>
    </row>
    <row r="1463" spans="1:12" x14ac:dyDescent="0.2">
      <c r="A1463" s="3">
        <v>40889</v>
      </c>
      <c r="B1463" s="2">
        <v>2292.2399999999998</v>
      </c>
      <c r="C1463" s="2">
        <v>2295.5300000000002</v>
      </c>
      <c r="D1463" s="2">
        <v>2274.15</v>
      </c>
      <c r="E1463" s="2">
        <v>2522085836565</v>
      </c>
      <c r="F1463" s="2">
        <v>0</v>
      </c>
      <c r="G1463">
        <v>1311.99</v>
      </c>
      <c r="H1463">
        <v>1319.33</v>
      </c>
      <c r="I1463">
        <v>1300.25</v>
      </c>
      <c r="J1463">
        <v>4193122749</v>
      </c>
      <c r="K1463">
        <v>0</v>
      </c>
      <c r="L1463" s="2">
        <f>VLOOKUP(A1463,[1]aaabonddata!$A:$B,2,0)</f>
        <v>2.33</v>
      </c>
    </row>
    <row r="1464" spans="1:12" x14ac:dyDescent="0.2">
      <c r="A1464" s="3">
        <v>40890</v>
      </c>
      <c r="B1464" s="2">
        <v>2268.37</v>
      </c>
      <c r="C1464" s="2">
        <v>2316.9</v>
      </c>
      <c r="D1464" s="2">
        <v>2258.71</v>
      </c>
      <c r="E1464" s="2">
        <v>2495831175866</v>
      </c>
      <c r="F1464" s="2">
        <v>77634978</v>
      </c>
      <c r="G1464">
        <v>1292.07</v>
      </c>
      <c r="H1464">
        <v>1328.35</v>
      </c>
      <c r="I1464">
        <v>1285.51</v>
      </c>
      <c r="J1464">
        <v>4129449379</v>
      </c>
      <c r="K1464">
        <v>1185888</v>
      </c>
      <c r="L1464" s="2">
        <f>VLOOKUP(A1464,[1]aaabonddata!$A:$B,2,0)</f>
        <v>2.33</v>
      </c>
    </row>
    <row r="1465" spans="1:12" x14ac:dyDescent="0.2">
      <c r="A1465" s="3">
        <v>40891</v>
      </c>
      <c r="B1465" s="2">
        <v>2233.0300000000002</v>
      </c>
      <c r="C1465" s="2">
        <v>2260.52</v>
      </c>
      <c r="D1465" s="2">
        <v>2219.6799999999998</v>
      </c>
      <c r="E1465" s="2">
        <v>2456910034192</v>
      </c>
      <c r="F1465" s="2">
        <v>0</v>
      </c>
      <c r="G1465">
        <v>1265.1600000000001</v>
      </c>
      <c r="H1465">
        <v>1288.8800000000001</v>
      </c>
      <c r="I1465">
        <v>1257.25</v>
      </c>
      <c r="J1465">
        <v>4043429176</v>
      </c>
      <c r="K1465">
        <v>0</v>
      </c>
      <c r="L1465" s="2">
        <f>VLOOKUP(A1465,[1]aaabonddata!$A:$B,2,0)</f>
        <v>2.31</v>
      </c>
    </row>
    <row r="1466" spans="1:12" x14ac:dyDescent="0.2">
      <c r="A1466" s="3">
        <v>40892</v>
      </c>
      <c r="B1466" s="2">
        <v>2226.71</v>
      </c>
      <c r="C1466" s="2">
        <v>2253.21</v>
      </c>
      <c r="D1466" s="2">
        <v>2223.52</v>
      </c>
      <c r="E1466" s="2">
        <v>2449953113657</v>
      </c>
      <c r="F1466" s="2">
        <v>255861348</v>
      </c>
      <c r="G1466">
        <v>1259.92</v>
      </c>
      <c r="H1466">
        <v>1280.19</v>
      </c>
      <c r="I1466">
        <v>1257.7</v>
      </c>
      <c r="J1466">
        <v>4026700559</v>
      </c>
      <c r="K1466">
        <v>0</v>
      </c>
      <c r="L1466" s="2">
        <f>VLOOKUP(A1466,[1]aaabonddata!$A:$B,2,0)</f>
        <v>2.33</v>
      </c>
    </row>
    <row r="1467" spans="1:12" x14ac:dyDescent="0.2">
      <c r="A1467" s="3">
        <v>40893</v>
      </c>
      <c r="B1467" s="2">
        <v>2238.1799999999998</v>
      </c>
      <c r="C1467" s="2">
        <v>2267.5500000000002</v>
      </c>
      <c r="D1467" s="2">
        <v>2234.3000000000002</v>
      </c>
      <c r="E1467" s="2">
        <v>2462577534243</v>
      </c>
      <c r="F1467" s="2">
        <v>54419970</v>
      </c>
      <c r="G1467">
        <v>1265.5</v>
      </c>
      <c r="H1467">
        <v>1283.96</v>
      </c>
      <c r="I1467">
        <v>1261.8499999999999</v>
      </c>
      <c r="J1467">
        <v>4044525496</v>
      </c>
      <c r="K1467">
        <v>0</v>
      </c>
      <c r="L1467" s="2">
        <f>VLOOKUP(A1467,[1]aaabonddata!$A:$B,2,0)</f>
        <v>2.29</v>
      </c>
    </row>
    <row r="1468" spans="1:12" x14ac:dyDescent="0.2">
      <c r="A1468" s="3">
        <v>40896</v>
      </c>
      <c r="B1468" s="2">
        <v>2215.27</v>
      </c>
      <c r="C1468" s="2">
        <v>2250.27</v>
      </c>
      <c r="D1468" s="2">
        <v>2209.5700000000002</v>
      </c>
      <c r="E1468" s="2">
        <v>2435735444802</v>
      </c>
      <c r="F1468" s="2">
        <v>0</v>
      </c>
      <c r="G1468">
        <v>1243.04</v>
      </c>
      <c r="H1468">
        <v>1272.57</v>
      </c>
      <c r="I1468">
        <v>1240.1500000000001</v>
      </c>
      <c r="J1468">
        <v>4223689557</v>
      </c>
      <c r="K1468">
        <v>0</v>
      </c>
      <c r="L1468" s="2">
        <f>VLOOKUP(A1468,[1]aaabonddata!$A:$B,2,0)</f>
        <v>2.27</v>
      </c>
    </row>
    <row r="1469" spans="1:12" x14ac:dyDescent="0.2">
      <c r="A1469" s="3">
        <v>40897</v>
      </c>
      <c r="B1469" s="2">
        <v>2281.94</v>
      </c>
      <c r="C1469" s="2">
        <v>2283.4499999999998</v>
      </c>
      <c r="D1469" s="2">
        <v>2252.5700000000002</v>
      </c>
      <c r="E1469" s="2">
        <v>2509041037647</v>
      </c>
      <c r="F1469" s="2">
        <v>0</v>
      </c>
      <c r="G1469">
        <v>1292.58</v>
      </c>
      <c r="H1469">
        <v>1294.27</v>
      </c>
      <c r="I1469">
        <v>1268.8599999999999</v>
      </c>
      <c r="J1469">
        <v>4392020811</v>
      </c>
      <c r="K1469">
        <v>0</v>
      </c>
      <c r="L1469" s="2">
        <f>VLOOKUP(A1469,[1]aaabonddata!$A:$B,2,0)</f>
        <v>2.3199999999999998</v>
      </c>
    </row>
    <row r="1470" spans="1:12" x14ac:dyDescent="0.2">
      <c r="A1470" s="3">
        <v>40898</v>
      </c>
      <c r="B1470" s="2">
        <v>2249.0300000000002</v>
      </c>
      <c r="C1470" s="2">
        <v>2267.0100000000002</v>
      </c>
      <c r="D1470" s="2">
        <v>2222.6799999999998</v>
      </c>
      <c r="E1470" s="2">
        <v>2469259747173</v>
      </c>
      <c r="F1470" s="2">
        <v>69942266</v>
      </c>
      <c r="G1470">
        <v>1268.3599999999999</v>
      </c>
      <c r="H1470">
        <v>1290.01</v>
      </c>
      <c r="I1470">
        <v>1249.48</v>
      </c>
      <c r="J1470">
        <v>4309704073</v>
      </c>
      <c r="K1470">
        <v>0</v>
      </c>
      <c r="L1470" s="2">
        <f>VLOOKUP(A1470,[1]aaabonddata!$A:$B,2,0)</f>
        <v>2.36</v>
      </c>
    </row>
    <row r="1471" spans="1:12" x14ac:dyDescent="0.2">
      <c r="A1471" s="3">
        <v>40899</v>
      </c>
      <c r="B1471" s="2">
        <v>2266.77</v>
      </c>
      <c r="C1471" s="2">
        <v>2268.59</v>
      </c>
      <c r="D1471" s="2">
        <v>2251.31</v>
      </c>
      <c r="E1471" s="2">
        <v>2488741979000</v>
      </c>
      <c r="F1471" s="2">
        <v>0</v>
      </c>
      <c r="G1471">
        <v>1299.52</v>
      </c>
      <c r="H1471">
        <v>1302.1400000000001</v>
      </c>
      <c r="I1471">
        <v>1276.0999999999999</v>
      </c>
      <c r="J1471">
        <v>4415590617</v>
      </c>
      <c r="K1471">
        <v>0</v>
      </c>
      <c r="L1471" s="2">
        <f>VLOOKUP(A1471,[1]aaabonddata!$A:$B,2,0)</f>
        <v>2.36</v>
      </c>
    </row>
    <row r="1472" spans="1:12" x14ac:dyDescent="0.2">
      <c r="A1472" s="3">
        <v>40900</v>
      </c>
      <c r="B1472" s="2">
        <v>2287.5700000000002</v>
      </c>
      <c r="C1472" s="2">
        <v>2287.96</v>
      </c>
      <c r="D1472" s="2">
        <v>2268.2399999999998</v>
      </c>
      <c r="E1472" s="2">
        <v>2511576721569</v>
      </c>
      <c r="F1472" s="2">
        <v>0</v>
      </c>
      <c r="G1472">
        <v>1309.2</v>
      </c>
      <c r="H1472">
        <v>1309.4100000000001</v>
      </c>
      <c r="I1472">
        <v>1295.93</v>
      </c>
      <c r="J1472">
        <v>4448501687</v>
      </c>
      <c r="K1472">
        <v>0</v>
      </c>
      <c r="L1472" s="2">
        <f>VLOOKUP(A1472,[1]aaabonddata!$A:$B,2,0)</f>
        <v>2.41</v>
      </c>
    </row>
    <row r="1473" spans="1:12" x14ac:dyDescent="0.2">
      <c r="A1473" s="3">
        <v>40904</v>
      </c>
      <c r="B1473" s="2">
        <v>2293.12</v>
      </c>
      <c r="C1473" s="2">
        <v>2301.3000000000002</v>
      </c>
      <c r="D1473" s="2">
        <v>2281.86</v>
      </c>
      <c r="E1473" s="2">
        <v>2517667376550</v>
      </c>
      <c r="F1473" s="2">
        <v>0</v>
      </c>
      <c r="G1473">
        <v>1310.1400000000001</v>
      </c>
      <c r="H1473">
        <v>1315.75</v>
      </c>
      <c r="I1473">
        <v>1304.57</v>
      </c>
      <c r="J1473">
        <v>4451682922</v>
      </c>
      <c r="K1473">
        <v>0</v>
      </c>
      <c r="L1473" s="2">
        <f>VLOOKUP(A1473,[1]aaabonddata!$A:$B,2,0)</f>
        <v>2.4</v>
      </c>
    </row>
    <row r="1474" spans="1:12" x14ac:dyDescent="0.2">
      <c r="A1474" s="3">
        <v>40905</v>
      </c>
      <c r="B1474" s="2">
        <v>2267.08</v>
      </c>
      <c r="C1474" s="2">
        <v>2295.17</v>
      </c>
      <c r="D1474" s="2">
        <v>2262.2199999999998</v>
      </c>
      <c r="E1474" s="2">
        <v>2489779275591</v>
      </c>
      <c r="F1474" s="2">
        <v>7785585</v>
      </c>
      <c r="G1474">
        <v>1291.53</v>
      </c>
      <c r="H1474">
        <v>1310.99</v>
      </c>
      <c r="I1474">
        <v>1289.1400000000001</v>
      </c>
      <c r="J1474">
        <v>4388453853</v>
      </c>
      <c r="K1474">
        <v>0</v>
      </c>
      <c r="L1474" s="2">
        <f>VLOOKUP(A1474,[1]aaabonddata!$A:$B,2,0)</f>
        <v>2.33</v>
      </c>
    </row>
    <row r="1475" spans="1:12" x14ac:dyDescent="0.2">
      <c r="A1475" s="3">
        <v>40906</v>
      </c>
      <c r="B1475" s="2">
        <v>2285.0700000000002</v>
      </c>
      <c r="C1475" s="2">
        <v>2285.7199999999998</v>
      </c>
      <c r="D1475" s="2">
        <v>2264.89</v>
      </c>
      <c r="E1475" s="2">
        <v>2509539654585</v>
      </c>
      <c r="F1475" s="2">
        <v>0</v>
      </c>
      <c r="G1475">
        <v>1302.8800000000001</v>
      </c>
      <c r="H1475">
        <v>1303.68</v>
      </c>
      <c r="I1475">
        <v>1291.1099999999999</v>
      </c>
      <c r="J1475">
        <v>4427015640</v>
      </c>
      <c r="K1475">
        <v>0</v>
      </c>
      <c r="L1475" s="2">
        <f>VLOOKUP(A1475,[1]aaabonddata!$A:$B,2,0)</f>
        <v>2.3199999999999998</v>
      </c>
    </row>
    <row r="1476" spans="1:12" x14ac:dyDescent="0.2">
      <c r="A1476" s="3">
        <v>40907</v>
      </c>
      <c r="B1476" s="2">
        <v>2277.83</v>
      </c>
      <c r="C1476" s="2">
        <v>2289.12</v>
      </c>
      <c r="D1476" s="2">
        <v>2277.77</v>
      </c>
      <c r="E1476" s="2">
        <v>2501584609899</v>
      </c>
      <c r="F1476" s="2">
        <v>235415266</v>
      </c>
      <c r="G1476">
        <v>1300.56</v>
      </c>
      <c r="H1476">
        <v>1307.78</v>
      </c>
      <c r="I1476">
        <v>1300.46</v>
      </c>
      <c r="J1476">
        <v>4419118282</v>
      </c>
      <c r="K1476">
        <v>0</v>
      </c>
      <c r="L1476" s="2">
        <f>VLOOKUP(A1476,[1]aaabonddata!$A:$B,2,0)</f>
        <v>2.29</v>
      </c>
    </row>
    <row r="1477" spans="1:12" x14ac:dyDescent="0.2">
      <c r="A1477" s="3">
        <v>40911</v>
      </c>
      <c r="B1477" s="2">
        <v>2321.96</v>
      </c>
      <c r="C1477" s="2">
        <v>2332.2399999999998</v>
      </c>
      <c r="D1477" s="2">
        <v>2315.2800000000002</v>
      </c>
      <c r="E1477" s="2">
        <v>2550055268811</v>
      </c>
      <c r="F1477" s="2">
        <v>322551838</v>
      </c>
      <c r="G1477">
        <v>1318.46</v>
      </c>
      <c r="H1477">
        <v>1337.45</v>
      </c>
      <c r="I1477">
        <v>1317.23</v>
      </c>
      <c r="J1477">
        <v>4479953816</v>
      </c>
      <c r="K1477">
        <v>334448</v>
      </c>
      <c r="L1477" s="2">
        <f>VLOOKUP(A1477,[1]aaabonddata!$A:$B,2,0)</f>
        <v>2.13</v>
      </c>
    </row>
    <row r="1478" spans="1:12" x14ac:dyDescent="0.2">
      <c r="A1478" s="3">
        <v>40912</v>
      </c>
      <c r="B1478" s="2">
        <v>2329.71</v>
      </c>
      <c r="C1478" s="2">
        <v>2333.29</v>
      </c>
      <c r="D1478" s="2">
        <v>2307.56</v>
      </c>
      <c r="E1478" s="2">
        <v>2558565243004</v>
      </c>
      <c r="F1478" s="2">
        <v>0</v>
      </c>
      <c r="G1478">
        <v>1314.97</v>
      </c>
      <c r="H1478">
        <v>1316.81</v>
      </c>
      <c r="I1478">
        <v>1302.78</v>
      </c>
      <c r="J1478">
        <v>4468097328</v>
      </c>
      <c r="K1478">
        <v>0</v>
      </c>
      <c r="L1478" s="2">
        <f>VLOOKUP(A1478,[1]aaabonddata!$A:$B,2,0)</f>
        <v>2.14</v>
      </c>
    </row>
    <row r="1479" spans="1:12" x14ac:dyDescent="0.2">
      <c r="A1479" s="3">
        <v>40913</v>
      </c>
      <c r="B1479" s="2">
        <v>2348.98</v>
      </c>
      <c r="C1479" s="2">
        <v>2351.4499999999998</v>
      </c>
      <c r="D1479" s="2">
        <v>2317.52</v>
      </c>
      <c r="E1479" s="2">
        <v>2579720414105</v>
      </c>
      <c r="F1479" s="2">
        <v>0</v>
      </c>
      <c r="G1479">
        <v>1330.42</v>
      </c>
      <c r="H1479">
        <v>1332.1</v>
      </c>
      <c r="I1479">
        <v>1311.96</v>
      </c>
      <c r="J1479">
        <v>4520587731</v>
      </c>
      <c r="K1479">
        <v>0</v>
      </c>
      <c r="L1479" s="2">
        <f>VLOOKUP(A1479,[1]aaabonddata!$A:$B,2,0)</f>
        <v>2.14</v>
      </c>
    </row>
    <row r="1480" spans="1:12" x14ac:dyDescent="0.2">
      <c r="A1480" s="3">
        <v>40914</v>
      </c>
      <c r="B1480" s="2">
        <v>2356.17</v>
      </c>
      <c r="C1480" s="2">
        <v>2362.58</v>
      </c>
      <c r="D1480" s="2">
        <v>2341.64</v>
      </c>
      <c r="E1480" s="2">
        <v>2587618097124</v>
      </c>
      <c r="F1480" s="2">
        <v>44635468</v>
      </c>
      <c r="G1480">
        <v>1334.19</v>
      </c>
      <c r="H1480">
        <v>1336.66</v>
      </c>
      <c r="I1480">
        <v>1323.75</v>
      </c>
      <c r="J1480">
        <v>4533391251</v>
      </c>
      <c r="K1480">
        <v>289687</v>
      </c>
      <c r="L1480" s="2">
        <f>VLOOKUP(A1480,[1]aaabonddata!$A:$B,2,0)</f>
        <v>2.12</v>
      </c>
    </row>
    <row r="1481" spans="1:12" x14ac:dyDescent="0.2">
      <c r="A1481" s="3">
        <v>40917</v>
      </c>
      <c r="B1481" s="2">
        <v>2350.65</v>
      </c>
      <c r="C1481" s="2">
        <v>2363.48</v>
      </c>
      <c r="D1481" s="2">
        <v>2342.34</v>
      </c>
      <c r="E1481" s="2">
        <v>2581556014961</v>
      </c>
      <c r="F1481" s="2">
        <v>302676120</v>
      </c>
      <c r="G1481">
        <v>1343.23</v>
      </c>
      <c r="H1481">
        <v>1348.29</v>
      </c>
      <c r="I1481">
        <v>1332.68</v>
      </c>
      <c r="J1481">
        <v>4564126949</v>
      </c>
      <c r="K1481">
        <v>205409</v>
      </c>
      <c r="L1481" s="2">
        <f>VLOOKUP(A1481,[1]aaabonddata!$A:$B,2,0)</f>
        <v>2.11</v>
      </c>
    </row>
    <row r="1482" spans="1:12" x14ac:dyDescent="0.2">
      <c r="A1482" s="3">
        <v>40918</v>
      </c>
      <c r="B1482" s="2">
        <v>2367.38</v>
      </c>
      <c r="C1482" s="2">
        <v>2381.4299999999998</v>
      </c>
      <c r="D1482" s="2">
        <v>2360.98</v>
      </c>
      <c r="E1482" s="2">
        <v>2599937598055</v>
      </c>
      <c r="F1482" s="2">
        <v>0</v>
      </c>
      <c r="G1482">
        <v>1356.91</v>
      </c>
      <c r="H1482">
        <v>1364.95</v>
      </c>
      <c r="I1482">
        <v>1351.75</v>
      </c>
      <c r="J1482">
        <v>4610597598</v>
      </c>
      <c r="K1482">
        <v>0</v>
      </c>
      <c r="L1482" s="2">
        <f>VLOOKUP(A1482,[1]aaabonddata!$A:$B,2,0)</f>
        <v>2.11</v>
      </c>
    </row>
    <row r="1483" spans="1:12" x14ac:dyDescent="0.2">
      <c r="A1483" s="3">
        <v>40919</v>
      </c>
      <c r="B1483" s="2">
        <v>2372.25</v>
      </c>
      <c r="C1483" s="2">
        <v>2376.58</v>
      </c>
      <c r="D1483" s="2">
        <v>2357.5300000000002</v>
      </c>
      <c r="E1483" s="2">
        <v>2605286892671</v>
      </c>
      <c r="F1483" s="2">
        <v>25130048</v>
      </c>
      <c r="G1483">
        <v>1361.29</v>
      </c>
      <c r="H1483">
        <v>1363.74</v>
      </c>
      <c r="I1483">
        <v>1353.39</v>
      </c>
      <c r="J1483">
        <v>4625482264</v>
      </c>
      <c r="K1483">
        <v>0</v>
      </c>
      <c r="L1483" s="2">
        <f>VLOOKUP(A1483,[1]aaabonddata!$A:$B,2,0)</f>
        <v>2.08</v>
      </c>
    </row>
    <row r="1484" spans="1:12" x14ac:dyDescent="0.2">
      <c r="A1484" s="3">
        <v>40920</v>
      </c>
      <c r="B1484" s="2">
        <v>2381.9899999999998</v>
      </c>
      <c r="C1484" s="2">
        <v>2384.2600000000002</v>
      </c>
      <c r="D1484" s="2">
        <v>2359.92</v>
      </c>
      <c r="E1484" s="2">
        <v>2615982363683</v>
      </c>
      <c r="F1484" s="2">
        <v>0</v>
      </c>
      <c r="G1484">
        <v>1367.28</v>
      </c>
      <c r="H1484">
        <v>1369.6</v>
      </c>
      <c r="I1484">
        <v>1352.28</v>
      </c>
      <c r="J1484">
        <v>4645847934</v>
      </c>
      <c r="K1484">
        <v>0</v>
      </c>
      <c r="L1484" s="2">
        <f>VLOOKUP(A1484,[1]aaabonddata!$A:$B,2,0)</f>
        <v>2.09</v>
      </c>
    </row>
    <row r="1485" spans="1:12" x14ac:dyDescent="0.2">
      <c r="A1485" s="3">
        <v>40921</v>
      </c>
      <c r="B1485" s="2">
        <v>2371.98</v>
      </c>
      <c r="C1485" s="2">
        <v>2373.5</v>
      </c>
      <c r="D1485" s="2">
        <v>2352.7600000000002</v>
      </c>
      <c r="E1485" s="2">
        <v>2604987555946</v>
      </c>
      <c r="F1485" s="2">
        <v>0</v>
      </c>
      <c r="G1485">
        <v>1350.2</v>
      </c>
      <c r="H1485">
        <v>1361.74</v>
      </c>
      <c r="I1485">
        <v>1341.26</v>
      </c>
      <c r="J1485">
        <v>4587786023</v>
      </c>
      <c r="K1485">
        <v>0</v>
      </c>
      <c r="L1485" s="2">
        <f>VLOOKUP(A1485,[1]aaabonddata!$A:$B,2,0)</f>
        <v>2.0499999999999998</v>
      </c>
    </row>
    <row r="1486" spans="1:12" x14ac:dyDescent="0.2">
      <c r="A1486" s="3">
        <v>40925</v>
      </c>
      <c r="B1486" s="2">
        <v>2393.2399999999998</v>
      </c>
      <c r="C1486" s="2">
        <v>2404.08</v>
      </c>
      <c r="D1486" s="2">
        <v>2385.79</v>
      </c>
      <c r="E1486" s="2">
        <v>2628338007174</v>
      </c>
      <c r="F1486" s="2">
        <v>0</v>
      </c>
      <c r="G1486">
        <v>1361.02</v>
      </c>
      <c r="H1486">
        <v>1369.25</v>
      </c>
      <c r="I1486">
        <v>1356.77</v>
      </c>
      <c r="J1486">
        <v>4624552149</v>
      </c>
      <c r="K1486">
        <v>0</v>
      </c>
      <c r="L1486" s="2">
        <f>VLOOKUP(A1486,[1]aaabonddata!$A:$B,2,0)</f>
        <v>2.04</v>
      </c>
    </row>
    <row r="1487" spans="1:12" x14ac:dyDescent="0.2">
      <c r="A1487" s="3">
        <v>40926</v>
      </c>
      <c r="B1487" s="2">
        <v>2425.96</v>
      </c>
      <c r="C1487" s="2">
        <v>2425.96</v>
      </c>
      <c r="D1487" s="2">
        <v>2395.4299999999998</v>
      </c>
      <c r="E1487" s="2">
        <v>2664267354891</v>
      </c>
      <c r="F1487" s="2">
        <v>0</v>
      </c>
      <c r="G1487">
        <v>1397.82</v>
      </c>
      <c r="H1487">
        <v>1398.4</v>
      </c>
      <c r="I1487">
        <v>1370.7</v>
      </c>
      <c r="J1487">
        <v>4749616157</v>
      </c>
      <c r="K1487">
        <v>0</v>
      </c>
      <c r="L1487" s="2">
        <f>VLOOKUP(A1487,[1]aaabonddata!$A:$B,2,0)</f>
        <v>2.06</v>
      </c>
    </row>
    <row r="1488" spans="1:12" x14ac:dyDescent="0.2">
      <c r="A1488" s="3">
        <v>40927</v>
      </c>
      <c r="B1488" s="2">
        <v>2441.6999999999998</v>
      </c>
      <c r="C1488" s="2">
        <v>2445.59</v>
      </c>
      <c r="D1488" s="2">
        <v>2433.0300000000002</v>
      </c>
      <c r="E1488" s="2">
        <v>2681554896854</v>
      </c>
      <c r="F1488" s="2">
        <v>0</v>
      </c>
      <c r="G1488">
        <v>1416.39</v>
      </c>
      <c r="H1488">
        <v>1421.45</v>
      </c>
      <c r="I1488">
        <v>1407.87</v>
      </c>
      <c r="J1488">
        <v>4812701575</v>
      </c>
      <c r="K1488">
        <v>0</v>
      </c>
      <c r="L1488" s="2">
        <f>VLOOKUP(A1488,[1]aaabonddata!$A:$B,2,0)</f>
        <v>2.1</v>
      </c>
    </row>
    <row r="1489" spans="1:12" x14ac:dyDescent="0.2">
      <c r="A1489" s="3">
        <v>40928</v>
      </c>
      <c r="B1489" s="2">
        <v>2437.02</v>
      </c>
      <c r="C1489" s="2">
        <v>2438.25</v>
      </c>
      <c r="D1489" s="2">
        <v>2428.35</v>
      </c>
      <c r="E1489" s="2">
        <v>2676414231997</v>
      </c>
      <c r="F1489" s="2">
        <v>0</v>
      </c>
      <c r="G1489">
        <v>1414.36</v>
      </c>
      <c r="H1489">
        <v>1417.99</v>
      </c>
      <c r="I1489">
        <v>1410.08</v>
      </c>
      <c r="J1489">
        <v>4805810655</v>
      </c>
      <c r="K1489">
        <v>0</v>
      </c>
      <c r="L1489" s="2">
        <f>VLOOKUP(A1489,[1]aaabonddata!$A:$B,2,0)</f>
        <v>2.12</v>
      </c>
    </row>
    <row r="1490" spans="1:12" x14ac:dyDescent="0.2">
      <c r="A1490" s="3">
        <v>40931</v>
      </c>
      <c r="B1490" s="2">
        <v>2437.2199999999998</v>
      </c>
      <c r="C1490" s="2">
        <v>2455.2199999999998</v>
      </c>
      <c r="D1490" s="2">
        <v>2424.29</v>
      </c>
      <c r="E1490" s="2">
        <v>2676633297771</v>
      </c>
      <c r="F1490" s="2">
        <v>0</v>
      </c>
      <c r="G1490">
        <v>1409.03</v>
      </c>
      <c r="H1490">
        <v>1419.44</v>
      </c>
      <c r="I1490">
        <v>1398.33</v>
      </c>
      <c r="J1490">
        <v>4787706420</v>
      </c>
      <c r="K1490">
        <v>0</v>
      </c>
      <c r="L1490" s="2">
        <f>VLOOKUP(A1490,[1]aaabonddata!$A:$B,2,0)</f>
        <v>2.14</v>
      </c>
    </row>
    <row r="1491" spans="1:12" x14ac:dyDescent="0.2">
      <c r="A1491" s="3">
        <v>40932</v>
      </c>
      <c r="B1491" s="2">
        <v>2433.96</v>
      </c>
      <c r="C1491" s="2">
        <v>2440.1999999999998</v>
      </c>
      <c r="D1491" s="2">
        <v>2423.2399999999998</v>
      </c>
      <c r="E1491" s="2">
        <v>2673057870323</v>
      </c>
      <c r="F1491" s="2">
        <v>0</v>
      </c>
      <c r="G1491">
        <v>1415.87</v>
      </c>
      <c r="H1491">
        <v>1418.14</v>
      </c>
      <c r="I1491">
        <v>1402.83</v>
      </c>
      <c r="J1491">
        <v>4810932447</v>
      </c>
      <c r="K1491">
        <v>0</v>
      </c>
      <c r="L1491" s="2">
        <f>VLOOKUP(A1491,[1]aaabonddata!$A:$B,2,0)</f>
        <v>2.13</v>
      </c>
    </row>
    <row r="1492" spans="1:12" x14ac:dyDescent="0.2">
      <c r="A1492" s="3">
        <v>40933</v>
      </c>
      <c r="B1492" s="2">
        <v>2465.66</v>
      </c>
      <c r="C1492" s="2">
        <v>2470.58</v>
      </c>
      <c r="D1492" s="2">
        <v>2440.5700000000002</v>
      </c>
      <c r="E1492" s="2">
        <v>2707867795772</v>
      </c>
      <c r="F1492" s="2">
        <v>0</v>
      </c>
      <c r="G1492">
        <v>1428.22</v>
      </c>
      <c r="H1492">
        <v>1431.22</v>
      </c>
      <c r="I1492">
        <v>1409.43</v>
      </c>
      <c r="J1492">
        <v>4852902975</v>
      </c>
      <c r="K1492">
        <v>0</v>
      </c>
      <c r="L1492" s="2">
        <f>VLOOKUP(A1492,[1]aaabonddata!$A:$B,2,0)</f>
        <v>2.08</v>
      </c>
    </row>
    <row r="1493" spans="1:12" x14ac:dyDescent="0.2">
      <c r="A1493" s="3">
        <v>40934</v>
      </c>
      <c r="B1493" s="2">
        <v>2454.63</v>
      </c>
      <c r="C1493" s="2">
        <v>2479.31</v>
      </c>
      <c r="D1493" s="2">
        <v>2444.83</v>
      </c>
      <c r="E1493" s="2">
        <v>2695751490553</v>
      </c>
      <c r="F1493" s="2">
        <v>0</v>
      </c>
      <c r="G1493">
        <v>1414.52</v>
      </c>
      <c r="H1493">
        <v>1437.35</v>
      </c>
      <c r="I1493">
        <v>1407.77</v>
      </c>
      <c r="J1493">
        <v>4806343239</v>
      </c>
      <c r="K1493">
        <v>0</v>
      </c>
      <c r="L1493" s="2">
        <f>VLOOKUP(A1493,[1]aaabonddata!$A:$B,2,0)</f>
        <v>2.0299999999999998</v>
      </c>
    </row>
    <row r="1494" spans="1:12" x14ac:dyDescent="0.2">
      <c r="A1494" s="3">
        <v>40935</v>
      </c>
      <c r="B1494" s="2">
        <v>2461.77</v>
      </c>
      <c r="C1494" s="2">
        <v>2467.46</v>
      </c>
      <c r="D1494" s="2">
        <v>2449.83</v>
      </c>
      <c r="E1494" s="2">
        <v>2703596881612</v>
      </c>
      <c r="F1494" s="2">
        <v>0</v>
      </c>
      <c r="G1494">
        <v>1422.58</v>
      </c>
      <c r="H1494">
        <v>1427.08</v>
      </c>
      <c r="I1494">
        <v>1410.42</v>
      </c>
      <c r="J1494">
        <v>4833740589</v>
      </c>
      <c r="K1494">
        <v>0</v>
      </c>
      <c r="L1494" s="2">
        <f>VLOOKUP(A1494,[1]aaabonddata!$A:$B,2,0)</f>
        <v>2.02</v>
      </c>
    </row>
    <row r="1495" spans="1:12" x14ac:dyDescent="0.2">
      <c r="A1495" s="3">
        <v>40938</v>
      </c>
      <c r="B1495" s="2">
        <v>2465.3200000000002</v>
      </c>
      <c r="C1495" s="2">
        <v>2468.5700000000002</v>
      </c>
      <c r="D1495" s="2">
        <v>2433.63</v>
      </c>
      <c r="E1495" s="2">
        <v>2707495006984</v>
      </c>
      <c r="F1495" s="2">
        <v>166146874</v>
      </c>
      <c r="G1495">
        <v>1421.36</v>
      </c>
      <c r="H1495">
        <v>1424.59</v>
      </c>
      <c r="I1495">
        <v>1400.95</v>
      </c>
      <c r="J1495">
        <v>4829576697</v>
      </c>
      <c r="K1495">
        <v>0</v>
      </c>
      <c r="L1495" s="2">
        <f>VLOOKUP(A1495,[1]aaabonddata!$A:$B,2,0)</f>
        <v>1.98</v>
      </c>
    </row>
    <row r="1496" spans="1:12" x14ac:dyDescent="0.2">
      <c r="A1496" s="3">
        <v>40939</v>
      </c>
      <c r="B1496" s="2">
        <v>2467.9499999999998</v>
      </c>
      <c r="C1496" s="2">
        <v>2481.5100000000002</v>
      </c>
      <c r="D1496" s="2">
        <v>2453.0500000000002</v>
      </c>
      <c r="E1496" s="2">
        <v>2710386837021</v>
      </c>
      <c r="F1496" s="2">
        <v>0</v>
      </c>
      <c r="G1496">
        <v>1423.36</v>
      </c>
      <c r="H1496">
        <v>1431.16</v>
      </c>
      <c r="I1496">
        <v>1413.28</v>
      </c>
      <c r="J1496">
        <v>4836383111</v>
      </c>
      <c r="K1496">
        <v>0</v>
      </c>
      <c r="L1496" s="2">
        <f>VLOOKUP(A1496,[1]aaabonddata!$A:$B,2,0)</f>
        <v>1.97</v>
      </c>
    </row>
    <row r="1497" spans="1:12" x14ac:dyDescent="0.2">
      <c r="A1497" s="3">
        <v>40940</v>
      </c>
      <c r="B1497" s="2">
        <v>2488.1799999999998</v>
      </c>
      <c r="C1497" s="2">
        <v>2497.31</v>
      </c>
      <c r="D1497" s="2">
        <v>2474.29</v>
      </c>
      <c r="E1497" s="2">
        <v>2732602289308</v>
      </c>
      <c r="F1497" s="2">
        <v>0</v>
      </c>
      <c r="G1497">
        <v>1453.87</v>
      </c>
      <c r="H1497">
        <v>1461.87</v>
      </c>
      <c r="I1497">
        <v>1437.17</v>
      </c>
      <c r="J1497">
        <v>4940056872</v>
      </c>
      <c r="K1497">
        <v>0</v>
      </c>
      <c r="L1497" s="2">
        <f>VLOOKUP(A1497,[1]aaabonddata!$A:$B,2,0)</f>
        <v>1.99</v>
      </c>
    </row>
    <row r="1498" spans="1:12" x14ac:dyDescent="0.2">
      <c r="A1498" s="3">
        <v>40941</v>
      </c>
      <c r="B1498" s="2">
        <v>2495.83</v>
      </c>
      <c r="C1498" s="2">
        <v>2504.16</v>
      </c>
      <c r="D1498" s="2">
        <v>2487.15</v>
      </c>
      <c r="E1498" s="2">
        <v>2741001749045</v>
      </c>
      <c r="F1498" s="2">
        <v>0</v>
      </c>
      <c r="G1498">
        <v>1462.62</v>
      </c>
      <c r="H1498">
        <v>1470.29</v>
      </c>
      <c r="I1498">
        <v>1455.75</v>
      </c>
      <c r="J1498">
        <v>4969799675</v>
      </c>
      <c r="K1498">
        <v>0</v>
      </c>
      <c r="L1498" s="2">
        <f>VLOOKUP(A1498,[1]aaabonddata!$A:$B,2,0)</f>
        <v>1.99</v>
      </c>
    </row>
    <row r="1499" spans="1:12" x14ac:dyDescent="0.2">
      <c r="A1499" s="3">
        <v>40942</v>
      </c>
      <c r="B1499" s="2">
        <v>2529.17</v>
      </c>
      <c r="C1499" s="2">
        <v>2532.2600000000002</v>
      </c>
      <c r="D1499" s="2">
        <v>2514.9899999999998</v>
      </c>
      <c r="E1499" s="2">
        <v>2777617303153</v>
      </c>
      <c r="F1499" s="2">
        <v>1069320000</v>
      </c>
      <c r="G1499">
        <v>1485.17</v>
      </c>
      <c r="H1499">
        <v>1489.64</v>
      </c>
      <c r="I1499">
        <v>1475.15</v>
      </c>
      <c r="J1499">
        <v>5046423670</v>
      </c>
      <c r="K1499">
        <v>904003</v>
      </c>
      <c r="L1499" s="2">
        <f>VLOOKUP(A1499,[1]aaabonddata!$A:$B,2,0)</f>
        <v>2.04</v>
      </c>
    </row>
    <row r="1500" spans="1:12" x14ac:dyDescent="0.2">
      <c r="A1500" s="3">
        <v>40945</v>
      </c>
      <c r="B1500" s="2">
        <v>2528.3000000000002</v>
      </c>
      <c r="C1500" s="2">
        <v>2528.3000000000002</v>
      </c>
      <c r="D1500" s="2">
        <v>2513.5100000000002</v>
      </c>
      <c r="E1500" s="2">
        <v>2776663716096</v>
      </c>
      <c r="F1500" s="2">
        <v>176585719</v>
      </c>
      <c r="G1500">
        <v>1473.2</v>
      </c>
      <c r="H1500">
        <v>1477.34</v>
      </c>
      <c r="I1500">
        <v>1468.28</v>
      </c>
      <c r="J1500">
        <v>5005730083</v>
      </c>
      <c r="K1500">
        <v>608779</v>
      </c>
      <c r="L1500" s="2">
        <f>VLOOKUP(A1500,[1]aaabonddata!$A:$B,2,0)</f>
        <v>2</v>
      </c>
    </row>
    <row r="1501" spans="1:12" x14ac:dyDescent="0.2">
      <c r="A1501" s="3">
        <v>40946</v>
      </c>
      <c r="B1501" s="2">
        <v>2532.06</v>
      </c>
      <c r="C1501" s="2">
        <v>2537.64</v>
      </c>
      <c r="D1501" s="2">
        <v>2514.9</v>
      </c>
      <c r="E1501" s="2">
        <v>2780786292171</v>
      </c>
      <c r="F1501" s="2">
        <v>0</v>
      </c>
      <c r="G1501">
        <v>1476.32</v>
      </c>
      <c r="H1501">
        <v>1481.04</v>
      </c>
      <c r="I1501">
        <v>1463.82</v>
      </c>
      <c r="J1501">
        <v>5016327935</v>
      </c>
      <c r="K1501">
        <v>0</v>
      </c>
      <c r="L1501" s="2">
        <f>VLOOKUP(A1501,[1]aaabonddata!$A:$B,2,0)</f>
        <v>2.0299999999999998</v>
      </c>
    </row>
    <row r="1502" spans="1:12" x14ac:dyDescent="0.2">
      <c r="A1502" s="3">
        <v>40947</v>
      </c>
      <c r="B1502" s="2">
        <v>2545.7199999999998</v>
      </c>
      <c r="C1502" s="2">
        <v>2545.84</v>
      </c>
      <c r="D1502" s="2">
        <v>2523.88</v>
      </c>
      <c r="E1502" s="2">
        <v>2795790290968</v>
      </c>
      <c r="F1502" s="2">
        <v>129676677</v>
      </c>
      <c r="G1502">
        <v>1490.28</v>
      </c>
      <c r="H1502">
        <v>1496.08</v>
      </c>
      <c r="I1502">
        <v>1478.47</v>
      </c>
      <c r="J1502">
        <v>5063779450</v>
      </c>
      <c r="K1502">
        <v>234672</v>
      </c>
      <c r="L1502" s="2">
        <f>VLOOKUP(A1502,[1]aaabonddata!$A:$B,2,0)</f>
        <v>2.02</v>
      </c>
    </row>
    <row r="1503" spans="1:12" x14ac:dyDescent="0.2">
      <c r="A1503" s="3">
        <v>40948</v>
      </c>
      <c r="B1503" s="2">
        <v>2563.9299999999998</v>
      </c>
      <c r="C1503" s="2">
        <v>2567.2800000000002</v>
      </c>
      <c r="D1503" s="2">
        <v>2541.1999999999998</v>
      </c>
      <c r="E1503" s="2">
        <v>2815793498008</v>
      </c>
      <c r="F1503" s="2">
        <v>0</v>
      </c>
      <c r="G1503">
        <v>1501.93</v>
      </c>
      <c r="H1503">
        <v>1502.84</v>
      </c>
      <c r="I1503">
        <v>1489.54</v>
      </c>
      <c r="J1503">
        <v>5103367100</v>
      </c>
      <c r="K1503">
        <v>0</v>
      </c>
      <c r="L1503" s="2">
        <f>VLOOKUP(A1503,[1]aaabonddata!$A:$B,2,0)</f>
        <v>2.04</v>
      </c>
    </row>
    <row r="1504" spans="1:12" x14ac:dyDescent="0.2">
      <c r="A1504" s="3">
        <v>40949</v>
      </c>
      <c r="B1504" s="2">
        <v>2547.3200000000002</v>
      </c>
      <c r="C1504" s="2">
        <v>2553.1</v>
      </c>
      <c r="D1504" s="2">
        <v>2537.9899999999998</v>
      </c>
      <c r="E1504" s="2">
        <v>2797548398604</v>
      </c>
      <c r="F1504" s="2">
        <v>123347942</v>
      </c>
      <c r="G1504">
        <v>1477.29</v>
      </c>
      <c r="H1504">
        <v>1483.65</v>
      </c>
      <c r="I1504">
        <v>1471.34</v>
      </c>
      <c r="J1504">
        <v>5019647928</v>
      </c>
      <c r="K1504">
        <v>1242544</v>
      </c>
      <c r="L1504" s="2">
        <f>VLOOKUP(A1504,[1]aaabonddata!$A:$B,2,0)</f>
        <v>1.99</v>
      </c>
    </row>
    <row r="1505" spans="1:12" x14ac:dyDescent="0.2">
      <c r="A1505" s="3">
        <v>40952</v>
      </c>
      <c r="B1505" s="2">
        <v>2569.4899999999998</v>
      </c>
      <c r="C1505" s="2">
        <v>2572.64</v>
      </c>
      <c r="D1505" s="2">
        <v>2554.29</v>
      </c>
      <c r="E1505" s="2">
        <v>2821893413687</v>
      </c>
      <c r="F1505" s="2">
        <v>431767291</v>
      </c>
      <c r="G1505">
        <v>1482.33</v>
      </c>
      <c r="H1505">
        <v>1491.04</v>
      </c>
      <c r="I1505">
        <v>1470.12</v>
      </c>
      <c r="J1505">
        <v>5036744112</v>
      </c>
      <c r="K1505">
        <v>1620220</v>
      </c>
      <c r="L1505" s="2">
        <f>VLOOKUP(A1505,[1]aaabonddata!$A:$B,2,0)</f>
        <v>2.0099999999999998</v>
      </c>
    </row>
    <row r="1506" spans="1:12" x14ac:dyDescent="0.2">
      <c r="A1506" s="3">
        <v>40953</v>
      </c>
      <c r="B1506" s="2">
        <v>2575.2399999999998</v>
      </c>
      <c r="C1506" s="2">
        <v>2575.2399999999998</v>
      </c>
      <c r="D1506" s="2">
        <v>2553.9499999999998</v>
      </c>
      <c r="E1506" s="2">
        <v>2828213888964</v>
      </c>
      <c r="F1506" s="2">
        <v>1744915034</v>
      </c>
      <c r="G1506">
        <v>1489.11</v>
      </c>
      <c r="H1506">
        <v>1489.19</v>
      </c>
      <c r="I1506">
        <v>1476.97</v>
      </c>
      <c r="J1506">
        <v>5059806720</v>
      </c>
      <c r="K1506">
        <v>769230</v>
      </c>
      <c r="L1506" s="2">
        <f>VLOOKUP(A1506,[1]aaabonddata!$A:$B,2,0)</f>
        <v>1.98</v>
      </c>
    </row>
    <row r="1507" spans="1:12" x14ac:dyDescent="0.2">
      <c r="A1507" s="3">
        <v>40954</v>
      </c>
      <c r="B1507" s="2">
        <v>2556.0100000000002</v>
      </c>
      <c r="C1507" s="2">
        <v>2600.96</v>
      </c>
      <c r="D1507" s="2">
        <v>2552.56</v>
      </c>
      <c r="E1507" s="2">
        <v>2807090809913</v>
      </c>
      <c r="F1507" s="2">
        <v>202388396</v>
      </c>
      <c r="G1507">
        <v>1485.11</v>
      </c>
      <c r="H1507">
        <v>1502.96</v>
      </c>
      <c r="I1507">
        <v>1482.4</v>
      </c>
      <c r="J1507">
        <v>5046195895</v>
      </c>
      <c r="K1507">
        <v>1211150</v>
      </c>
      <c r="L1507" s="2">
        <f>VLOOKUP(A1507,[1]aaabonddata!$A:$B,2,0)</f>
        <v>1.97</v>
      </c>
    </row>
    <row r="1508" spans="1:12" x14ac:dyDescent="0.2">
      <c r="A1508" s="3">
        <v>40955</v>
      </c>
      <c r="B1508" s="2">
        <v>2592.29</v>
      </c>
      <c r="C1508" s="2">
        <v>2594.71</v>
      </c>
      <c r="D1508" s="2">
        <v>2551.35</v>
      </c>
      <c r="E1508" s="2">
        <v>2846935577591</v>
      </c>
      <c r="F1508" s="2">
        <v>125037404</v>
      </c>
      <c r="G1508">
        <v>1515.96</v>
      </c>
      <c r="H1508">
        <v>1517.66</v>
      </c>
      <c r="I1508">
        <v>1488.18</v>
      </c>
      <c r="J1508">
        <v>5151041470</v>
      </c>
      <c r="K1508">
        <v>1772388</v>
      </c>
      <c r="L1508" s="2">
        <f>VLOOKUP(A1508,[1]aaabonddata!$A:$B,2,0)</f>
        <v>2.0099999999999998</v>
      </c>
    </row>
    <row r="1509" spans="1:12" x14ac:dyDescent="0.2">
      <c r="A1509" s="3">
        <v>40956</v>
      </c>
      <c r="B1509" s="2">
        <v>2584.2399999999998</v>
      </c>
      <c r="C1509" s="2">
        <v>2593.56</v>
      </c>
      <c r="D1509" s="2">
        <v>2572.8200000000002</v>
      </c>
      <c r="E1509" s="2">
        <v>2838097030147</v>
      </c>
      <c r="F1509" s="2">
        <v>64176998</v>
      </c>
      <c r="G1509">
        <v>1500.22</v>
      </c>
      <c r="H1509">
        <v>1518.54</v>
      </c>
      <c r="I1509">
        <v>1496.31</v>
      </c>
      <c r="J1509">
        <v>5097540657</v>
      </c>
      <c r="K1509">
        <v>878594</v>
      </c>
      <c r="L1509" s="2">
        <f>VLOOKUP(A1509,[1]aaabonddata!$A:$B,2,0)</f>
        <v>2.0099999999999998</v>
      </c>
    </row>
    <row r="1510" spans="1:12" x14ac:dyDescent="0.2">
      <c r="A1510" s="3">
        <v>40960</v>
      </c>
      <c r="B1510" s="2">
        <v>2590.2399999999998</v>
      </c>
      <c r="C1510" s="2">
        <v>2601.7399999999998</v>
      </c>
      <c r="D1510" s="2">
        <v>2574.3200000000002</v>
      </c>
      <c r="E1510" s="2">
        <v>2844687448692</v>
      </c>
      <c r="F1510" s="2">
        <v>210382877</v>
      </c>
      <c r="G1510">
        <v>1490.97</v>
      </c>
      <c r="H1510">
        <v>1507.81</v>
      </c>
      <c r="I1510">
        <v>1484.71</v>
      </c>
      <c r="J1510">
        <v>5066114928</v>
      </c>
      <c r="K1510">
        <v>774443</v>
      </c>
      <c r="L1510" s="2">
        <f>VLOOKUP(A1510,[1]aaabonddata!$A:$B,2,0)</f>
        <v>2.0299999999999998</v>
      </c>
    </row>
    <row r="1511" spans="1:12" x14ac:dyDescent="0.2">
      <c r="A1511" s="3">
        <v>40961</v>
      </c>
      <c r="B1511" s="2">
        <v>2579.7800000000002</v>
      </c>
      <c r="C1511" s="2">
        <v>2593.0500000000002</v>
      </c>
      <c r="D1511" s="2">
        <v>2575.31</v>
      </c>
      <c r="E1511" s="2">
        <v>2833194511358</v>
      </c>
      <c r="F1511" s="2">
        <v>0</v>
      </c>
      <c r="G1511">
        <v>1489.31</v>
      </c>
      <c r="H1511">
        <v>1501.69</v>
      </c>
      <c r="I1511">
        <v>1487.34</v>
      </c>
      <c r="J1511">
        <v>5060472592</v>
      </c>
      <c r="K1511">
        <v>0</v>
      </c>
      <c r="L1511" s="2">
        <f>VLOOKUP(A1511,[1]aaabonddata!$A:$B,2,0)</f>
        <v>2</v>
      </c>
    </row>
    <row r="1512" spans="1:12" x14ac:dyDescent="0.2">
      <c r="A1512" s="3">
        <v>40962</v>
      </c>
      <c r="B1512" s="2">
        <v>2594.9299999999998</v>
      </c>
      <c r="C1512" s="2">
        <v>2598.1</v>
      </c>
      <c r="D1512" s="2">
        <v>2570.0700000000002</v>
      </c>
      <c r="E1512" s="2">
        <v>2849837189551</v>
      </c>
      <c r="F1512" s="2">
        <v>186718182</v>
      </c>
      <c r="G1512">
        <v>1494.21</v>
      </c>
      <c r="H1512">
        <v>1497.46</v>
      </c>
      <c r="I1512">
        <v>1477.73</v>
      </c>
      <c r="J1512">
        <v>5077130825</v>
      </c>
      <c r="K1512">
        <v>0</v>
      </c>
      <c r="L1512" s="2">
        <f>VLOOKUP(A1512,[1]aaabonddata!$A:$B,2,0)</f>
        <v>1.98</v>
      </c>
    </row>
    <row r="1513" spans="1:12" x14ac:dyDescent="0.2">
      <c r="A1513" s="3">
        <v>40963</v>
      </c>
      <c r="B1513" s="2">
        <v>2604.21</v>
      </c>
      <c r="C1513" s="2">
        <v>2609.4499999999998</v>
      </c>
      <c r="D1513" s="2">
        <v>2598.67</v>
      </c>
      <c r="E1513" s="2">
        <v>2860031266582</v>
      </c>
      <c r="F1513" s="2">
        <v>0</v>
      </c>
      <c r="G1513">
        <v>1495.39</v>
      </c>
      <c r="H1513">
        <v>1503.45</v>
      </c>
      <c r="I1513">
        <v>1493.28</v>
      </c>
      <c r="J1513">
        <v>5081148735</v>
      </c>
      <c r="K1513">
        <v>0</v>
      </c>
      <c r="L1513" s="2">
        <f>VLOOKUP(A1513,[1]aaabonddata!$A:$B,2,0)</f>
        <v>1.99</v>
      </c>
    </row>
    <row r="1514" spans="1:12" x14ac:dyDescent="0.2">
      <c r="A1514" s="3">
        <v>40966</v>
      </c>
      <c r="B1514" s="2">
        <v>2606.7600000000002</v>
      </c>
      <c r="C1514" s="2">
        <v>2616.86</v>
      </c>
      <c r="D1514" s="2">
        <v>2579.63</v>
      </c>
      <c r="E1514" s="2">
        <v>2862833295230</v>
      </c>
      <c r="F1514" s="2">
        <v>0</v>
      </c>
      <c r="G1514">
        <v>1496.08</v>
      </c>
      <c r="H1514">
        <v>1505.35</v>
      </c>
      <c r="I1514">
        <v>1479.9</v>
      </c>
      <c r="J1514">
        <v>5083497778</v>
      </c>
      <c r="K1514">
        <v>0</v>
      </c>
      <c r="L1514" s="2">
        <f>VLOOKUP(A1514,[1]aaabonddata!$A:$B,2,0)</f>
        <v>1.95</v>
      </c>
    </row>
    <row r="1515" spans="1:12" x14ac:dyDescent="0.2">
      <c r="A1515" s="3">
        <v>40967</v>
      </c>
      <c r="B1515" s="2">
        <v>2633.46</v>
      </c>
      <c r="C1515" s="2">
        <v>2634.23</v>
      </c>
      <c r="D1515" s="2">
        <v>2607.5</v>
      </c>
      <c r="E1515" s="2">
        <v>2892151200457</v>
      </c>
      <c r="F1515" s="2">
        <v>24087686</v>
      </c>
      <c r="G1515">
        <v>1505.94</v>
      </c>
      <c r="H1515">
        <v>1511.31</v>
      </c>
      <c r="I1515">
        <v>1496.09</v>
      </c>
      <c r="J1515">
        <v>5116985710</v>
      </c>
      <c r="K1515">
        <v>0</v>
      </c>
      <c r="L1515" s="2">
        <f>VLOOKUP(A1515,[1]aaabonddata!$A:$B,2,0)</f>
        <v>1.94</v>
      </c>
    </row>
    <row r="1516" spans="1:12" x14ac:dyDescent="0.2">
      <c r="A1516" s="3">
        <v>40968</v>
      </c>
      <c r="B1516" s="2">
        <v>2623.1</v>
      </c>
      <c r="C1516" s="2">
        <v>2645.2</v>
      </c>
      <c r="D1516" s="2">
        <v>2614.48</v>
      </c>
      <c r="E1516" s="2">
        <v>2877969245822</v>
      </c>
      <c r="F1516" s="2">
        <v>423045651</v>
      </c>
      <c r="G1516">
        <v>1488.34</v>
      </c>
      <c r="H1516">
        <v>1510.73</v>
      </c>
      <c r="I1516">
        <v>1486.92</v>
      </c>
      <c r="J1516">
        <v>5057188803</v>
      </c>
      <c r="K1516">
        <v>408667</v>
      </c>
      <c r="L1516" s="2">
        <f>VLOOKUP(A1516,[1]aaabonddata!$A:$B,2,0)</f>
        <v>1.96</v>
      </c>
    </row>
    <row r="1517" spans="1:12" x14ac:dyDescent="0.2">
      <c r="A1517" s="3">
        <v>40969</v>
      </c>
      <c r="B1517" s="2">
        <v>2643.54</v>
      </c>
      <c r="C1517" s="2">
        <v>2645.91</v>
      </c>
      <c r="D1517" s="2">
        <v>2625.42</v>
      </c>
      <c r="E1517" s="2">
        <v>2900401853378</v>
      </c>
      <c r="F1517" s="2">
        <v>0</v>
      </c>
      <c r="G1517">
        <v>1497.05</v>
      </c>
      <c r="H1517">
        <v>1499.31</v>
      </c>
      <c r="I1517">
        <v>1486.8</v>
      </c>
      <c r="J1517">
        <v>5086769285</v>
      </c>
      <c r="K1517">
        <v>0</v>
      </c>
      <c r="L1517" s="2">
        <f>VLOOKUP(A1517,[1]aaabonddata!$A:$B,2,0)</f>
        <v>1.99</v>
      </c>
    </row>
    <row r="1518" spans="1:12" x14ac:dyDescent="0.2">
      <c r="A1518" s="3">
        <v>40970</v>
      </c>
      <c r="B1518" s="2">
        <v>2641.58</v>
      </c>
      <c r="C1518" s="2">
        <v>2650</v>
      </c>
      <c r="D1518" s="2">
        <v>2633.28</v>
      </c>
      <c r="E1518" s="2">
        <v>2898247633939</v>
      </c>
      <c r="F1518" s="2">
        <v>0</v>
      </c>
      <c r="G1518">
        <v>1491.44</v>
      </c>
      <c r="H1518">
        <v>1502.99</v>
      </c>
      <c r="I1518">
        <v>1485.69</v>
      </c>
      <c r="J1518">
        <v>5067703259</v>
      </c>
      <c r="K1518">
        <v>0</v>
      </c>
      <c r="L1518" s="2">
        <f>VLOOKUP(A1518,[1]aaabonddata!$A:$B,2,0)</f>
        <v>1.95</v>
      </c>
    </row>
    <row r="1519" spans="1:12" x14ac:dyDescent="0.2">
      <c r="A1519" s="3">
        <v>40973</v>
      </c>
      <c r="B1519" s="2">
        <v>2614.92</v>
      </c>
      <c r="C1519" s="2">
        <v>2642.75</v>
      </c>
      <c r="D1519" s="2">
        <v>2605.59</v>
      </c>
      <c r="E1519" s="2">
        <v>2868997694049</v>
      </c>
      <c r="F1519" s="2">
        <v>0</v>
      </c>
      <c r="G1519">
        <v>1468.89</v>
      </c>
      <c r="H1519">
        <v>1487.6</v>
      </c>
      <c r="I1519">
        <v>1462.89</v>
      </c>
      <c r="J1519">
        <v>4991085671</v>
      </c>
      <c r="K1519">
        <v>0</v>
      </c>
      <c r="L1519" s="2">
        <f>VLOOKUP(A1519,[1]aaabonddata!$A:$B,2,0)</f>
        <v>1.97</v>
      </c>
    </row>
    <row r="1520" spans="1:12" x14ac:dyDescent="0.2">
      <c r="A1520" s="3">
        <v>40974</v>
      </c>
      <c r="B1520" s="2">
        <v>2588.9499999999998</v>
      </c>
      <c r="C1520" s="2">
        <v>2593.64</v>
      </c>
      <c r="D1520" s="2">
        <v>2575.13</v>
      </c>
      <c r="E1520" s="2">
        <v>2840506870860</v>
      </c>
      <c r="F1520" s="2">
        <v>0</v>
      </c>
      <c r="G1520">
        <v>1449.44</v>
      </c>
      <c r="H1520">
        <v>1458.73</v>
      </c>
      <c r="I1520">
        <v>1441.62</v>
      </c>
      <c r="J1520">
        <v>4924999817</v>
      </c>
      <c r="K1520">
        <v>0</v>
      </c>
      <c r="L1520" s="2">
        <f>VLOOKUP(A1520,[1]aaabonddata!$A:$B,2,0)</f>
        <v>1.95</v>
      </c>
    </row>
    <row r="1521" spans="1:12" x14ac:dyDescent="0.2">
      <c r="A1521" s="3">
        <v>40975</v>
      </c>
      <c r="B1521" s="2">
        <v>2607.85</v>
      </c>
      <c r="C1521" s="2">
        <v>2614.23</v>
      </c>
      <c r="D1521" s="2">
        <v>2597.23</v>
      </c>
      <c r="E1521" s="2">
        <v>2861241452240</v>
      </c>
      <c r="F1521" s="2">
        <v>193035720</v>
      </c>
      <c r="G1521">
        <v>1465.07</v>
      </c>
      <c r="H1521">
        <v>1469.28</v>
      </c>
      <c r="I1521">
        <v>1452.82</v>
      </c>
      <c r="J1521">
        <v>4978114154</v>
      </c>
      <c r="K1521">
        <v>0</v>
      </c>
      <c r="L1521" s="2">
        <f>VLOOKUP(A1521,[1]aaabonddata!$A:$B,2,0)</f>
        <v>1.97</v>
      </c>
    </row>
    <row r="1522" spans="1:12" x14ac:dyDescent="0.2">
      <c r="A1522" s="3">
        <v>40976</v>
      </c>
      <c r="B1522" s="2">
        <v>2637.18</v>
      </c>
      <c r="C1522" s="2">
        <v>2643.89</v>
      </c>
      <c r="D1522" s="2">
        <v>2618.4699999999998</v>
      </c>
      <c r="E1522" s="2">
        <v>2893420685897</v>
      </c>
      <c r="F1522" s="2">
        <v>22901002</v>
      </c>
      <c r="G1522">
        <v>1481.09</v>
      </c>
      <c r="H1522">
        <v>1484.65</v>
      </c>
      <c r="I1522">
        <v>1471.89</v>
      </c>
      <c r="J1522">
        <v>5032534831</v>
      </c>
      <c r="K1522">
        <v>0</v>
      </c>
      <c r="L1522" s="2">
        <f>VLOOKUP(A1522,[1]aaabonddata!$A:$B,2,0)</f>
        <v>1.99</v>
      </c>
    </row>
    <row r="1523" spans="1:12" x14ac:dyDescent="0.2">
      <c r="A1523" s="3">
        <v>40977</v>
      </c>
      <c r="B1523" s="2">
        <v>2646.85</v>
      </c>
      <c r="C1523" s="2">
        <v>2651.98</v>
      </c>
      <c r="D1523" s="2">
        <v>2639.6</v>
      </c>
      <c r="E1523" s="2">
        <v>2904031002828</v>
      </c>
      <c r="F1523" s="2">
        <v>0</v>
      </c>
      <c r="G1523">
        <v>1494.36</v>
      </c>
      <c r="H1523">
        <v>1497.27</v>
      </c>
      <c r="I1523">
        <v>1483.97</v>
      </c>
      <c r="J1523">
        <v>5077633862</v>
      </c>
      <c r="K1523">
        <v>0</v>
      </c>
      <c r="L1523" s="2">
        <f>VLOOKUP(A1523,[1]aaabonddata!$A:$B,2,0)</f>
        <v>1.99</v>
      </c>
    </row>
    <row r="1524" spans="1:12" x14ac:dyDescent="0.2">
      <c r="A1524" s="3">
        <v>40980</v>
      </c>
      <c r="B1524" s="2">
        <v>2646.85</v>
      </c>
      <c r="C1524" s="2">
        <v>2651.64</v>
      </c>
      <c r="D1524" s="2">
        <v>2635.76</v>
      </c>
      <c r="E1524" s="2">
        <v>2904027001256</v>
      </c>
      <c r="F1524" s="2">
        <v>146379975</v>
      </c>
      <c r="G1524">
        <v>1488.98</v>
      </c>
      <c r="H1524">
        <v>1494.79</v>
      </c>
      <c r="I1524">
        <v>1481.88</v>
      </c>
      <c r="J1524">
        <v>5059367978</v>
      </c>
      <c r="K1524">
        <v>0</v>
      </c>
      <c r="L1524" s="2">
        <f>VLOOKUP(A1524,[1]aaabonddata!$A:$B,2,0)</f>
        <v>1.98</v>
      </c>
    </row>
    <row r="1525" spans="1:12" x14ac:dyDescent="0.2">
      <c r="A1525" s="3">
        <v>40981</v>
      </c>
      <c r="B1525" s="2">
        <v>2697.43</v>
      </c>
      <c r="C1525" s="2">
        <v>2697.64</v>
      </c>
      <c r="D1525" s="2">
        <v>2658.09</v>
      </c>
      <c r="E1525" s="2">
        <v>2959521822533</v>
      </c>
      <c r="F1525" s="2">
        <v>77668709</v>
      </c>
      <c r="G1525">
        <v>1523.04</v>
      </c>
      <c r="H1525">
        <v>1523.21</v>
      </c>
      <c r="I1525">
        <v>1497.94</v>
      </c>
      <c r="J1525">
        <v>5175094734</v>
      </c>
      <c r="K1525">
        <v>1052631</v>
      </c>
      <c r="L1525" s="2">
        <f>VLOOKUP(A1525,[1]aaabonddata!$A:$B,2,0)</f>
        <v>2.02</v>
      </c>
    </row>
    <row r="1526" spans="1:12" x14ac:dyDescent="0.2">
      <c r="A1526" s="3">
        <v>40982</v>
      </c>
      <c r="B1526" s="2">
        <v>2708.41</v>
      </c>
      <c r="C1526" s="2">
        <v>2717.86</v>
      </c>
      <c r="D1526" s="2">
        <v>2690.4</v>
      </c>
      <c r="E1526" s="2">
        <v>2971573882404</v>
      </c>
      <c r="F1526" s="2">
        <v>0</v>
      </c>
      <c r="G1526">
        <v>1515.01</v>
      </c>
      <c r="H1526">
        <v>1528.74</v>
      </c>
      <c r="I1526">
        <v>1508.61</v>
      </c>
      <c r="J1526">
        <v>5147786630</v>
      </c>
      <c r="K1526">
        <v>0</v>
      </c>
      <c r="L1526" s="2">
        <f>VLOOKUP(A1526,[1]aaabonddata!$A:$B,2,0)</f>
        <v>2.14</v>
      </c>
    </row>
    <row r="1527" spans="1:12" x14ac:dyDescent="0.2">
      <c r="A1527" s="3">
        <v>40983</v>
      </c>
      <c r="B1527" s="2">
        <v>2714.79</v>
      </c>
      <c r="C1527" s="2">
        <v>2720.49</v>
      </c>
      <c r="D1527" s="2">
        <v>2701.65</v>
      </c>
      <c r="E1527" s="2">
        <v>2978567956726</v>
      </c>
      <c r="F1527" s="2">
        <v>31964450</v>
      </c>
      <c r="G1527">
        <v>1528.1</v>
      </c>
      <c r="H1527">
        <v>1529.33</v>
      </c>
      <c r="I1527">
        <v>1512.66</v>
      </c>
      <c r="J1527">
        <v>5192287702</v>
      </c>
      <c r="K1527">
        <v>451388</v>
      </c>
      <c r="L1527" s="2">
        <f>VLOOKUP(A1527,[1]aaabonddata!$A:$B,2,0)</f>
        <v>2.09</v>
      </c>
    </row>
    <row r="1528" spans="1:12" x14ac:dyDescent="0.2">
      <c r="A1528" s="3">
        <v>40984</v>
      </c>
      <c r="B1528" s="2">
        <v>2712.78</v>
      </c>
      <c r="C1528" s="2">
        <v>2719.61</v>
      </c>
      <c r="D1528" s="2">
        <v>2706.96</v>
      </c>
      <c r="E1528" s="2">
        <v>2976364189787</v>
      </c>
      <c r="F1528" s="2">
        <v>0</v>
      </c>
      <c r="G1528">
        <v>1529.58</v>
      </c>
      <c r="H1528">
        <v>1532.86</v>
      </c>
      <c r="I1528">
        <v>1523.82</v>
      </c>
      <c r="J1528">
        <v>5197323138</v>
      </c>
      <c r="K1528">
        <v>0</v>
      </c>
      <c r="L1528" s="2">
        <f>VLOOKUP(A1528,[1]aaabonddata!$A:$B,2,0)</f>
        <v>2.09</v>
      </c>
    </row>
    <row r="1529" spans="1:12" x14ac:dyDescent="0.2">
      <c r="A1529" s="3">
        <v>40987</v>
      </c>
      <c r="B1529" s="2">
        <v>2733.26</v>
      </c>
      <c r="C1529" s="2">
        <v>2738.22</v>
      </c>
      <c r="D1529" s="2">
        <v>2710.63</v>
      </c>
      <c r="E1529" s="2">
        <v>2985497496364</v>
      </c>
      <c r="F1529" s="2">
        <v>202116008</v>
      </c>
      <c r="G1529">
        <v>1536.53</v>
      </c>
      <c r="H1529">
        <v>1542.78</v>
      </c>
      <c r="I1529">
        <v>1524.39</v>
      </c>
      <c r="J1529">
        <v>4319516103</v>
      </c>
      <c r="K1529">
        <v>0</v>
      </c>
      <c r="L1529" s="2">
        <f>VLOOKUP(A1529,[1]aaabonddata!$A:$B,2,0)</f>
        <v>2.15</v>
      </c>
    </row>
    <row r="1530" spans="1:12" x14ac:dyDescent="0.2">
      <c r="A1530" s="3">
        <v>40988</v>
      </c>
      <c r="B1530" s="2">
        <v>2737.63</v>
      </c>
      <c r="C1530" s="2">
        <v>2740.35</v>
      </c>
      <c r="D1530" s="2">
        <v>2711.1</v>
      </c>
      <c r="E1530" s="2">
        <v>2990272348334</v>
      </c>
      <c r="F1530" s="2">
        <v>0</v>
      </c>
      <c r="G1530">
        <v>1529.56</v>
      </c>
      <c r="H1530">
        <v>1531.64</v>
      </c>
      <c r="I1530">
        <v>1516.76</v>
      </c>
      <c r="J1530">
        <v>4299919386</v>
      </c>
      <c r="K1530">
        <v>0</v>
      </c>
      <c r="L1530" s="2">
        <f>VLOOKUP(A1530,[1]aaabonddata!$A:$B,2,0)</f>
        <v>2.14</v>
      </c>
    </row>
    <row r="1531" spans="1:12" x14ac:dyDescent="0.2">
      <c r="A1531" s="3">
        <v>40989</v>
      </c>
      <c r="B1531" s="2">
        <v>2736.88</v>
      </c>
      <c r="C1531" s="2">
        <v>2752.46</v>
      </c>
      <c r="D1531" s="2">
        <v>2733.91</v>
      </c>
      <c r="E1531" s="2">
        <v>2989448413137</v>
      </c>
      <c r="F1531" s="2">
        <v>76351269</v>
      </c>
      <c r="G1531">
        <v>1535.31</v>
      </c>
      <c r="H1531">
        <v>1541.23</v>
      </c>
      <c r="I1531">
        <v>1526.59</v>
      </c>
      <c r="J1531">
        <v>4316097670</v>
      </c>
      <c r="K1531">
        <v>0</v>
      </c>
      <c r="L1531" s="2">
        <f>VLOOKUP(A1531,[1]aaabonddata!$A:$B,2,0)</f>
        <v>2.08</v>
      </c>
    </row>
    <row r="1532" spans="1:12" x14ac:dyDescent="0.2">
      <c r="A1532" s="3">
        <v>40990</v>
      </c>
      <c r="B1532" s="2">
        <v>2731.5</v>
      </c>
      <c r="C1532" s="2">
        <v>2737.83</v>
      </c>
      <c r="D1532" s="2">
        <v>2719.74</v>
      </c>
      <c r="E1532" s="2">
        <v>2983575096245</v>
      </c>
      <c r="F1532" s="2">
        <v>0</v>
      </c>
      <c r="G1532">
        <v>1530.44</v>
      </c>
      <c r="H1532">
        <v>1534.31</v>
      </c>
      <c r="I1532">
        <v>1521.57</v>
      </c>
      <c r="J1532">
        <v>4302413691</v>
      </c>
      <c r="K1532">
        <v>0</v>
      </c>
      <c r="L1532" s="2">
        <f>VLOOKUP(A1532,[1]aaabonddata!$A:$B,2,0)</f>
        <v>2.0699999999999998</v>
      </c>
    </row>
    <row r="1533" spans="1:12" x14ac:dyDescent="0.2">
      <c r="A1533" s="3">
        <v>40991</v>
      </c>
      <c r="B1533" s="2">
        <v>2728.55</v>
      </c>
      <c r="C1533" s="2">
        <v>2734.68</v>
      </c>
      <c r="D1533" s="2">
        <v>2714.6</v>
      </c>
      <c r="E1533" s="2">
        <v>2980353806869</v>
      </c>
      <c r="F1533" s="2">
        <v>0</v>
      </c>
      <c r="G1533">
        <v>1528.71</v>
      </c>
      <c r="H1533">
        <v>1530.49</v>
      </c>
      <c r="I1533">
        <v>1515.5</v>
      </c>
      <c r="J1533">
        <v>4297536177</v>
      </c>
      <c r="K1533">
        <v>0</v>
      </c>
      <c r="L1533" s="2">
        <f>VLOOKUP(A1533,[1]aaabonddata!$A:$B,2,0)</f>
        <v>2.04</v>
      </c>
    </row>
    <row r="1534" spans="1:12" x14ac:dyDescent="0.2">
      <c r="A1534" s="3">
        <v>40994</v>
      </c>
      <c r="B1534" s="2">
        <v>2778.02</v>
      </c>
      <c r="C1534" s="2">
        <v>2778.02</v>
      </c>
      <c r="D1534" s="2">
        <v>2746.43</v>
      </c>
      <c r="E1534" s="2">
        <v>3034391573409</v>
      </c>
      <c r="F1534" s="2">
        <v>0</v>
      </c>
      <c r="G1534">
        <v>1554.44</v>
      </c>
      <c r="H1534">
        <v>1554.45</v>
      </c>
      <c r="I1534">
        <v>1536.45</v>
      </c>
      <c r="J1534">
        <v>4369888130</v>
      </c>
      <c r="K1534">
        <v>0</v>
      </c>
      <c r="L1534" s="2">
        <f>VLOOKUP(A1534,[1]aaabonddata!$A:$B,2,0)</f>
        <v>2.04</v>
      </c>
    </row>
    <row r="1535" spans="1:12" x14ac:dyDescent="0.2">
      <c r="A1535" s="3">
        <v>40995</v>
      </c>
      <c r="B1535" s="2">
        <v>2782.12</v>
      </c>
      <c r="C1535" s="2">
        <v>2793.44</v>
      </c>
      <c r="D1535" s="2">
        <v>2778.91</v>
      </c>
      <c r="E1535" s="2">
        <v>3038872346487</v>
      </c>
      <c r="F1535" s="2">
        <v>0</v>
      </c>
      <c r="G1535">
        <v>1551.18</v>
      </c>
      <c r="H1535">
        <v>1559.13</v>
      </c>
      <c r="I1535">
        <v>1550.76</v>
      </c>
      <c r="J1535">
        <v>4360712608</v>
      </c>
      <c r="K1535">
        <v>0</v>
      </c>
      <c r="L1535" s="2">
        <f>VLOOKUP(A1535,[1]aaabonddata!$A:$B,2,0)</f>
        <v>2</v>
      </c>
    </row>
    <row r="1536" spans="1:12" x14ac:dyDescent="0.2">
      <c r="A1536" s="3">
        <v>40996</v>
      </c>
      <c r="B1536" s="2">
        <v>2770.97</v>
      </c>
      <c r="C1536" s="2">
        <v>2794</v>
      </c>
      <c r="D1536" s="2">
        <v>2754.97</v>
      </c>
      <c r="E1536" s="2">
        <v>3026690533566</v>
      </c>
      <c r="F1536" s="2">
        <v>7812243</v>
      </c>
      <c r="G1536">
        <v>1539.68</v>
      </c>
      <c r="H1536">
        <v>1554.29</v>
      </c>
      <c r="I1536">
        <v>1529.41</v>
      </c>
      <c r="J1536">
        <v>4328394750</v>
      </c>
      <c r="K1536">
        <v>0</v>
      </c>
      <c r="L1536" s="2">
        <f>VLOOKUP(A1536,[1]aaabonddata!$A:$B,2,0)</f>
        <v>2.0099999999999998</v>
      </c>
    </row>
    <row r="1537" spans="1:12" x14ac:dyDescent="0.2">
      <c r="A1537" s="3">
        <v>40997</v>
      </c>
      <c r="B1537" s="2">
        <v>2762.05</v>
      </c>
      <c r="C1537" s="2">
        <v>2769.83</v>
      </c>
      <c r="D1537" s="2">
        <v>2741.32</v>
      </c>
      <c r="E1537" s="2">
        <v>3016945741347</v>
      </c>
      <c r="F1537" s="2">
        <v>0</v>
      </c>
      <c r="G1537">
        <v>1541.13</v>
      </c>
      <c r="H1537">
        <v>1543.04</v>
      </c>
      <c r="I1537">
        <v>1524.47</v>
      </c>
      <c r="J1537">
        <v>4332454779</v>
      </c>
      <c r="K1537">
        <v>0</v>
      </c>
      <c r="L1537" s="2">
        <f>VLOOKUP(A1537,[1]aaabonddata!$A:$B,2,0)</f>
        <v>1.98</v>
      </c>
    </row>
    <row r="1538" spans="1:12" x14ac:dyDescent="0.2">
      <c r="A1538" s="3">
        <v>40998</v>
      </c>
      <c r="B1538" s="2">
        <v>2755.27</v>
      </c>
      <c r="C1538" s="2">
        <v>2774.52</v>
      </c>
      <c r="D1538" s="2">
        <v>2744.47</v>
      </c>
      <c r="E1538" s="2">
        <v>3009537935445</v>
      </c>
      <c r="F1538" s="2">
        <v>0</v>
      </c>
      <c r="G1538">
        <v>1545.29</v>
      </c>
      <c r="H1538">
        <v>1550.33</v>
      </c>
      <c r="I1538">
        <v>1533.26</v>
      </c>
      <c r="J1538">
        <v>4344141355</v>
      </c>
      <c r="K1538">
        <v>0</v>
      </c>
      <c r="L1538" s="2">
        <f>VLOOKUP(A1538,[1]aaabonddata!$A:$B,2,0)</f>
        <v>2.0099999999999998</v>
      </c>
    </row>
    <row r="1539" spans="1:12" x14ac:dyDescent="0.2">
      <c r="A1539" s="3">
        <v>41001</v>
      </c>
      <c r="B1539" s="2">
        <v>2784.42</v>
      </c>
      <c r="C1539" s="2">
        <v>2787.25</v>
      </c>
      <c r="D1539" s="2">
        <v>2747.54</v>
      </c>
      <c r="E1539" s="2">
        <v>3041379726393</v>
      </c>
      <c r="F1539" s="2">
        <v>340514931</v>
      </c>
      <c r="G1539">
        <v>1554.14</v>
      </c>
      <c r="H1539">
        <v>1557.18</v>
      </c>
      <c r="I1539">
        <v>1532.69</v>
      </c>
      <c r="J1539">
        <v>4369037893</v>
      </c>
      <c r="K1539">
        <v>0</v>
      </c>
      <c r="L1539" s="2">
        <f>VLOOKUP(A1539,[1]aaabonddata!$A:$B,2,0)</f>
        <v>1.96</v>
      </c>
    </row>
    <row r="1540" spans="1:12" x14ac:dyDescent="0.2">
      <c r="A1540" s="3">
        <v>41002</v>
      </c>
      <c r="B1540" s="2">
        <v>2782.78</v>
      </c>
      <c r="C1540" s="2">
        <v>2795.35</v>
      </c>
      <c r="D1540" s="2">
        <v>2767.05</v>
      </c>
      <c r="E1540" s="2">
        <v>3039591309669</v>
      </c>
      <c r="F1540" s="2">
        <v>456406548</v>
      </c>
      <c r="G1540">
        <v>1540.3</v>
      </c>
      <c r="H1540">
        <v>1553.35</v>
      </c>
      <c r="I1540">
        <v>1532.28</v>
      </c>
      <c r="J1540">
        <v>4330112115</v>
      </c>
      <c r="K1540">
        <v>399400</v>
      </c>
      <c r="L1540" s="2">
        <f>VLOOKUP(A1540,[1]aaabonddata!$A:$B,2,0)</f>
        <v>2.02</v>
      </c>
    </row>
    <row r="1541" spans="1:12" x14ac:dyDescent="0.2">
      <c r="A1541" s="3">
        <v>41003</v>
      </c>
      <c r="B1541" s="2">
        <v>2745</v>
      </c>
      <c r="C1541" s="2">
        <v>2762.73</v>
      </c>
      <c r="D1541" s="2">
        <v>2729.21</v>
      </c>
      <c r="E1541" s="2">
        <v>2998317388135</v>
      </c>
      <c r="F1541" s="2">
        <v>0</v>
      </c>
      <c r="G1541">
        <v>1511.92</v>
      </c>
      <c r="H1541">
        <v>1525.84</v>
      </c>
      <c r="I1541">
        <v>1503.74</v>
      </c>
      <c r="J1541">
        <v>4250333951</v>
      </c>
      <c r="K1541">
        <v>0</v>
      </c>
      <c r="L1541" s="2">
        <f>VLOOKUP(A1541,[1]aaabonddata!$A:$B,2,0)</f>
        <v>1.99</v>
      </c>
    </row>
    <row r="1542" spans="1:12" x14ac:dyDescent="0.2">
      <c r="A1542" s="3">
        <v>41004</v>
      </c>
      <c r="B1542" s="2">
        <v>2762.5</v>
      </c>
      <c r="C1542" s="2">
        <v>2764.21</v>
      </c>
      <c r="D1542" s="2">
        <v>2739.1</v>
      </c>
      <c r="E1542" s="2">
        <v>3017437117895</v>
      </c>
      <c r="F1542" s="2">
        <v>44236252</v>
      </c>
      <c r="G1542">
        <v>1511.91</v>
      </c>
      <c r="H1542">
        <v>1513.2</v>
      </c>
      <c r="I1542">
        <v>1505.07</v>
      </c>
      <c r="J1542">
        <v>4250307680</v>
      </c>
      <c r="K1542">
        <v>249418</v>
      </c>
      <c r="L1542" s="2">
        <f>VLOOKUP(A1542,[1]aaabonddata!$A:$B,2,0)</f>
        <v>1.96</v>
      </c>
    </row>
    <row r="1543" spans="1:12" x14ac:dyDescent="0.2">
      <c r="A1543" s="3">
        <v>41008</v>
      </c>
      <c r="B1543" s="2">
        <v>2739.98</v>
      </c>
      <c r="C1543" s="2">
        <v>2751.44</v>
      </c>
      <c r="D1543" s="2">
        <v>2722.77</v>
      </c>
      <c r="E1543" s="2">
        <v>2992835834420</v>
      </c>
      <c r="F1543" s="2">
        <v>301550220</v>
      </c>
      <c r="G1543">
        <v>1494.58</v>
      </c>
      <c r="H1543">
        <v>1499.69</v>
      </c>
      <c r="I1543">
        <v>1484.24</v>
      </c>
      <c r="J1543">
        <v>4201599522</v>
      </c>
      <c r="K1543">
        <v>201748</v>
      </c>
      <c r="L1543" s="2">
        <f>VLOOKUP(A1543,[1]aaabonddata!$A:$B,2,0)</f>
        <v>1.9</v>
      </c>
    </row>
    <row r="1544" spans="1:12" x14ac:dyDescent="0.2">
      <c r="A1544" s="3">
        <v>41009</v>
      </c>
      <c r="B1544" s="2">
        <v>2695.12</v>
      </c>
      <c r="C1544" s="2">
        <v>2749.51</v>
      </c>
      <c r="D1544" s="2">
        <v>2688.21</v>
      </c>
      <c r="E1544" s="2">
        <v>2943840657878</v>
      </c>
      <c r="F1544" s="2">
        <v>0</v>
      </c>
      <c r="G1544">
        <v>1468.68</v>
      </c>
      <c r="H1544">
        <v>1501.01</v>
      </c>
      <c r="I1544">
        <v>1465.58</v>
      </c>
      <c r="J1544">
        <v>4128784583</v>
      </c>
      <c r="K1544">
        <v>0</v>
      </c>
      <c r="L1544" s="2">
        <f>VLOOKUP(A1544,[1]aaabonddata!$A:$B,2,0)</f>
        <v>1.86</v>
      </c>
    </row>
    <row r="1545" spans="1:12" x14ac:dyDescent="0.2">
      <c r="A1545" s="3">
        <v>41010</v>
      </c>
      <c r="B1545" s="2">
        <v>2708.13</v>
      </c>
      <c r="C1545" s="2">
        <v>2726.94</v>
      </c>
      <c r="D1545" s="2">
        <v>2702.97</v>
      </c>
      <c r="E1545" s="2">
        <v>2958045200984</v>
      </c>
      <c r="F1545" s="2">
        <v>0</v>
      </c>
      <c r="G1545">
        <v>1480.48</v>
      </c>
      <c r="H1545">
        <v>1490.74</v>
      </c>
      <c r="I1545">
        <v>1475.36</v>
      </c>
      <c r="J1545">
        <v>4161961105</v>
      </c>
      <c r="K1545">
        <v>0</v>
      </c>
      <c r="L1545" s="2">
        <f>VLOOKUP(A1545,[1]aaabonddata!$A:$B,2,0)</f>
        <v>1.9</v>
      </c>
    </row>
    <row r="1546" spans="1:12" x14ac:dyDescent="0.2">
      <c r="A1546" s="3">
        <v>41011</v>
      </c>
      <c r="B1546" s="2">
        <v>2740.26</v>
      </c>
      <c r="C1546" s="2">
        <v>2743.41</v>
      </c>
      <c r="D1546" s="2">
        <v>2711.04</v>
      </c>
      <c r="E1546" s="2">
        <v>2993143102597</v>
      </c>
      <c r="F1546" s="2">
        <v>0</v>
      </c>
      <c r="G1546">
        <v>1502.32</v>
      </c>
      <c r="H1546">
        <v>1504.66</v>
      </c>
      <c r="I1546">
        <v>1483.75</v>
      </c>
      <c r="J1546">
        <v>4223347923</v>
      </c>
      <c r="K1546">
        <v>0</v>
      </c>
      <c r="L1546" s="2">
        <f>VLOOKUP(A1546,[1]aaabonddata!$A:$B,2,0)</f>
        <v>1.9</v>
      </c>
    </row>
    <row r="1547" spans="1:12" x14ac:dyDescent="0.2">
      <c r="A1547" s="3">
        <v>41012</v>
      </c>
      <c r="B1547" s="2">
        <v>2698.99</v>
      </c>
      <c r="C1547" s="2">
        <v>2731.35</v>
      </c>
      <c r="D1547" s="2">
        <v>2698.11</v>
      </c>
      <c r="E1547" s="2">
        <v>2948070625419</v>
      </c>
      <c r="F1547" s="2">
        <v>0</v>
      </c>
      <c r="G1547">
        <v>1478.8</v>
      </c>
      <c r="H1547">
        <v>1496.04</v>
      </c>
      <c r="I1547">
        <v>1478.51</v>
      </c>
      <c r="J1547">
        <v>4157234524</v>
      </c>
      <c r="K1547">
        <v>0</v>
      </c>
      <c r="L1547" s="2">
        <f>VLOOKUP(A1547,[1]aaabonddata!$A:$B,2,0)</f>
        <v>1.87</v>
      </c>
    </row>
    <row r="1548" spans="1:12" x14ac:dyDescent="0.2">
      <c r="A1548" s="3">
        <v>41015</v>
      </c>
      <c r="B1548" s="2">
        <v>2670.1</v>
      </c>
      <c r="C1548" s="2">
        <v>2713.89</v>
      </c>
      <c r="D1548" s="2">
        <v>2660.96</v>
      </c>
      <c r="E1548" s="2">
        <v>2916506666745</v>
      </c>
      <c r="F1548" s="2">
        <v>0</v>
      </c>
      <c r="G1548">
        <v>1476.64</v>
      </c>
      <c r="H1548">
        <v>1490.5</v>
      </c>
      <c r="I1548">
        <v>1465.34</v>
      </c>
      <c r="J1548">
        <v>4151162413</v>
      </c>
      <c r="K1548">
        <v>0</v>
      </c>
      <c r="L1548" s="2">
        <f>VLOOKUP(A1548,[1]aaabonddata!$A:$B,2,0)</f>
        <v>1.86</v>
      </c>
    </row>
    <row r="1549" spans="1:12" x14ac:dyDescent="0.2">
      <c r="A1549" s="3">
        <v>41016</v>
      </c>
      <c r="B1549" s="2">
        <v>2723.58</v>
      </c>
      <c r="C1549" s="2">
        <v>2731.38</v>
      </c>
      <c r="D1549" s="2">
        <v>2675.14</v>
      </c>
      <c r="E1549" s="2">
        <v>2974924018279</v>
      </c>
      <c r="F1549" s="2">
        <v>0</v>
      </c>
      <c r="G1549">
        <v>1499.58</v>
      </c>
      <c r="H1549">
        <v>1505.85</v>
      </c>
      <c r="I1549">
        <v>1485.3</v>
      </c>
      <c r="J1549">
        <v>4215650033</v>
      </c>
      <c r="K1549">
        <v>0</v>
      </c>
      <c r="L1549" s="2">
        <f>VLOOKUP(A1549,[1]aaabonddata!$A:$B,2,0)</f>
        <v>1.88</v>
      </c>
    </row>
    <row r="1550" spans="1:12" x14ac:dyDescent="0.2">
      <c r="A1550" s="3">
        <v>41017</v>
      </c>
      <c r="B1550" s="2">
        <v>2716.14</v>
      </c>
      <c r="C1550" s="2">
        <v>2732.03</v>
      </c>
      <c r="D1550" s="2">
        <v>2707.91</v>
      </c>
      <c r="E1550" s="2">
        <v>2985544595619</v>
      </c>
      <c r="F1550" s="2">
        <v>0</v>
      </c>
      <c r="G1550">
        <v>1494.94</v>
      </c>
      <c r="H1550">
        <v>1500.55</v>
      </c>
      <c r="I1550">
        <v>1488.31</v>
      </c>
      <c r="J1550">
        <v>4202602803</v>
      </c>
      <c r="K1550">
        <v>0</v>
      </c>
      <c r="L1550" s="2">
        <f>VLOOKUP(A1550,[1]aaabonddata!$A:$B,2,0)</f>
        <v>1.87</v>
      </c>
    </row>
    <row r="1551" spans="1:12" x14ac:dyDescent="0.2">
      <c r="A1551" s="3">
        <v>41018</v>
      </c>
      <c r="B1551" s="2">
        <v>2686.82</v>
      </c>
      <c r="C1551" s="2">
        <v>2738.59</v>
      </c>
      <c r="D1551" s="2">
        <v>2676.09</v>
      </c>
      <c r="E1551" s="2">
        <v>2953308650073</v>
      </c>
      <c r="F1551" s="2">
        <v>0</v>
      </c>
      <c r="G1551">
        <v>1481.23</v>
      </c>
      <c r="H1551">
        <v>1513.83</v>
      </c>
      <c r="I1551">
        <v>1473.62</v>
      </c>
      <c r="J1551">
        <v>4164064320</v>
      </c>
      <c r="K1551">
        <v>0</v>
      </c>
      <c r="L1551" s="2">
        <f>VLOOKUP(A1551,[1]aaabonddata!$A:$B,2,0)</f>
        <v>1.86</v>
      </c>
    </row>
    <row r="1552" spans="1:12" x14ac:dyDescent="0.2">
      <c r="A1552" s="3">
        <v>41019</v>
      </c>
      <c r="B1552" s="2">
        <v>2676.04</v>
      </c>
      <c r="C1552" s="2">
        <v>2712.01</v>
      </c>
      <c r="D1552" s="2">
        <v>2674.66</v>
      </c>
      <c r="E1552" s="2">
        <v>2941463887244</v>
      </c>
      <c r="F1552" s="2">
        <v>0</v>
      </c>
      <c r="G1552">
        <v>1462.7</v>
      </c>
      <c r="H1552">
        <v>1479.53</v>
      </c>
      <c r="I1552">
        <v>1462.5</v>
      </c>
      <c r="J1552">
        <v>4111983323</v>
      </c>
      <c r="K1552">
        <v>0</v>
      </c>
      <c r="L1552" s="2">
        <f>VLOOKUP(A1552,[1]aaabonddata!$A:$B,2,0)</f>
        <v>1.88</v>
      </c>
    </row>
    <row r="1553" spans="1:12" x14ac:dyDescent="0.2">
      <c r="A1553" s="3">
        <v>41022</v>
      </c>
      <c r="B1553" s="2">
        <v>2653.5</v>
      </c>
      <c r="C1553" s="2">
        <v>2657.36</v>
      </c>
      <c r="D1553" s="2">
        <v>2629.7</v>
      </c>
      <c r="E1553" s="2">
        <v>2951782809649</v>
      </c>
      <c r="F1553" s="2">
        <v>0</v>
      </c>
      <c r="G1553">
        <v>1448.32</v>
      </c>
      <c r="H1553">
        <v>1450.09</v>
      </c>
      <c r="I1553">
        <v>1431.85</v>
      </c>
      <c r="J1553">
        <v>4071535448</v>
      </c>
      <c r="K1553">
        <v>0</v>
      </c>
      <c r="L1553" s="2">
        <f>VLOOKUP(A1553,[1]aaabonddata!$A:$B,2,0)</f>
        <v>1.86</v>
      </c>
    </row>
    <row r="1554" spans="1:12" x14ac:dyDescent="0.2">
      <c r="A1554" s="3">
        <v>41023</v>
      </c>
      <c r="B1554" s="2">
        <v>2638.73</v>
      </c>
      <c r="C1554" s="2">
        <v>2659.52</v>
      </c>
      <c r="D1554" s="2">
        <v>2628.96</v>
      </c>
      <c r="E1554" s="2">
        <v>2935352033558</v>
      </c>
      <c r="F1554" s="2">
        <v>0</v>
      </c>
      <c r="G1554">
        <v>1433.19</v>
      </c>
      <c r="H1554">
        <v>1447.37</v>
      </c>
      <c r="I1554">
        <v>1428.24</v>
      </c>
      <c r="J1554">
        <v>4029009559</v>
      </c>
      <c r="K1554">
        <v>0</v>
      </c>
      <c r="L1554" s="2">
        <f>VLOOKUP(A1554,[1]aaabonddata!$A:$B,2,0)</f>
        <v>1.9</v>
      </c>
    </row>
    <row r="1555" spans="1:12" x14ac:dyDescent="0.2">
      <c r="A1555" s="3">
        <v>41024</v>
      </c>
      <c r="B1555" s="2">
        <v>2709.62</v>
      </c>
      <c r="C1555" s="2">
        <v>2710.87</v>
      </c>
      <c r="D1555" s="2">
        <v>2691.12</v>
      </c>
      <c r="E1555" s="2">
        <v>3014202971983</v>
      </c>
      <c r="F1555" s="2">
        <v>0</v>
      </c>
      <c r="G1555">
        <v>1461.54</v>
      </c>
      <c r="H1555">
        <v>1462.03</v>
      </c>
      <c r="I1555">
        <v>1445.97</v>
      </c>
      <c r="J1555">
        <v>4108709039</v>
      </c>
      <c r="K1555">
        <v>0</v>
      </c>
      <c r="L1555" s="2">
        <f>VLOOKUP(A1555,[1]aaabonddata!$A:$B,2,0)</f>
        <v>1.93</v>
      </c>
    </row>
    <row r="1556" spans="1:12" x14ac:dyDescent="0.2">
      <c r="A1556" s="3">
        <v>41025</v>
      </c>
      <c r="B1556" s="2">
        <v>2725.23</v>
      </c>
      <c r="C1556" s="2">
        <v>2731.73</v>
      </c>
      <c r="D1556" s="2">
        <v>2705.91</v>
      </c>
      <c r="E1556" s="2">
        <v>3031569764539</v>
      </c>
      <c r="F1556" s="2">
        <v>194645157</v>
      </c>
      <c r="G1556">
        <v>1479.7</v>
      </c>
      <c r="H1556">
        <v>1483.32</v>
      </c>
      <c r="I1556">
        <v>1466.41</v>
      </c>
      <c r="J1556">
        <v>4159761517</v>
      </c>
      <c r="K1556">
        <v>0</v>
      </c>
      <c r="L1556" s="2">
        <f>VLOOKUP(A1556,[1]aaabonddata!$A:$B,2,0)</f>
        <v>1.91</v>
      </c>
    </row>
    <row r="1557" spans="1:12" x14ac:dyDescent="0.2">
      <c r="A1557" s="3">
        <v>41026</v>
      </c>
      <c r="B1557" s="2">
        <v>2741.34</v>
      </c>
      <c r="C1557" s="2">
        <v>2750.5</v>
      </c>
      <c r="D1557" s="2">
        <v>2723.16</v>
      </c>
      <c r="E1557" s="2">
        <v>3049493899549</v>
      </c>
      <c r="F1557" s="2">
        <v>0</v>
      </c>
      <c r="G1557">
        <v>1479.14</v>
      </c>
      <c r="H1557">
        <v>1485.23</v>
      </c>
      <c r="I1557">
        <v>1467.77</v>
      </c>
      <c r="J1557">
        <v>4158193491</v>
      </c>
      <c r="K1557">
        <v>0</v>
      </c>
      <c r="L1557" s="2">
        <f>VLOOKUP(A1557,[1]aaabonddata!$A:$B,2,0)</f>
        <v>1.91</v>
      </c>
    </row>
    <row r="1558" spans="1:12" x14ac:dyDescent="0.2">
      <c r="A1558" s="3">
        <v>41029</v>
      </c>
      <c r="B1558" s="2">
        <v>2723.68</v>
      </c>
      <c r="C1558" s="2">
        <v>2737.54</v>
      </c>
      <c r="D1558" s="2">
        <v>2720.44</v>
      </c>
      <c r="E1558" s="2">
        <v>3029853642232</v>
      </c>
      <c r="F1558" s="2">
        <v>162378825</v>
      </c>
      <c r="G1558">
        <v>1476.82</v>
      </c>
      <c r="H1558">
        <v>1480.44</v>
      </c>
      <c r="I1558">
        <v>1472.76</v>
      </c>
      <c r="J1558">
        <v>4151664714</v>
      </c>
      <c r="K1558">
        <v>935979</v>
      </c>
      <c r="L1558" s="2">
        <f>VLOOKUP(A1558,[1]aaabonddata!$A:$B,2,0)</f>
        <v>1.9</v>
      </c>
    </row>
    <row r="1559" spans="1:12" x14ac:dyDescent="0.2">
      <c r="A1559" s="3">
        <v>41030</v>
      </c>
      <c r="B1559" s="2">
        <v>2726.92</v>
      </c>
      <c r="C1559" s="2">
        <v>2756.81</v>
      </c>
      <c r="D1559" s="2">
        <v>2715.75</v>
      </c>
      <c r="E1559" s="2">
        <v>3033458158385</v>
      </c>
      <c r="F1559" s="2">
        <v>0</v>
      </c>
      <c r="G1559">
        <v>1482.91</v>
      </c>
      <c r="H1559">
        <v>1497.72</v>
      </c>
      <c r="I1559">
        <v>1473.6</v>
      </c>
      <c r="J1559">
        <v>4168776358</v>
      </c>
      <c r="K1559">
        <v>0</v>
      </c>
      <c r="L1559" s="2">
        <f>VLOOKUP(A1559,[1]aaabonddata!$A:$B,2,0)</f>
        <v>1.92</v>
      </c>
    </row>
    <row r="1560" spans="1:12" x14ac:dyDescent="0.2">
      <c r="A1560" s="3">
        <v>41031</v>
      </c>
      <c r="B1560" s="2">
        <v>2734.77</v>
      </c>
      <c r="C1560" s="2">
        <v>2736.3</v>
      </c>
      <c r="D1560" s="2">
        <v>2707.63</v>
      </c>
      <c r="E1560" s="2">
        <v>3042189636976</v>
      </c>
      <c r="F1560" s="2">
        <v>0</v>
      </c>
      <c r="G1560">
        <v>1483.09</v>
      </c>
      <c r="H1560">
        <v>1485.43</v>
      </c>
      <c r="I1560">
        <v>1469.44</v>
      </c>
      <c r="J1560">
        <v>4169282353</v>
      </c>
      <c r="K1560">
        <v>0</v>
      </c>
      <c r="L1560" s="2">
        <f>VLOOKUP(A1560,[1]aaabonddata!$A:$B,2,0)</f>
        <v>1.91</v>
      </c>
    </row>
    <row r="1561" spans="1:12" x14ac:dyDescent="0.2">
      <c r="A1561" s="3">
        <v>41032</v>
      </c>
      <c r="B1561" s="2">
        <v>2704.59</v>
      </c>
      <c r="C1561" s="2">
        <v>2737.14</v>
      </c>
      <c r="D1561" s="2">
        <v>2697.78</v>
      </c>
      <c r="E1561" s="2">
        <v>3008607299076</v>
      </c>
      <c r="F1561" s="2">
        <v>1049160000</v>
      </c>
      <c r="G1561">
        <v>1456.51</v>
      </c>
      <c r="H1561">
        <v>1483.91</v>
      </c>
      <c r="I1561">
        <v>1453.46</v>
      </c>
      <c r="J1561">
        <v>4094563597</v>
      </c>
      <c r="K1561">
        <v>757302</v>
      </c>
      <c r="L1561" s="2">
        <f>VLOOKUP(A1561,[1]aaabonddata!$A:$B,2,0)</f>
        <v>1.9</v>
      </c>
    </row>
    <row r="1562" spans="1:12" x14ac:dyDescent="0.2">
      <c r="A1562" s="3">
        <v>41033</v>
      </c>
      <c r="B1562" s="2">
        <v>2637.92</v>
      </c>
      <c r="C1562" s="2">
        <v>2683.25</v>
      </c>
      <c r="D1562" s="2">
        <v>2637.73</v>
      </c>
      <c r="E1562" s="2">
        <v>2934453499860</v>
      </c>
      <c r="F1562" s="2">
        <v>115974413</v>
      </c>
      <c r="G1562">
        <v>1422.23</v>
      </c>
      <c r="H1562">
        <v>1444.54</v>
      </c>
      <c r="I1562">
        <v>1420.16</v>
      </c>
      <c r="J1562">
        <v>3998203177</v>
      </c>
      <c r="K1562">
        <v>0</v>
      </c>
      <c r="L1562" s="2">
        <f>VLOOKUP(A1562,[1]aaabonddata!$A:$B,2,0)</f>
        <v>1.88</v>
      </c>
    </row>
    <row r="1563" spans="1:12" x14ac:dyDescent="0.2">
      <c r="A1563" s="3">
        <v>41036</v>
      </c>
      <c r="B1563" s="2">
        <v>2639.28</v>
      </c>
      <c r="C1563" s="2">
        <v>2651.74</v>
      </c>
      <c r="D1563" s="2">
        <v>2620.96</v>
      </c>
      <c r="E1563" s="2">
        <v>2935955935238</v>
      </c>
      <c r="F1563" s="2">
        <v>128078000</v>
      </c>
      <c r="G1563">
        <v>1413.37</v>
      </c>
      <c r="H1563">
        <v>1420.98</v>
      </c>
      <c r="I1563">
        <v>1409.21</v>
      </c>
      <c r="J1563">
        <v>3973284804</v>
      </c>
      <c r="K1563">
        <v>0</v>
      </c>
      <c r="L1563" s="2">
        <f>VLOOKUP(A1563,[1]aaabonddata!$A:$B,2,0)</f>
        <v>1.88</v>
      </c>
    </row>
    <row r="1564" spans="1:12" x14ac:dyDescent="0.2">
      <c r="A1564" s="3">
        <v>41037</v>
      </c>
      <c r="B1564" s="2">
        <v>2629.87</v>
      </c>
      <c r="C1564" s="2">
        <v>2638.3</v>
      </c>
      <c r="D1564" s="2">
        <v>2587.5300000000002</v>
      </c>
      <c r="E1564" s="2">
        <v>2925494561038</v>
      </c>
      <c r="F1564" s="2">
        <v>25789975</v>
      </c>
      <c r="G1564">
        <v>1407.83</v>
      </c>
      <c r="H1564">
        <v>1412.01</v>
      </c>
      <c r="I1564">
        <v>1382.31</v>
      </c>
      <c r="J1564">
        <v>3957722684</v>
      </c>
      <c r="K1564">
        <v>202480</v>
      </c>
      <c r="L1564" s="2">
        <f>VLOOKUP(A1564,[1]aaabonddata!$A:$B,2,0)</f>
        <v>1.86</v>
      </c>
    </row>
    <row r="1565" spans="1:12" x14ac:dyDescent="0.2">
      <c r="A1565" s="3">
        <v>41038</v>
      </c>
      <c r="B1565" s="2">
        <v>2621.35</v>
      </c>
      <c r="C1565" s="2">
        <v>2635.71</v>
      </c>
      <c r="D1565" s="2">
        <v>2588.9699999999998</v>
      </c>
      <c r="E1565" s="2">
        <v>2916020020668</v>
      </c>
      <c r="F1565" s="2">
        <v>0</v>
      </c>
      <c r="G1565">
        <v>1403.25</v>
      </c>
      <c r="H1565">
        <v>1410.49</v>
      </c>
      <c r="I1565">
        <v>1378.31</v>
      </c>
      <c r="J1565">
        <v>3944845418</v>
      </c>
      <c r="K1565">
        <v>0</v>
      </c>
      <c r="L1565" s="2">
        <f>VLOOKUP(A1565,[1]aaabonddata!$A:$B,2,0)</f>
        <v>1.87</v>
      </c>
    </row>
    <row r="1566" spans="1:12" x14ac:dyDescent="0.2">
      <c r="A1566" s="3">
        <v>41039</v>
      </c>
      <c r="B1566" s="2">
        <v>2616.2399999999998</v>
      </c>
      <c r="C1566" s="2">
        <v>2631.97</v>
      </c>
      <c r="D1566" s="2">
        <v>2606.79</v>
      </c>
      <c r="E1566" s="2">
        <v>2910328657615</v>
      </c>
      <c r="F1566" s="2">
        <v>80652504</v>
      </c>
      <c r="G1566">
        <v>1389.07</v>
      </c>
      <c r="H1566">
        <v>1408.37</v>
      </c>
      <c r="I1566">
        <v>1381.86</v>
      </c>
      <c r="J1566">
        <v>3904972935</v>
      </c>
      <c r="K1566">
        <v>673206</v>
      </c>
      <c r="L1566" s="2">
        <f>VLOOKUP(A1566,[1]aaabonddata!$A:$B,2,0)</f>
        <v>1.88</v>
      </c>
    </row>
    <row r="1567" spans="1:12" x14ac:dyDescent="0.2">
      <c r="A1567" s="3">
        <v>41040</v>
      </c>
      <c r="B1567" s="2">
        <v>2615.98</v>
      </c>
      <c r="C1567" s="2">
        <v>2643.22</v>
      </c>
      <c r="D1567" s="2">
        <v>2604.9899999999998</v>
      </c>
      <c r="E1567" s="2">
        <v>2910046424327</v>
      </c>
      <c r="F1567" s="2">
        <v>0</v>
      </c>
      <c r="G1567">
        <v>1391.87</v>
      </c>
      <c r="H1567">
        <v>1405.64</v>
      </c>
      <c r="I1567">
        <v>1383.38</v>
      </c>
      <c r="J1567">
        <v>3912850338</v>
      </c>
      <c r="K1567">
        <v>0</v>
      </c>
      <c r="L1567" s="2">
        <f>VLOOKUP(A1567,[1]aaabonddata!$A:$B,2,0)</f>
        <v>1.86</v>
      </c>
    </row>
    <row r="1568" spans="1:12" x14ac:dyDescent="0.2">
      <c r="A1568" s="3">
        <v>41043</v>
      </c>
      <c r="B1568" s="2">
        <v>2590.2800000000002</v>
      </c>
      <c r="C1568" s="2">
        <v>2611.37</v>
      </c>
      <c r="D1568" s="2">
        <v>2587.7800000000002</v>
      </c>
      <c r="E1568" s="2">
        <v>2881447538220</v>
      </c>
      <c r="F1568" s="2">
        <v>342519186</v>
      </c>
      <c r="G1568">
        <v>1384.36</v>
      </c>
      <c r="H1568">
        <v>1394.22</v>
      </c>
      <c r="I1568">
        <v>1376.74</v>
      </c>
      <c r="J1568">
        <v>3891745485</v>
      </c>
      <c r="K1568">
        <v>590287</v>
      </c>
      <c r="L1568" s="2">
        <f>VLOOKUP(A1568,[1]aaabonddata!$A:$B,2,0)</f>
        <v>1.85</v>
      </c>
    </row>
    <row r="1569" spans="1:12" x14ac:dyDescent="0.2">
      <c r="A1569" s="3">
        <v>41044</v>
      </c>
      <c r="B1569" s="2">
        <v>2580.75</v>
      </c>
      <c r="C1569" s="2">
        <v>2617.23</v>
      </c>
      <c r="D1569" s="2">
        <v>2576.77</v>
      </c>
      <c r="E1569" s="2">
        <v>2870850583974</v>
      </c>
      <c r="F1569" s="2">
        <v>1745375094</v>
      </c>
      <c r="G1569">
        <v>1381.04</v>
      </c>
      <c r="H1569">
        <v>1403</v>
      </c>
      <c r="I1569">
        <v>1378.81</v>
      </c>
      <c r="J1569">
        <v>3882406871</v>
      </c>
      <c r="K1569">
        <v>1572926</v>
      </c>
      <c r="L1569" s="2">
        <f>VLOOKUP(A1569,[1]aaabonddata!$A:$B,2,0)</f>
        <v>1.86</v>
      </c>
    </row>
    <row r="1570" spans="1:12" x14ac:dyDescent="0.2">
      <c r="A1570" s="3">
        <v>41045</v>
      </c>
      <c r="B1570" s="2">
        <v>2561.56</v>
      </c>
      <c r="C1570" s="2">
        <v>2597.16</v>
      </c>
      <c r="D1570" s="2">
        <v>2558.69</v>
      </c>
      <c r="E1570" s="2">
        <v>2849506607829</v>
      </c>
      <c r="F1570" s="2">
        <v>128621356</v>
      </c>
      <c r="G1570">
        <v>1362.41</v>
      </c>
      <c r="H1570">
        <v>1390.18</v>
      </c>
      <c r="I1570">
        <v>1362.21</v>
      </c>
      <c r="J1570">
        <v>3830029543</v>
      </c>
      <c r="K1570">
        <v>739863</v>
      </c>
      <c r="L1570" s="2">
        <f>VLOOKUP(A1570,[1]aaabonddata!$A:$B,2,0)</f>
        <v>1.87</v>
      </c>
    </row>
    <row r="1571" spans="1:12" x14ac:dyDescent="0.2">
      <c r="A1571" s="3">
        <v>41046</v>
      </c>
      <c r="B1571" s="2">
        <v>2509.0500000000002</v>
      </c>
      <c r="C1571" s="2">
        <v>2567.5500000000002</v>
      </c>
      <c r="D1571" s="2">
        <v>2509.0500000000002</v>
      </c>
      <c r="E1571" s="2">
        <v>2791088383102</v>
      </c>
      <c r="F1571" s="2">
        <v>297173589</v>
      </c>
      <c r="G1571">
        <v>1338.14</v>
      </c>
      <c r="H1571">
        <v>1367.83</v>
      </c>
      <c r="I1571">
        <v>1338.14</v>
      </c>
      <c r="J1571">
        <v>3761817329</v>
      </c>
      <c r="K1571">
        <v>768693</v>
      </c>
      <c r="L1571" s="2">
        <f>VLOOKUP(A1571,[1]aaabonddata!$A:$B,2,0)</f>
        <v>1.85</v>
      </c>
    </row>
    <row r="1572" spans="1:12" x14ac:dyDescent="0.2">
      <c r="A1572" s="3">
        <v>41047</v>
      </c>
      <c r="B1572" s="2">
        <v>2478.5300000000002</v>
      </c>
      <c r="C1572" s="2">
        <v>2523.15</v>
      </c>
      <c r="D1572" s="2">
        <v>2474.6999999999998</v>
      </c>
      <c r="E1572" s="2">
        <v>2757146072796</v>
      </c>
      <c r="F1572" s="2">
        <v>121411131</v>
      </c>
      <c r="G1572">
        <v>1311.22</v>
      </c>
      <c r="H1572">
        <v>1342.85</v>
      </c>
      <c r="I1572">
        <v>1308.5999999999999</v>
      </c>
      <c r="J1572">
        <v>3686142215</v>
      </c>
      <c r="K1572">
        <v>918105</v>
      </c>
      <c r="L1572" s="2">
        <f>VLOOKUP(A1572,[1]aaabonddata!$A:$B,2,0)</f>
        <v>1.87</v>
      </c>
    </row>
    <row r="1573" spans="1:12" x14ac:dyDescent="0.2">
      <c r="A1573" s="3">
        <v>41050</v>
      </c>
      <c r="B1573" s="2">
        <v>2545.4299999999998</v>
      </c>
      <c r="C1573" s="2">
        <v>2547.69</v>
      </c>
      <c r="D1573" s="2">
        <v>2478.36</v>
      </c>
      <c r="E1573" s="2">
        <v>2831556832203</v>
      </c>
      <c r="F1573" s="2">
        <v>105089424</v>
      </c>
      <c r="G1573">
        <v>1343.87</v>
      </c>
      <c r="H1573">
        <v>1345.22</v>
      </c>
      <c r="I1573">
        <v>1306.02</v>
      </c>
      <c r="J1573">
        <v>3777919651</v>
      </c>
      <c r="K1573">
        <v>0</v>
      </c>
      <c r="L1573" s="2">
        <f>VLOOKUP(A1573,[1]aaabonddata!$A:$B,2,0)</f>
        <v>1.88</v>
      </c>
    </row>
    <row r="1574" spans="1:12" x14ac:dyDescent="0.2">
      <c r="A1574" s="3">
        <v>41051</v>
      </c>
      <c r="B1574" s="2">
        <v>2539.1999999999998</v>
      </c>
      <c r="C1574" s="2">
        <v>2562.48</v>
      </c>
      <c r="D1574" s="2">
        <v>2524.11</v>
      </c>
      <c r="E1574" s="2">
        <v>2824610152979</v>
      </c>
      <c r="F1574" s="2">
        <v>150612386</v>
      </c>
      <c r="G1574">
        <v>1337.57</v>
      </c>
      <c r="H1574">
        <v>1346.46</v>
      </c>
      <c r="I1574">
        <v>1329.09</v>
      </c>
      <c r="J1574">
        <v>3760201059</v>
      </c>
      <c r="K1574">
        <v>1425185</v>
      </c>
      <c r="L1574" s="2">
        <f>VLOOKUP(A1574,[1]aaabonddata!$A:$B,2,0)</f>
        <v>1.92</v>
      </c>
    </row>
    <row r="1575" spans="1:12" x14ac:dyDescent="0.2">
      <c r="A1575" s="3">
        <v>41052</v>
      </c>
      <c r="B1575" s="2">
        <v>2547.08</v>
      </c>
      <c r="C1575" s="2">
        <v>2553.19</v>
      </c>
      <c r="D1575" s="2">
        <v>2499.3000000000002</v>
      </c>
      <c r="E1575" s="2">
        <v>2833380455986</v>
      </c>
      <c r="F1575" s="2">
        <v>119605468</v>
      </c>
      <c r="G1575">
        <v>1339.97</v>
      </c>
      <c r="H1575">
        <v>1343.1</v>
      </c>
      <c r="I1575">
        <v>1311.97</v>
      </c>
      <c r="J1575">
        <v>3766944316</v>
      </c>
      <c r="K1575">
        <v>0</v>
      </c>
      <c r="L1575" s="2">
        <f>VLOOKUP(A1575,[1]aaabonddata!$A:$B,2,0)</f>
        <v>1.88</v>
      </c>
    </row>
    <row r="1576" spans="1:12" x14ac:dyDescent="0.2">
      <c r="A1576" s="3">
        <v>41053</v>
      </c>
      <c r="B1576" s="2">
        <v>2531.35</v>
      </c>
      <c r="C1576" s="2">
        <v>2554.1999999999998</v>
      </c>
      <c r="D1576" s="2">
        <v>2512.35</v>
      </c>
      <c r="E1576" s="2">
        <v>2815879888504</v>
      </c>
      <c r="F1576" s="2">
        <v>0</v>
      </c>
      <c r="G1576">
        <v>1317.59</v>
      </c>
      <c r="H1576">
        <v>1337.81</v>
      </c>
      <c r="I1576">
        <v>1308.81</v>
      </c>
      <c r="J1576">
        <v>3704043774</v>
      </c>
      <c r="K1576">
        <v>0</v>
      </c>
      <c r="L1576" s="2">
        <f>VLOOKUP(A1576,[1]aaabonddata!$A:$B,2,0)</f>
        <v>1.91</v>
      </c>
    </row>
    <row r="1577" spans="1:12" x14ac:dyDescent="0.2">
      <c r="A1577" s="3">
        <v>41054</v>
      </c>
      <c r="B1577" s="2">
        <v>2527.0500000000002</v>
      </c>
      <c r="C1577" s="2">
        <v>2537.56</v>
      </c>
      <c r="D1577" s="2">
        <v>2520.17</v>
      </c>
      <c r="E1577" s="2">
        <v>2811096680780</v>
      </c>
      <c r="F1577" s="2">
        <v>10876157</v>
      </c>
      <c r="G1577">
        <v>1324.31</v>
      </c>
      <c r="H1577">
        <v>1330.44</v>
      </c>
      <c r="I1577">
        <v>1318.17</v>
      </c>
      <c r="J1577">
        <v>3722931473</v>
      </c>
      <c r="K1577">
        <v>0</v>
      </c>
      <c r="L1577" s="2">
        <f>VLOOKUP(A1577,[1]aaabonddata!$A:$B,2,0)</f>
        <v>1.9</v>
      </c>
    </row>
    <row r="1578" spans="1:12" x14ac:dyDescent="0.2">
      <c r="A1578" s="3">
        <v>41058</v>
      </c>
      <c r="B1578" s="2">
        <v>2558.9699999999998</v>
      </c>
      <c r="C1578" s="2">
        <v>2570.79</v>
      </c>
      <c r="D1578" s="2">
        <v>2536.62</v>
      </c>
      <c r="E1578" s="2">
        <v>2846603279096</v>
      </c>
      <c r="F1578" s="2">
        <v>0</v>
      </c>
      <c r="G1578">
        <v>1342.48</v>
      </c>
      <c r="H1578">
        <v>1349.82</v>
      </c>
      <c r="I1578">
        <v>1329.69</v>
      </c>
      <c r="J1578">
        <v>3773997465</v>
      </c>
      <c r="K1578">
        <v>0</v>
      </c>
      <c r="L1578" s="2">
        <f>VLOOKUP(A1578,[1]aaabonddata!$A:$B,2,0)</f>
        <v>1.88</v>
      </c>
    </row>
    <row r="1579" spans="1:12" x14ac:dyDescent="0.2">
      <c r="A1579" s="3">
        <v>41059</v>
      </c>
      <c r="B1579" s="2">
        <v>2537.4</v>
      </c>
      <c r="C1579" s="2">
        <v>2546.0100000000002</v>
      </c>
      <c r="D1579" s="2">
        <v>2522.4499999999998</v>
      </c>
      <c r="E1579" s="2">
        <v>2819887853515</v>
      </c>
      <c r="F1579" s="2">
        <v>616951258</v>
      </c>
      <c r="G1579">
        <v>1317.83</v>
      </c>
      <c r="H1579">
        <v>1326.91</v>
      </c>
      <c r="I1579">
        <v>1312.93</v>
      </c>
      <c r="J1579">
        <v>3704700940</v>
      </c>
      <c r="K1579">
        <v>646684</v>
      </c>
      <c r="L1579" s="2">
        <f>VLOOKUP(A1579,[1]aaabonddata!$A:$B,2,0)</f>
        <v>1.83</v>
      </c>
    </row>
    <row r="1580" spans="1:12" x14ac:dyDescent="0.2">
      <c r="A1580" s="3">
        <v>41060</v>
      </c>
      <c r="B1580" s="2">
        <v>2524.87</v>
      </c>
      <c r="C1580" s="2">
        <v>2540.4</v>
      </c>
      <c r="D1580" s="2">
        <v>2507.58</v>
      </c>
      <c r="E1580" s="2">
        <v>2805965634076</v>
      </c>
      <c r="F1580" s="2">
        <v>0</v>
      </c>
      <c r="G1580">
        <v>1306.3699999999999</v>
      </c>
      <c r="H1580">
        <v>1316.05</v>
      </c>
      <c r="I1580">
        <v>1293.6099999999999</v>
      </c>
      <c r="J1580">
        <v>3672499534</v>
      </c>
      <c r="K1580">
        <v>0</v>
      </c>
      <c r="L1580" s="2">
        <f>VLOOKUP(A1580,[1]aaabonddata!$A:$B,2,0)</f>
        <v>1.87</v>
      </c>
    </row>
    <row r="1581" spans="1:12" x14ac:dyDescent="0.2">
      <c r="A1581" s="3">
        <v>41061</v>
      </c>
      <c r="B1581" s="2">
        <v>2458.83</v>
      </c>
      <c r="C1581" s="2">
        <v>2510.8200000000002</v>
      </c>
      <c r="D1581" s="2">
        <v>2458.73</v>
      </c>
      <c r="E1581" s="2">
        <v>2732570049871</v>
      </c>
      <c r="F1581" s="2">
        <v>32009736</v>
      </c>
      <c r="G1581">
        <v>1267.92</v>
      </c>
      <c r="H1581">
        <v>1297.33</v>
      </c>
      <c r="I1581">
        <v>1267.8499999999999</v>
      </c>
      <c r="J1581">
        <v>3564401981</v>
      </c>
      <c r="K1581">
        <v>0</v>
      </c>
      <c r="L1581" s="2">
        <f>VLOOKUP(A1581,[1]aaabonddata!$A:$B,2,0)</f>
        <v>1.83</v>
      </c>
    </row>
    <row r="1582" spans="1:12" x14ac:dyDescent="0.2">
      <c r="A1582" s="3">
        <v>41064</v>
      </c>
      <c r="B1582" s="2">
        <v>2478.13</v>
      </c>
      <c r="C1582" s="2">
        <v>2480.9699999999998</v>
      </c>
      <c r="D1582" s="2">
        <v>2443.92</v>
      </c>
      <c r="E1582" s="2">
        <v>2754020980199</v>
      </c>
      <c r="F1582" s="2">
        <v>0</v>
      </c>
      <c r="G1582">
        <v>1272.1400000000001</v>
      </c>
      <c r="H1582">
        <v>1283.72</v>
      </c>
      <c r="I1582">
        <v>1257.8699999999999</v>
      </c>
      <c r="J1582">
        <v>3576281605</v>
      </c>
      <c r="K1582">
        <v>0</v>
      </c>
      <c r="L1582" s="2">
        <f>VLOOKUP(A1582,[1]aaabonddata!$A:$B,2,0)</f>
        <v>1.86</v>
      </c>
    </row>
    <row r="1583" spans="1:12" x14ac:dyDescent="0.2">
      <c r="A1583" s="3">
        <v>41065</v>
      </c>
      <c r="B1583" s="2">
        <v>2487.5</v>
      </c>
      <c r="C1583" s="2">
        <v>2492.5300000000002</v>
      </c>
      <c r="D1583" s="2">
        <v>2467.66</v>
      </c>
      <c r="E1583" s="2">
        <v>2764430970132</v>
      </c>
      <c r="F1583" s="2">
        <v>0</v>
      </c>
      <c r="G1583">
        <v>1292.21</v>
      </c>
      <c r="H1583">
        <v>1294.6199999999999</v>
      </c>
      <c r="I1583">
        <v>1267.0999999999999</v>
      </c>
      <c r="J1583">
        <v>3632693417</v>
      </c>
      <c r="K1583">
        <v>0</v>
      </c>
      <c r="L1583" s="2">
        <f>VLOOKUP(A1583,[1]aaabonddata!$A:$B,2,0)</f>
        <v>1.86</v>
      </c>
    </row>
    <row r="1584" spans="1:12" x14ac:dyDescent="0.2">
      <c r="A1584" s="3">
        <v>41066</v>
      </c>
      <c r="B1584" s="2">
        <v>2546.3200000000002</v>
      </c>
      <c r="C1584" s="2">
        <v>2546.3200000000002</v>
      </c>
      <c r="D1584" s="2">
        <v>2504.08</v>
      </c>
      <c r="E1584" s="2">
        <v>2829803291485</v>
      </c>
      <c r="F1584" s="2">
        <v>1081920513</v>
      </c>
      <c r="G1584">
        <v>1331.37</v>
      </c>
      <c r="H1584">
        <v>1331.37</v>
      </c>
      <c r="I1584">
        <v>1300.17</v>
      </c>
      <c r="J1584">
        <v>3742789282</v>
      </c>
      <c r="K1584">
        <v>0</v>
      </c>
      <c r="L1584" s="2">
        <f>VLOOKUP(A1584,[1]aaabonddata!$A:$B,2,0)</f>
        <v>1.91</v>
      </c>
    </row>
    <row r="1585" spans="1:12" x14ac:dyDescent="0.2">
      <c r="A1585" s="3">
        <v>41067</v>
      </c>
      <c r="B1585" s="2">
        <v>2535.41</v>
      </c>
      <c r="C1585" s="2">
        <v>2570.48</v>
      </c>
      <c r="D1585" s="2">
        <v>2531.9499999999998</v>
      </c>
      <c r="E1585" s="2">
        <v>2817676698560</v>
      </c>
      <c r="F1585" s="2">
        <v>0</v>
      </c>
      <c r="G1585">
        <v>1319.41</v>
      </c>
      <c r="H1585">
        <v>1346.21</v>
      </c>
      <c r="I1585">
        <v>1317.72</v>
      </c>
      <c r="J1585">
        <v>3709164710</v>
      </c>
      <c r="K1585">
        <v>0</v>
      </c>
      <c r="L1585" s="2">
        <f>VLOOKUP(A1585,[1]aaabonddata!$A:$B,2,0)</f>
        <v>1.9</v>
      </c>
    </row>
    <row r="1586" spans="1:12" x14ac:dyDescent="0.2">
      <c r="A1586" s="3">
        <v>41068</v>
      </c>
      <c r="B1586" s="2">
        <v>2559.21</v>
      </c>
      <c r="C1586" s="2">
        <v>2561.5700000000002</v>
      </c>
      <c r="D1586" s="2">
        <v>2522.39</v>
      </c>
      <c r="E1586" s="2">
        <v>2844129422022</v>
      </c>
      <c r="F1586" s="2">
        <v>11160573</v>
      </c>
      <c r="G1586">
        <v>1332.42</v>
      </c>
      <c r="H1586">
        <v>1334.07</v>
      </c>
      <c r="I1586">
        <v>1310.77</v>
      </c>
      <c r="J1586">
        <v>3745732639</v>
      </c>
      <c r="K1586">
        <v>0</v>
      </c>
      <c r="L1586" s="2">
        <f>VLOOKUP(A1586,[1]aaabonddata!$A:$B,2,0)</f>
        <v>1.89</v>
      </c>
    </row>
    <row r="1587" spans="1:12" x14ac:dyDescent="0.2">
      <c r="A1587" s="3">
        <v>41071</v>
      </c>
      <c r="B1587" s="2">
        <v>2517.1799999999998</v>
      </c>
      <c r="C1587" s="2">
        <v>2579.23</v>
      </c>
      <c r="D1587" s="2">
        <v>2513.67</v>
      </c>
      <c r="E1587" s="2">
        <v>2797421597274</v>
      </c>
      <c r="F1587" s="2">
        <v>0</v>
      </c>
      <c r="G1587">
        <v>1306.22</v>
      </c>
      <c r="H1587">
        <v>1345.37</v>
      </c>
      <c r="I1587">
        <v>1304.48</v>
      </c>
      <c r="J1587">
        <v>3672069193</v>
      </c>
      <c r="K1587">
        <v>0</v>
      </c>
      <c r="L1587" s="2">
        <f>VLOOKUP(A1587,[1]aaabonddata!$A:$B,2,0)</f>
        <v>1.87</v>
      </c>
    </row>
    <row r="1588" spans="1:12" x14ac:dyDescent="0.2">
      <c r="A1588" s="3">
        <v>41072</v>
      </c>
      <c r="B1588" s="2">
        <v>2546.1999999999998</v>
      </c>
      <c r="C1588" s="2">
        <v>2546.83</v>
      </c>
      <c r="D1588" s="2">
        <v>2510.75</v>
      </c>
      <c r="E1588" s="2">
        <v>2829664802576</v>
      </c>
      <c r="F1588" s="2">
        <v>0</v>
      </c>
      <c r="G1588">
        <v>1328.78</v>
      </c>
      <c r="H1588">
        <v>1329.28</v>
      </c>
      <c r="I1588">
        <v>1306.31</v>
      </c>
      <c r="J1588">
        <v>3735483483</v>
      </c>
      <c r="K1588">
        <v>0</v>
      </c>
      <c r="L1588" s="2">
        <f>VLOOKUP(A1588,[1]aaabonddata!$A:$B,2,0)</f>
        <v>1.92</v>
      </c>
    </row>
    <row r="1589" spans="1:12" x14ac:dyDescent="0.2">
      <c r="A1589" s="3">
        <v>41073</v>
      </c>
      <c r="B1589" s="2">
        <v>2527.44</v>
      </c>
      <c r="C1589" s="2">
        <v>2557.31</v>
      </c>
      <c r="D1589" s="2">
        <v>2519.69</v>
      </c>
      <c r="E1589" s="2">
        <v>2808822768475</v>
      </c>
      <c r="F1589" s="2">
        <v>221983685</v>
      </c>
      <c r="G1589">
        <v>1319.89</v>
      </c>
      <c r="H1589">
        <v>1335.74</v>
      </c>
      <c r="I1589">
        <v>1315.48</v>
      </c>
      <c r="J1589">
        <v>3710498975</v>
      </c>
      <c r="K1589">
        <v>959692</v>
      </c>
      <c r="L1589" s="2">
        <f>VLOOKUP(A1589,[1]aaabonddata!$A:$B,2,0)</f>
        <v>1.89</v>
      </c>
    </row>
    <row r="1590" spans="1:12" x14ac:dyDescent="0.2">
      <c r="A1590" s="3">
        <v>41074</v>
      </c>
      <c r="B1590" s="2">
        <v>2539.9699999999998</v>
      </c>
      <c r="C1590" s="2">
        <v>2547.31</v>
      </c>
      <c r="D1590" s="2">
        <v>2515.17</v>
      </c>
      <c r="E1590" s="2">
        <v>2822739064666</v>
      </c>
      <c r="F1590" s="2">
        <v>36568674</v>
      </c>
      <c r="G1590">
        <v>1318.87</v>
      </c>
      <c r="H1590">
        <v>1323.7</v>
      </c>
      <c r="I1590">
        <v>1306.58</v>
      </c>
      <c r="J1590">
        <v>3707632798</v>
      </c>
      <c r="K1590">
        <v>395778</v>
      </c>
      <c r="L1590" s="2">
        <f>VLOOKUP(A1590,[1]aaabonddata!$A:$B,2,0)</f>
        <v>1.89</v>
      </c>
    </row>
    <row r="1591" spans="1:12" x14ac:dyDescent="0.2">
      <c r="A1591" s="3">
        <v>41075</v>
      </c>
      <c r="B1591" s="2">
        <v>2571.23</v>
      </c>
      <c r="C1591" s="2">
        <v>2572.84</v>
      </c>
      <c r="D1591" s="2">
        <v>2542.5100000000002</v>
      </c>
      <c r="E1591" s="2">
        <v>2857489572287</v>
      </c>
      <c r="F1591" s="2">
        <v>0</v>
      </c>
      <c r="G1591">
        <v>1341.24</v>
      </c>
      <c r="H1591">
        <v>1341.89</v>
      </c>
      <c r="I1591">
        <v>1320.48</v>
      </c>
      <c r="J1591">
        <v>3770526201</v>
      </c>
      <c r="K1591">
        <v>0</v>
      </c>
      <c r="L1591" s="2">
        <f>VLOOKUP(A1591,[1]aaabonddata!$A:$B,2,0)</f>
        <v>1.85</v>
      </c>
    </row>
    <row r="1592" spans="1:12" x14ac:dyDescent="0.2">
      <c r="A1592" s="3">
        <v>41078</v>
      </c>
      <c r="B1592" s="2">
        <v>2592.52</v>
      </c>
      <c r="C1592" s="2">
        <v>2599.52</v>
      </c>
      <c r="D1592" s="2">
        <v>2554.83</v>
      </c>
      <c r="E1592" s="2">
        <v>2880134110511</v>
      </c>
      <c r="F1592" s="2">
        <v>0</v>
      </c>
      <c r="G1592">
        <v>1350.6</v>
      </c>
      <c r="H1592">
        <v>1355.87</v>
      </c>
      <c r="I1592">
        <v>1330.12</v>
      </c>
      <c r="J1592">
        <v>4430689353</v>
      </c>
      <c r="K1592">
        <v>0</v>
      </c>
      <c r="L1592" s="2">
        <f>VLOOKUP(A1592,[1]aaabonddata!$A:$B,2,0)</f>
        <v>1.86</v>
      </c>
    </row>
    <row r="1593" spans="1:12" x14ac:dyDescent="0.2">
      <c r="A1593" s="3">
        <v>41079</v>
      </c>
      <c r="B1593" s="2">
        <v>2620.83</v>
      </c>
      <c r="C1593" s="2">
        <v>2630.86</v>
      </c>
      <c r="D1593" s="2">
        <v>2605.16</v>
      </c>
      <c r="E1593" s="2">
        <v>2911592063833</v>
      </c>
      <c r="F1593" s="2">
        <v>34383996</v>
      </c>
      <c r="G1593">
        <v>1363.88</v>
      </c>
      <c r="H1593">
        <v>1368.89</v>
      </c>
      <c r="I1593">
        <v>1357.09</v>
      </c>
      <c r="J1593">
        <v>4474256815</v>
      </c>
      <c r="K1593">
        <v>520833</v>
      </c>
      <c r="L1593" s="2">
        <f>VLOOKUP(A1593,[1]aaabonddata!$A:$B,2,0)</f>
        <v>1.88</v>
      </c>
    </row>
    <row r="1594" spans="1:12" x14ac:dyDescent="0.2">
      <c r="A1594" s="3">
        <v>41080</v>
      </c>
      <c r="B1594" s="2">
        <v>2623.33</v>
      </c>
      <c r="C1594" s="2">
        <v>2633.21</v>
      </c>
      <c r="D1594" s="2">
        <v>2603.3200000000002</v>
      </c>
      <c r="E1594" s="2">
        <v>2914362390818</v>
      </c>
      <c r="F1594" s="2">
        <v>75809182</v>
      </c>
      <c r="G1594">
        <v>1365.81</v>
      </c>
      <c r="H1594">
        <v>1372.73</v>
      </c>
      <c r="I1594">
        <v>1355.8</v>
      </c>
      <c r="J1594">
        <v>4480612308</v>
      </c>
      <c r="K1594">
        <v>0</v>
      </c>
      <c r="L1594" s="2">
        <f>VLOOKUP(A1594,[1]aaabonddata!$A:$B,2,0)</f>
        <v>1.89</v>
      </c>
    </row>
    <row r="1595" spans="1:12" x14ac:dyDescent="0.2">
      <c r="A1595" s="3">
        <v>41081</v>
      </c>
      <c r="B1595" s="2">
        <v>2556.96</v>
      </c>
      <c r="C1595" s="2">
        <v>2622.76</v>
      </c>
      <c r="D1595" s="2">
        <v>2554.65</v>
      </c>
      <c r="E1595" s="2">
        <v>2840630485378</v>
      </c>
      <c r="F1595" s="2">
        <v>0</v>
      </c>
      <c r="G1595">
        <v>1318.98</v>
      </c>
      <c r="H1595">
        <v>1363.05</v>
      </c>
      <c r="I1595">
        <v>1317.4</v>
      </c>
      <c r="J1595">
        <v>4326978758</v>
      </c>
      <c r="K1595">
        <v>0</v>
      </c>
      <c r="L1595" s="2">
        <f>VLOOKUP(A1595,[1]aaabonddata!$A:$B,2,0)</f>
        <v>1.87</v>
      </c>
    </row>
    <row r="1596" spans="1:12" x14ac:dyDescent="0.2">
      <c r="A1596" s="3">
        <v>41082</v>
      </c>
      <c r="B1596" s="2">
        <v>2585.5300000000002</v>
      </c>
      <c r="C1596" s="2">
        <v>2587</v>
      </c>
      <c r="D1596" s="2">
        <v>2559.2600000000002</v>
      </c>
      <c r="E1596" s="2">
        <v>2872378167283</v>
      </c>
      <c r="F1596" s="2">
        <v>0</v>
      </c>
      <c r="G1596">
        <v>1335.38</v>
      </c>
      <c r="H1596">
        <v>1337.31</v>
      </c>
      <c r="I1596">
        <v>1321.77</v>
      </c>
      <c r="J1596">
        <v>4380764164</v>
      </c>
      <c r="K1596">
        <v>0</v>
      </c>
      <c r="L1596" s="2">
        <f>VLOOKUP(A1596,[1]aaabonddata!$A:$B,2,0)</f>
        <v>1.9</v>
      </c>
    </row>
    <row r="1597" spans="1:12" x14ac:dyDescent="0.2">
      <c r="A1597" s="3">
        <v>41085</v>
      </c>
      <c r="B1597" s="2">
        <v>2533.54</v>
      </c>
      <c r="C1597" s="2">
        <v>2563.09</v>
      </c>
      <c r="D1597" s="2">
        <v>2527.0100000000002</v>
      </c>
      <c r="E1597" s="2">
        <v>2814617575431</v>
      </c>
      <c r="F1597" s="2">
        <v>0</v>
      </c>
      <c r="G1597">
        <v>1301.43</v>
      </c>
      <c r="H1597">
        <v>1323.67</v>
      </c>
      <c r="I1597">
        <v>1298.78</v>
      </c>
      <c r="J1597">
        <v>4269401921</v>
      </c>
      <c r="K1597">
        <v>0</v>
      </c>
      <c r="L1597" s="2">
        <f>VLOOKUP(A1597,[1]aaabonddata!$A:$B,2,0)</f>
        <v>1.85</v>
      </c>
    </row>
    <row r="1598" spans="1:12" x14ac:dyDescent="0.2">
      <c r="A1598" s="3">
        <v>41086</v>
      </c>
      <c r="B1598" s="2">
        <v>2549.84</v>
      </c>
      <c r="C1598" s="2">
        <v>2556.92</v>
      </c>
      <c r="D1598" s="2">
        <v>2531.6</v>
      </c>
      <c r="E1598" s="2">
        <v>2832718619201</v>
      </c>
      <c r="F1598" s="2">
        <v>0</v>
      </c>
      <c r="G1598">
        <v>1306.8699999999999</v>
      </c>
      <c r="H1598">
        <v>1312.94</v>
      </c>
      <c r="I1598">
        <v>1296.53</v>
      </c>
      <c r="J1598">
        <v>4287239991</v>
      </c>
      <c r="K1598">
        <v>0</v>
      </c>
      <c r="L1598" s="2">
        <f>VLOOKUP(A1598,[1]aaabonddata!$A:$B,2,0)</f>
        <v>1.87</v>
      </c>
    </row>
    <row r="1599" spans="1:12" x14ac:dyDescent="0.2">
      <c r="A1599" s="3">
        <v>41087</v>
      </c>
      <c r="B1599" s="2">
        <v>2565.5300000000002</v>
      </c>
      <c r="C1599" s="2">
        <v>2576.09</v>
      </c>
      <c r="D1599" s="2">
        <v>2557.09</v>
      </c>
      <c r="E1599" s="2">
        <v>2850153580281</v>
      </c>
      <c r="F1599" s="2">
        <v>33495152</v>
      </c>
      <c r="G1599">
        <v>1322.08</v>
      </c>
      <c r="H1599">
        <v>1326.24</v>
      </c>
      <c r="I1599">
        <v>1309.94</v>
      </c>
      <c r="J1599">
        <v>4337148771</v>
      </c>
      <c r="K1599">
        <v>0</v>
      </c>
      <c r="L1599" s="2">
        <f>VLOOKUP(A1599,[1]aaabonddata!$A:$B,2,0)</f>
        <v>1.86</v>
      </c>
    </row>
    <row r="1600" spans="1:12" x14ac:dyDescent="0.2">
      <c r="A1600" s="3">
        <v>41088</v>
      </c>
      <c r="B1600" s="2">
        <v>2536.65</v>
      </c>
      <c r="C1600" s="2">
        <v>2565.5300000000002</v>
      </c>
      <c r="D1600" s="2">
        <v>2510.37</v>
      </c>
      <c r="E1600" s="2">
        <v>2818066635966</v>
      </c>
      <c r="F1600" s="2">
        <v>0</v>
      </c>
      <c r="G1600">
        <v>1305.27</v>
      </c>
      <c r="H1600">
        <v>1322.08</v>
      </c>
      <c r="I1600">
        <v>1288.83</v>
      </c>
      <c r="J1600">
        <v>4282006350</v>
      </c>
      <c r="K1600">
        <v>0</v>
      </c>
      <c r="L1600" s="2">
        <f>VLOOKUP(A1600,[1]aaabonddata!$A:$B,2,0)</f>
        <v>1.83</v>
      </c>
    </row>
    <row r="1601" spans="1:12" x14ac:dyDescent="0.2">
      <c r="A1601" s="3">
        <v>41089</v>
      </c>
      <c r="B1601" s="2">
        <v>2615.7199999999998</v>
      </c>
      <c r="C1601" s="2">
        <v>2615.8200000000002</v>
      </c>
      <c r="D1601" s="2">
        <v>2566.84</v>
      </c>
      <c r="E1601" s="2">
        <v>2905908289618</v>
      </c>
      <c r="F1601" s="2">
        <v>342825305</v>
      </c>
      <c r="G1601">
        <v>1356.49</v>
      </c>
      <c r="H1601">
        <v>1356.64</v>
      </c>
      <c r="I1601">
        <v>1322.06</v>
      </c>
      <c r="J1601">
        <v>4450039525</v>
      </c>
      <c r="K1601">
        <v>0</v>
      </c>
      <c r="L1601" s="2">
        <f>VLOOKUP(A1601,[1]aaabonddata!$A:$B,2,0)</f>
        <v>1.85</v>
      </c>
    </row>
    <row r="1602" spans="1:12" x14ac:dyDescent="0.2">
      <c r="A1602" s="3">
        <v>41092</v>
      </c>
      <c r="B1602" s="2">
        <v>2625.03</v>
      </c>
      <c r="C1602" s="2">
        <v>2625.26</v>
      </c>
      <c r="D1602" s="2">
        <v>2604.9</v>
      </c>
      <c r="E1602" s="2">
        <v>2916260670496</v>
      </c>
      <c r="F1602" s="2">
        <v>428550315</v>
      </c>
      <c r="G1602">
        <v>1349.75</v>
      </c>
      <c r="H1602">
        <v>1360.1</v>
      </c>
      <c r="I1602">
        <v>1343.02</v>
      </c>
      <c r="J1602">
        <v>4427913789</v>
      </c>
      <c r="K1602">
        <v>467836</v>
      </c>
      <c r="L1602" s="2">
        <f>VLOOKUP(A1602,[1]aaabonddata!$A:$B,2,0)</f>
        <v>1.8</v>
      </c>
    </row>
    <row r="1603" spans="1:12" x14ac:dyDescent="0.2">
      <c r="A1603" s="3">
        <v>41093</v>
      </c>
      <c r="B1603" s="2">
        <v>2645.84</v>
      </c>
      <c r="C1603" s="2">
        <v>2645.84</v>
      </c>
      <c r="D1603" s="2">
        <v>2621.77</v>
      </c>
      <c r="E1603" s="2">
        <v>2939377738764</v>
      </c>
      <c r="F1603" s="2">
        <v>0</v>
      </c>
      <c r="G1603">
        <v>1366.36</v>
      </c>
      <c r="H1603">
        <v>1366.36</v>
      </c>
      <c r="I1603">
        <v>1349.43</v>
      </c>
      <c r="J1603">
        <v>4482394019</v>
      </c>
      <c r="K1603">
        <v>0</v>
      </c>
      <c r="L1603" s="2">
        <f>VLOOKUP(A1603,[1]aaabonddata!$A:$B,2,0)</f>
        <v>1.82</v>
      </c>
    </row>
    <row r="1604" spans="1:12" x14ac:dyDescent="0.2">
      <c r="A1604" s="3">
        <v>41095</v>
      </c>
      <c r="B1604" s="2">
        <v>2647.47</v>
      </c>
      <c r="C1604" s="2">
        <v>2660.26</v>
      </c>
      <c r="D1604" s="2">
        <v>2629.91</v>
      </c>
      <c r="E1604" s="2">
        <v>2941187231312</v>
      </c>
      <c r="F1604" s="2">
        <v>0</v>
      </c>
      <c r="G1604">
        <v>1361.97</v>
      </c>
      <c r="H1604">
        <v>1368.49</v>
      </c>
      <c r="I1604">
        <v>1349.77</v>
      </c>
      <c r="J1604">
        <v>4467986544</v>
      </c>
      <c r="K1604">
        <v>0</v>
      </c>
      <c r="L1604" s="2">
        <f>VLOOKUP(A1604,[1]aaabonddata!$A:$B,2,0)</f>
        <v>1.8</v>
      </c>
    </row>
    <row r="1605" spans="1:12" x14ac:dyDescent="0.2">
      <c r="A1605" s="3">
        <v>41096</v>
      </c>
      <c r="B1605" s="2">
        <v>2612.29</v>
      </c>
      <c r="C1605" s="2">
        <v>2636.96</v>
      </c>
      <c r="D1605" s="2">
        <v>2596.1</v>
      </c>
      <c r="E1605" s="2">
        <v>2902105080633</v>
      </c>
      <c r="F1605" s="2">
        <v>44050344</v>
      </c>
      <c r="G1605">
        <v>1326.01</v>
      </c>
      <c r="H1605">
        <v>1350.79</v>
      </c>
      <c r="I1605">
        <v>1316.21</v>
      </c>
      <c r="J1605">
        <v>4350041266</v>
      </c>
      <c r="K1605">
        <v>257201</v>
      </c>
      <c r="L1605" s="2">
        <f>VLOOKUP(A1605,[1]aaabonddata!$A:$B,2,0)</f>
        <v>1.77</v>
      </c>
    </row>
    <row r="1606" spans="1:12" x14ac:dyDescent="0.2">
      <c r="A1606" s="3">
        <v>41099</v>
      </c>
      <c r="B1606" s="2">
        <v>2610.31</v>
      </c>
      <c r="C1606" s="2">
        <v>2620.2199999999998</v>
      </c>
      <c r="D1606" s="2">
        <v>2597.27</v>
      </c>
      <c r="E1606" s="2">
        <v>2899901073449</v>
      </c>
      <c r="F1606" s="2">
        <v>0</v>
      </c>
      <c r="G1606">
        <v>1310.58</v>
      </c>
      <c r="H1606">
        <v>1327.46</v>
      </c>
      <c r="I1606">
        <v>1305.7</v>
      </c>
      <c r="J1606">
        <v>4299410990</v>
      </c>
      <c r="K1606">
        <v>0</v>
      </c>
      <c r="L1606" s="2">
        <f>VLOOKUP(A1606,[1]aaabonddata!$A:$B,2,0)</f>
        <v>1.75</v>
      </c>
    </row>
    <row r="1607" spans="1:12" x14ac:dyDescent="0.2">
      <c r="A1607" s="3">
        <v>41100</v>
      </c>
      <c r="B1607" s="2">
        <v>2585.52</v>
      </c>
      <c r="C1607" s="2">
        <v>2630.03</v>
      </c>
      <c r="D1607" s="2">
        <v>2574.2600000000002</v>
      </c>
      <c r="E1607" s="2">
        <v>2872362386675</v>
      </c>
      <c r="F1607" s="2">
        <v>0</v>
      </c>
      <c r="G1607">
        <v>1293.17</v>
      </c>
      <c r="H1607">
        <v>1323.03</v>
      </c>
      <c r="I1607">
        <v>1286.44</v>
      </c>
      <c r="J1607">
        <v>4242309064</v>
      </c>
      <c r="K1607">
        <v>0</v>
      </c>
      <c r="L1607" s="2">
        <f>VLOOKUP(A1607,[1]aaabonddata!$A:$B,2,0)</f>
        <v>1.75</v>
      </c>
    </row>
    <row r="1608" spans="1:12" x14ac:dyDescent="0.2">
      <c r="A1608" s="3">
        <v>41101</v>
      </c>
      <c r="B1608" s="2">
        <v>2570.9899999999998</v>
      </c>
      <c r="C1608" s="2">
        <v>2587.02</v>
      </c>
      <c r="D1608" s="2">
        <v>2549.0500000000002</v>
      </c>
      <c r="E1608" s="2">
        <v>2856220749313</v>
      </c>
      <c r="F1608" s="2">
        <v>298506360</v>
      </c>
      <c r="G1608">
        <v>1285.55</v>
      </c>
      <c r="H1608">
        <v>1302.6199999999999</v>
      </c>
      <c r="I1608">
        <v>1276.44</v>
      </c>
      <c r="J1608">
        <v>4217314569</v>
      </c>
      <c r="K1608">
        <v>216606</v>
      </c>
      <c r="L1608" s="2">
        <f>VLOOKUP(A1608,[1]aaabonddata!$A:$B,2,0)</f>
        <v>1.73</v>
      </c>
    </row>
    <row r="1609" spans="1:12" x14ac:dyDescent="0.2">
      <c r="A1609" s="3">
        <v>41102</v>
      </c>
      <c r="B1609" s="2">
        <v>2545.3000000000002</v>
      </c>
      <c r="C1609" s="2">
        <v>2561.6799999999998</v>
      </c>
      <c r="D1609" s="2">
        <v>2522.89</v>
      </c>
      <c r="E1609" s="2">
        <v>2827676257533</v>
      </c>
      <c r="F1609" s="2">
        <v>0</v>
      </c>
      <c r="G1609">
        <v>1268.95</v>
      </c>
      <c r="H1609">
        <v>1277.54</v>
      </c>
      <c r="I1609">
        <v>1253.07</v>
      </c>
      <c r="J1609">
        <v>4162850704</v>
      </c>
      <c r="K1609">
        <v>0</v>
      </c>
      <c r="L1609" s="2">
        <f>VLOOKUP(A1609,[1]aaabonddata!$A:$B,2,0)</f>
        <v>1.72</v>
      </c>
    </row>
    <row r="1610" spans="1:12" x14ac:dyDescent="0.2">
      <c r="A1610" s="3">
        <v>41103</v>
      </c>
      <c r="B1610" s="2">
        <v>2584.9699999999998</v>
      </c>
      <c r="C1610" s="2">
        <v>2589.9299999999998</v>
      </c>
      <c r="D1610" s="2">
        <v>2545.98</v>
      </c>
      <c r="E1610" s="2">
        <v>2871755630785</v>
      </c>
      <c r="F1610" s="2">
        <v>0</v>
      </c>
      <c r="G1610">
        <v>1285.78</v>
      </c>
      <c r="H1610">
        <v>1287.93</v>
      </c>
      <c r="I1610">
        <v>1269.8399999999999</v>
      </c>
      <c r="J1610">
        <v>4218072993</v>
      </c>
      <c r="K1610">
        <v>0</v>
      </c>
      <c r="L1610" s="2">
        <f>VLOOKUP(A1610,[1]aaabonddata!$A:$B,2,0)</f>
        <v>1.72</v>
      </c>
    </row>
    <row r="1611" spans="1:12" x14ac:dyDescent="0.2">
      <c r="A1611" s="3">
        <v>41106</v>
      </c>
      <c r="B1611" s="2">
        <v>2577.06</v>
      </c>
      <c r="C1611" s="2">
        <v>2589.5700000000002</v>
      </c>
      <c r="D1611" s="2">
        <v>2567.4499999999998</v>
      </c>
      <c r="E1611" s="2">
        <v>2862960502962</v>
      </c>
      <c r="F1611" s="2">
        <v>0</v>
      </c>
      <c r="G1611">
        <v>1275.8499999999999</v>
      </c>
      <c r="H1611">
        <v>1282.24</v>
      </c>
      <c r="I1611">
        <v>1267.6099999999999</v>
      </c>
      <c r="J1611">
        <v>4185467523</v>
      </c>
      <c r="K1611">
        <v>0</v>
      </c>
      <c r="L1611" s="2">
        <f>VLOOKUP(A1611,[1]aaabonddata!$A:$B,2,0)</f>
        <v>1.67</v>
      </c>
    </row>
    <row r="1612" spans="1:12" x14ac:dyDescent="0.2">
      <c r="A1612" s="3">
        <v>41107</v>
      </c>
      <c r="B1612" s="2">
        <v>2591.65</v>
      </c>
      <c r="C1612" s="2">
        <v>2598.4699999999998</v>
      </c>
      <c r="D1612" s="2">
        <v>2554.34</v>
      </c>
      <c r="E1612" s="2">
        <v>2879174589590</v>
      </c>
      <c r="F1612" s="2">
        <v>0</v>
      </c>
      <c r="G1612">
        <v>1277.82</v>
      </c>
      <c r="H1612">
        <v>1282.77</v>
      </c>
      <c r="I1612">
        <v>1255.32</v>
      </c>
      <c r="J1612">
        <v>4191929178</v>
      </c>
      <c r="K1612">
        <v>0</v>
      </c>
      <c r="L1612" s="2">
        <f>VLOOKUP(A1612,[1]aaabonddata!$A:$B,2,0)</f>
        <v>1.69</v>
      </c>
    </row>
    <row r="1613" spans="1:12" x14ac:dyDescent="0.2">
      <c r="A1613" s="3">
        <v>41108</v>
      </c>
      <c r="B1613" s="2">
        <v>2625.88</v>
      </c>
      <c r="C1613" s="2">
        <v>2633.03</v>
      </c>
      <c r="D1613" s="2">
        <v>2585.48</v>
      </c>
      <c r="E1613" s="2">
        <v>2917198671480</v>
      </c>
      <c r="F1613" s="2">
        <v>0</v>
      </c>
      <c r="G1613">
        <v>1312.08</v>
      </c>
      <c r="H1613">
        <v>1319.55</v>
      </c>
      <c r="I1613">
        <v>1276.07</v>
      </c>
      <c r="J1613">
        <v>4304348998</v>
      </c>
      <c r="K1613">
        <v>0</v>
      </c>
      <c r="L1613" s="2">
        <f>VLOOKUP(A1613,[1]aaabonddata!$A:$B,2,0)</f>
        <v>1.66</v>
      </c>
    </row>
    <row r="1614" spans="1:12" x14ac:dyDescent="0.2">
      <c r="A1614" s="3">
        <v>41109</v>
      </c>
      <c r="B1614" s="2">
        <v>2655.81</v>
      </c>
      <c r="C1614" s="2">
        <v>2663.12</v>
      </c>
      <c r="D1614" s="2">
        <v>2639.42</v>
      </c>
      <c r="E1614" s="2">
        <v>2950455472043</v>
      </c>
      <c r="F1614" s="2">
        <v>0</v>
      </c>
      <c r="G1614">
        <v>1328.95</v>
      </c>
      <c r="H1614">
        <v>1333.78</v>
      </c>
      <c r="I1614">
        <v>1316.98</v>
      </c>
      <c r="J1614">
        <v>4359675554</v>
      </c>
      <c r="K1614">
        <v>0</v>
      </c>
      <c r="L1614" s="2">
        <f>VLOOKUP(A1614,[1]aaabonddata!$A:$B,2,0)</f>
        <v>1.67</v>
      </c>
    </row>
    <row r="1615" spans="1:12" x14ac:dyDescent="0.2">
      <c r="A1615" s="3">
        <v>41110</v>
      </c>
      <c r="B1615" s="2">
        <v>2618.0500000000002</v>
      </c>
      <c r="C1615" s="2">
        <v>2654.6</v>
      </c>
      <c r="D1615" s="2">
        <v>2618.0500000000002</v>
      </c>
      <c r="E1615" s="2">
        <v>2908499008950</v>
      </c>
      <c r="F1615" s="2">
        <v>0</v>
      </c>
      <c r="G1615">
        <v>1310.52</v>
      </c>
      <c r="H1615">
        <v>1331.11</v>
      </c>
      <c r="I1615">
        <v>1310.29</v>
      </c>
      <c r="J1615">
        <v>4299230246</v>
      </c>
      <c r="K1615">
        <v>0</v>
      </c>
      <c r="L1615" s="2">
        <f>VLOOKUP(A1615,[1]aaabonddata!$A:$B,2,0)</f>
        <v>1.64</v>
      </c>
    </row>
    <row r="1616" spans="1:12" x14ac:dyDescent="0.2">
      <c r="A1616" s="3">
        <v>41113</v>
      </c>
      <c r="B1616" s="2">
        <v>2589.9299999999998</v>
      </c>
      <c r="C1616" s="2">
        <v>2596.61</v>
      </c>
      <c r="D1616" s="2">
        <v>2549.96</v>
      </c>
      <c r="E1616" s="2">
        <v>2945568553226</v>
      </c>
      <c r="F1616" s="2">
        <v>0</v>
      </c>
      <c r="G1616">
        <v>1290.69</v>
      </c>
      <c r="H1616">
        <v>1295.49</v>
      </c>
      <c r="I1616">
        <v>1269.1600000000001</v>
      </c>
      <c r="J1616">
        <v>4234153811</v>
      </c>
      <c r="K1616">
        <v>0</v>
      </c>
      <c r="L1616" s="2">
        <f>VLOOKUP(A1616,[1]aaabonddata!$A:$B,2,0)</f>
        <v>1.62</v>
      </c>
    </row>
    <row r="1617" spans="1:12" x14ac:dyDescent="0.2">
      <c r="A1617" s="3">
        <v>41114</v>
      </c>
      <c r="B1617" s="2">
        <v>2567.46</v>
      </c>
      <c r="C1617" s="2">
        <v>2596.0500000000002</v>
      </c>
      <c r="D1617" s="2">
        <v>2551.36</v>
      </c>
      <c r="E1617" s="2">
        <v>2920015336786</v>
      </c>
      <c r="F1617" s="2">
        <v>0</v>
      </c>
      <c r="G1617">
        <v>1280.74</v>
      </c>
      <c r="H1617">
        <v>1295.8399999999999</v>
      </c>
      <c r="I1617">
        <v>1271.3499999999999</v>
      </c>
      <c r="J1617">
        <v>4201524748</v>
      </c>
      <c r="K1617">
        <v>0</v>
      </c>
      <c r="L1617" s="2">
        <f>VLOOKUP(A1617,[1]aaabonddata!$A:$B,2,0)</f>
        <v>1.61</v>
      </c>
    </row>
    <row r="1618" spans="1:12" x14ac:dyDescent="0.2">
      <c r="A1618" s="3">
        <v>41115</v>
      </c>
      <c r="B1618" s="2">
        <v>2549.21</v>
      </c>
      <c r="C1618" s="2">
        <v>2566.4699999999998</v>
      </c>
      <c r="D1618" s="2">
        <v>2535.0500000000002</v>
      </c>
      <c r="E1618" s="2">
        <v>2899252683962</v>
      </c>
      <c r="F1618" s="2">
        <v>56253561</v>
      </c>
      <c r="G1618">
        <v>1295.56</v>
      </c>
      <c r="H1618">
        <v>1306.97</v>
      </c>
      <c r="I1618">
        <v>1288.6600000000001</v>
      </c>
      <c r="J1618">
        <v>4250151875</v>
      </c>
      <c r="K1618">
        <v>0</v>
      </c>
      <c r="L1618" s="2">
        <f>VLOOKUP(A1618,[1]aaabonddata!$A:$B,2,0)</f>
        <v>1.61</v>
      </c>
    </row>
    <row r="1619" spans="1:12" x14ac:dyDescent="0.2">
      <c r="A1619" s="3">
        <v>41116</v>
      </c>
      <c r="B1619" s="2">
        <v>2584.85</v>
      </c>
      <c r="C1619" s="2">
        <v>2598.36</v>
      </c>
      <c r="D1619" s="2">
        <v>2568.33</v>
      </c>
      <c r="E1619" s="2">
        <v>2939785530327</v>
      </c>
      <c r="F1619" s="2">
        <v>0</v>
      </c>
      <c r="G1619">
        <v>1330.8</v>
      </c>
      <c r="H1619">
        <v>1337.4</v>
      </c>
      <c r="I1619">
        <v>1319.39</v>
      </c>
      <c r="J1619">
        <v>4365746909</v>
      </c>
      <c r="K1619">
        <v>0</v>
      </c>
      <c r="L1619" s="2">
        <f>VLOOKUP(A1619,[1]aaabonddata!$A:$B,2,0)</f>
        <v>1.63</v>
      </c>
    </row>
    <row r="1620" spans="1:12" x14ac:dyDescent="0.2">
      <c r="A1620" s="3">
        <v>41117</v>
      </c>
      <c r="B1620" s="2">
        <v>2647.03</v>
      </c>
      <c r="C1620" s="2">
        <v>2649.98</v>
      </c>
      <c r="D1620" s="2">
        <v>2594.84</v>
      </c>
      <c r="E1620" s="2">
        <v>3010510995054</v>
      </c>
      <c r="F1620" s="2">
        <v>244796421</v>
      </c>
      <c r="G1620">
        <v>1360.76</v>
      </c>
      <c r="H1620">
        <v>1363.73</v>
      </c>
      <c r="I1620">
        <v>1329.53</v>
      </c>
      <c r="J1620">
        <v>4464043498</v>
      </c>
      <c r="K1620">
        <v>610194</v>
      </c>
      <c r="L1620" s="2">
        <f>VLOOKUP(A1620,[1]aaabonddata!$A:$B,2,0)</f>
        <v>1.67</v>
      </c>
    </row>
    <row r="1621" spans="1:12" x14ac:dyDescent="0.2">
      <c r="A1621" s="3">
        <v>41120</v>
      </c>
      <c r="B1621" s="2">
        <v>2642.12</v>
      </c>
      <c r="C1621" s="2">
        <v>2662.62</v>
      </c>
      <c r="D1621" s="2">
        <v>2634.5</v>
      </c>
      <c r="E1621" s="2">
        <v>3004922676512</v>
      </c>
      <c r="F1621" s="2">
        <v>116014178</v>
      </c>
      <c r="G1621">
        <v>1346.78</v>
      </c>
      <c r="H1621">
        <v>1367.53</v>
      </c>
      <c r="I1621">
        <v>1340.62</v>
      </c>
      <c r="J1621">
        <v>4418187107</v>
      </c>
      <c r="K1621">
        <v>0</v>
      </c>
      <c r="L1621" s="2">
        <f>VLOOKUP(A1621,[1]aaabonddata!$A:$B,2,0)</f>
        <v>1.63</v>
      </c>
    </row>
    <row r="1622" spans="1:12" x14ac:dyDescent="0.2">
      <c r="A1622" s="3">
        <v>41121</v>
      </c>
      <c r="B1622" s="2">
        <v>2642.53</v>
      </c>
      <c r="C1622" s="2">
        <v>2657.27</v>
      </c>
      <c r="D1622" s="2">
        <v>2640.26</v>
      </c>
      <c r="E1622" s="2">
        <v>3005392640600</v>
      </c>
      <c r="F1622" s="2">
        <v>0</v>
      </c>
      <c r="G1622">
        <v>1346</v>
      </c>
      <c r="H1622">
        <v>1358.13</v>
      </c>
      <c r="I1622">
        <v>1344.41</v>
      </c>
      <c r="J1622">
        <v>4415614258</v>
      </c>
      <c r="K1622">
        <v>0</v>
      </c>
      <c r="L1622" s="2">
        <f>VLOOKUP(A1622,[1]aaabonddata!$A:$B,2,0)</f>
        <v>1.61</v>
      </c>
    </row>
    <row r="1623" spans="1:12" x14ac:dyDescent="0.2">
      <c r="A1623" s="3">
        <v>41122</v>
      </c>
      <c r="B1623" s="2">
        <v>2635.13</v>
      </c>
      <c r="C1623" s="2">
        <v>2661.84</v>
      </c>
      <c r="D1623" s="2">
        <v>2625.08</v>
      </c>
      <c r="E1623" s="2">
        <v>2996973449845</v>
      </c>
      <c r="F1623" s="2">
        <v>0</v>
      </c>
      <c r="G1623">
        <v>1345.44</v>
      </c>
      <c r="H1623">
        <v>1356.41</v>
      </c>
      <c r="I1623">
        <v>1339.07</v>
      </c>
      <c r="J1623">
        <v>4413780663</v>
      </c>
      <c r="K1623">
        <v>0</v>
      </c>
      <c r="L1623" s="2">
        <f>VLOOKUP(A1623,[1]aaabonddata!$A:$B,2,0)</f>
        <v>1.62</v>
      </c>
    </row>
    <row r="1624" spans="1:12" x14ac:dyDescent="0.2">
      <c r="A1624" s="3">
        <v>41123</v>
      </c>
      <c r="B1624" s="2">
        <v>2625.52</v>
      </c>
      <c r="C1624" s="2">
        <v>2650.98</v>
      </c>
      <c r="D1624" s="2">
        <v>2606.54</v>
      </c>
      <c r="E1624" s="2">
        <v>2986044596875</v>
      </c>
      <c r="F1624" s="2">
        <v>0</v>
      </c>
      <c r="G1624">
        <v>1337.9</v>
      </c>
      <c r="H1624">
        <v>1354.79</v>
      </c>
      <c r="I1624">
        <v>1327.7</v>
      </c>
      <c r="J1624">
        <v>4389038682</v>
      </c>
      <c r="K1624">
        <v>0</v>
      </c>
      <c r="L1624" s="2">
        <f>VLOOKUP(A1624,[1]aaabonddata!$A:$B,2,0)</f>
        <v>1.61</v>
      </c>
    </row>
    <row r="1625" spans="1:12" x14ac:dyDescent="0.2">
      <c r="A1625" s="3">
        <v>41124</v>
      </c>
      <c r="B1625" s="2">
        <v>2676</v>
      </c>
      <c r="C1625" s="2">
        <v>2684.58</v>
      </c>
      <c r="D1625" s="2">
        <v>2657.5</v>
      </c>
      <c r="E1625" s="2">
        <v>3043454304855</v>
      </c>
      <c r="F1625" s="2">
        <v>1131975000</v>
      </c>
      <c r="G1625">
        <v>1368.51</v>
      </c>
      <c r="H1625">
        <v>1373.7</v>
      </c>
      <c r="I1625">
        <v>1352.85</v>
      </c>
      <c r="J1625">
        <v>4489445131</v>
      </c>
      <c r="K1625">
        <v>822970</v>
      </c>
      <c r="L1625" s="2">
        <f>VLOOKUP(A1625,[1]aaabonddata!$A:$B,2,0)</f>
        <v>1.65</v>
      </c>
    </row>
    <row r="1626" spans="1:12" x14ac:dyDescent="0.2">
      <c r="A1626" s="3">
        <v>41127</v>
      </c>
      <c r="B1626" s="2">
        <v>2694.09</v>
      </c>
      <c r="C1626" s="2">
        <v>2705.71</v>
      </c>
      <c r="D1626" s="2">
        <v>2681.72</v>
      </c>
      <c r="E1626" s="2">
        <v>3064033476243</v>
      </c>
      <c r="F1626" s="2">
        <v>187003971</v>
      </c>
      <c r="G1626">
        <v>1382.23</v>
      </c>
      <c r="H1626">
        <v>1388.2</v>
      </c>
      <c r="I1626">
        <v>1375.63</v>
      </c>
      <c r="J1626">
        <v>4534474816</v>
      </c>
      <c r="K1626">
        <v>675883</v>
      </c>
      <c r="L1626" s="2">
        <f>VLOOKUP(A1626,[1]aaabonddata!$A:$B,2,0)</f>
        <v>1.64</v>
      </c>
    </row>
    <row r="1627" spans="1:12" x14ac:dyDescent="0.2">
      <c r="A1627" s="3">
        <v>41128</v>
      </c>
      <c r="B1627" s="2">
        <v>2717.16</v>
      </c>
      <c r="C1627" s="2">
        <v>2727.31</v>
      </c>
      <c r="D1627" s="2">
        <v>2701.9</v>
      </c>
      <c r="E1627" s="2">
        <v>3090268608572</v>
      </c>
      <c r="F1627" s="2">
        <v>0</v>
      </c>
      <c r="G1627">
        <v>1404.71</v>
      </c>
      <c r="H1627">
        <v>1411.72</v>
      </c>
      <c r="I1627">
        <v>1390.43</v>
      </c>
      <c r="J1627">
        <v>4608215819</v>
      </c>
      <c r="K1627">
        <v>0</v>
      </c>
      <c r="L1627" s="2">
        <f>VLOOKUP(A1627,[1]aaabonddata!$A:$B,2,0)</f>
        <v>1.68</v>
      </c>
    </row>
    <row r="1628" spans="1:12" x14ac:dyDescent="0.2">
      <c r="A1628" s="3">
        <v>41129</v>
      </c>
      <c r="B1628" s="2">
        <v>2714.02</v>
      </c>
      <c r="C1628" s="2">
        <v>2721.02</v>
      </c>
      <c r="D1628" s="2">
        <v>2705.47</v>
      </c>
      <c r="E1628" s="2">
        <v>3086701563527</v>
      </c>
      <c r="F1628" s="2">
        <v>151405042</v>
      </c>
      <c r="G1628">
        <v>1408.83</v>
      </c>
      <c r="H1628">
        <v>1413.53</v>
      </c>
      <c r="I1628">
        <v>1400.9</v>
      </c>
      <c r="J1628">
        <v>4621737434</v>
      </c>
      <c r="K1628">
        <v>302480</v>
      </c>
      <c r="L1628" s="2">
        <f>VLOOKUP(A1628,[1]aaabonddata!$A:$B,2,0)</f>
        <v>1.7</v>
      </c>
    </row>
    <row r="1629" spans="1:12" x14ac:dyDescent="0.2">
      <c r="A1629" s="3">
        <v>41130</v>
      </c>
      <c r="B1629" s="2">
        <v>2719.61</v>
      </c>
      <c r="C1629" s="2">
        <v>2724.43</v>
      </c>
      <c r="D1629" s="2">
        <v>2708.24</v>
      </c>
      <c r="E1629" s="2">
        <v>3093051447000</v>
      </c>
      <c r="F1629" s="2">
        <v>2544845433</v>
      </c>
      <c r="G1629">
        <v>1413.49</v>
      </c>
      <c r="H1629">
        <v>1417.71</v>
      </c>
      <c r="I1629">
        <v>1406.38</v>
      </c>
      <c r="J1629">
        <v>4637011689</v>
      </c>
      <c r="K1629">
        <v>1289555</v>
      </c>
      <c r="L1629" s="2">
        <f>VLOOKUP(A1629,[1]aaabonddata!$A:$B,2,0)</f>
        <v>1.7</v>
      </c>
    </row>
    <row r="1630" spans="1:12" x14ac:dyDescent="0.2">
      <c r="A1630" s="3">
        <v>41131</v>
      </c>
      <c r="B1630" s="2">
        <v>2722.96</v>
      </c>
      <c r="C1630" s="2">
        <v>2722.96</v>
      </c>
      <c r="D1630" s="2">
        <v>2704.91</v>
      </c>
      <c r="E1630" s="2">
        <v>3095726983637</v>
      </c>
      <c r="F1630" s="2">
        <v>254037443</v>
      </c>
      <c r="G1630">
        <v>1419.57</v>
      </c>
      <c r="H1630">
        <v>1419.6</v>
      </c>
      <c r="I1630">
        <v>1406.93</v>
      </c>
      <c r="J1630">
        <v>4656963487</v>
      </c>
      <c r="K1630">
        <v>2307867</v>
      </c>
      <c r="L1630" s="2">
        <f>VLOOKUP(A1630,[1]aaabonddata!$A:$B,2,0)</f>
        <v>1.68</v>
      </c>
    </row>
    <row r="1631" spans="1:12" x14ac:dyDescent="0.2">
      <c r="A1631" s="3">
        <v>41134</v>
      </c>
      <c r="B1631" s="2">
        <v>2728.68</v>
      </c>
      <c r="C1631" s="2">
        <v>2728.88</v>
      </c>
      <c r="D1631" s="2">
        <v>2708.38</v>
      </c>
      <c r="E1631" s="2">
        <v>3102229749952</v>
      </c>
      <c r="F1631" s="2">
        <v>0</v>
      </c>
      <c r="G1631">
        <v>1411.5</v>
      </c>
      <c r="H1631">
        <v>1419.74</v>
      </c>
      <c r="I1631">
        <v>1401.08</v>
      </c>
      <c r="J1631">
        <v>4630484292</v>
      </c>
      <c r="K1631">
        <v>0</v>
      </c>
      <c r="L1631" s="2">
        <f>VLOOKUP(A1631,[1]aaabonddata!$A:$B,2,0)</f>
        <v>1.68</v>
      </c>
    </row>
    <row r="1632" spans="1:12" x14ac:dyDescent="0.2">
      <c r="A1632" s="3">
        <v>41135</v>
      </c>
      <c r="B1632" s="2">
        <v>2727.79</v>
      </c>
      <c r="C1632" s="2">
        <v>2742.83</v>
      </c>
      <c r="D1632" s="2">
        <v>2721.12</v>
      </c>
      <c r="E1632" s="2">
        <v>3101228665288</v>
      </c>
      <c r="F1632" s="2">
        <v>1960148056</v>
      </c>
      <c r="G1632">
        <v>1399.61</v>
      </c>
      <c r="H1632">
        <v>1417.65</v>
      </c>
      <c r="I1632">
        <v>1395.36</v>
      </c>
      <c r="J1632">
        <v>4591493503</v>
      </c>
      <c r="K1632">
        <v>666223</v>
      </c>
      <c r="L1632" s="2">
        <f>VLOOKUP(A1632,[1]aaabonddata!$A:$B,2,0)</f>
        <v>1.71</v>
      </c>
    </row>
    <row r="1633" spans="1:12" x14ac:dyDescent="0.2">
      <c r="A1633" s="3">
        <v>41136</v>
      </c>
      <c r="B1633" s="2">
        <v>2735.47</v>
      </c>
      <c r="C1633" s="2">
        <v>2739.14</v>
      </c>
      <c r="D1633" s="2">
        <v>2724.71</v>
      </c>
      <c r="E1633" s="2">
        <v>3109954336831</v>
      </c>
      <c r="F1633" s="2">
        <v>128889235</v>
      </c>
      <c r="G1633">
        <v>1408.69</v>
      </c>
      <c r="H1633">
        <v>1412.42</v>
      </c>
      <c r="I1633">
        <v>1398.94</v>
      </c>
      <c r="J1633">
        <v>4621276351</v>
      </c>
      <c r="K1633">
        <v>836960</v>
      </c>
      <c r="L1633" s="2">
        <f>VLOOKUP(A1633,[1]aaabonddata!$A:$B,2,0)</f>
        <v>1.75</v>
      </c>
    </row>
    <row r="1634" spans="1:12" x14ac:dyDescent="0.2">
      <c r="A1634" s="3">
        <v>41137</v>
      </c>
      <c r="B1634" s="2">
        <v>2768.09</v>
      </c>
      <c r="C1634" s="2">
        <v>2774.22</v>
      </c>
      <c r="D1634" s="2">
        <v>2742.82</v>
      </c>
      <c r="E1634" s="2">
        <v>3147040357996</v>
      </c>
      <c r="F1634" s="2">
        <v>0</v>
      </c>
      <c r="G1634">
        <v>1434.37</v>
      </c>
      <c r="H1634">
        <v>1437.15</v>
      </c>
      <c r="I1634">
        <v>1414.15</v>
      </c>
      <c r="J1634">
        <v>4705508088</v>
      </c>
      <c r="K1634">
        <v>0</v>
      </c>
      <c r="L1634" s="2">
        <f>VLOOKUP(A1634,[1]aaabonddata!$A:$B,2,0)</f>
        <v>1.75</v>
      </c>
    </row>
    <row r="1635" spans="1:12" x14ac:dyDescent="0.2">
      <c r="A1635" s="3">
        <v>41138</v>
      </c>
      <c r="B1635" s="2">
        <v>2780.3</v>
      </c>
      <c r="C1635" s="2">
        <v>2780.77</v>
      </c>
      <c r="D1635" s="2">
        <v>2767.04</v>
      </c>
      <c r="E1635" s="2">
        <v>3160918688772</v>
      </c>
      <c r="F1635" s="2">
        <v>0</v>
      </c>
      <c r="G1635">
        <v>1432.68</v>
      </c>
      <c r="H1635">
        <v>1434.59</v>
      </c>
      <c r="I1635">
        <v>1427.33</v>
      </c>
      <c r="J1635">
        <v>4699968271</v>
      </c>
      <c r="K1635">
        <v>0</v>
      </c>
      <c r="L1635" s="2">
        <f>VLOOKUP(A1635,[1]aaabonddata!$A:$B,2,0)</f>
        <v>1.74</v>
      </c>
    </row>
    <row r="1636" spans="1:12" x14ac:dyDescent="0.2">
      <c r="A1636" s="3">
        <v>41141</v>
      </c>
      <c r="B1636" s="2">
        <v>2784.33</v>
      </c>
      <c r="C1636" s="2">
        <v>2784.57</v>
      </c>
      <c r="D1636" s="2">
        <v>2767.73</v>
      </c>
      <c r="E1636" s="2">
        <v>3165503271740</v>
      </c>
      <c r="F1636" s="2">
        <v>138076672</v>
      </c>
      <c r="G1636">
        <v>1422.98</v>
      </c>
      <c r="H1636">
        <v>1429.5</v>
      </c>
      <c r="I1636">
        <v>1415.51</v>
      </c>
      <c r="J1636">
        <v>4668164775</v>
      </c>
      <c r="K1636">
        <v>2011258</v>
      </c>
      <c r="L1636" s="2">
        <f>VLOOKUP(A1636,[1]aaabonddata!$A:$B,2,0)</f>
        <v>1.73</v>
      </c>
    </row>
    <row r="1637" spans="1:12" x14ac:dyDescent="0.2">
      <c r="A1637" s="3">
        <v>41142</v>
      </c>
      <c r="B1637" s="2">
        <v>2772.2</v>
      </c>
      <c r="C1637" s="2">
        <v>2802.91</v>
      </c>
      <c r="D1637" s="2">
        <v>2762.9</v>
      </c>
      <c r="E1637" s="2">
        <v>3151713908564</v>
      </c>
      <c r="F1637" s="2">
        <v>115354153</v>
      </c>
      <c r="G1637">
        <v>1421.1</v>
      </c>
      <c r="H1637">
        <v>1436.14</v>
      </c>
      <c r="I1637">
        <v>1416.12</v>
      </c>
      <c r="J1637">
        <v>4661994314</v>
      </c>
      <c r="K1637">
        <v>818926</v>
      </c>
      <c r="L1637" s="2">
        <f>VLOOKUP(A1637,[1]aaabonddata!$A:$B,2,0)</f>
        <v>1.73</v>
      </c>
    </row>
    <row r="1638" spans="1:12" x14ac:dyDescent="0.2">
      <c r="A1638" s="3">
        <v>41143</v>
      </c>
      <c r="B1638" s="2">
        <v>2783.42</v>
      </c>
      <c r="C1638" s="2">
        <v>2790.3</v>
      </c>
      <c r="D1638" s="2">
        <v>2759.14</v>
      </c>
      <c r="E1638" s="2">
        <v>3164465621574</v>
      </c>
      <c r="F1638" s="2">
        <v>0</v>
      </c>
      <c r="G1638">
        <v>1419.14</v>
      </c>
      <c r="H1638">
        <v>1423.65</v>
      </c>
      <c r="I1638">
        <v>1408.54</v>
      </c>
      <c r="J1638">
        <v>4655554177</v>
      </c>
      <c r="K1638">
        <v>0</v>
      </c>
      <c r="L1638" s="2">
        <f>VLOOKUP(A1638,[1]aaabonddata!$A:$B,2,0)</f>
        <v>1.68</v>
      </c>
    </row>
    <row r="1639" spans="1:12" x14ac:dyDescent="0.2">
      <c r="A1639" s="3">
        <v>41144</v>
      </c>
      <c r="B1639" s="2">
        <v>2762.02</v>
      </c>
      <c r="C1639" s="2">
        <v>2780.71</v>
      </c>
      <c r="D1639" s="2">
        <v>2755.14</v>
      </c>
      <c r="E1639" s="2">
        <v>3140141349225</v>
      </c>
      <c r="F1639" s="2">
        <v>0</v>
      </c>
      <c r="G1639">
        <v>1403.7</v>
      </c>
      <c r="H1639">
        <v>1414.77</v>
      </c>
      <c r="I1639">
        <v>1398.06</v>
      </c>
      <c r="J1639">
        <v>4604911225</v>
      </c>
      <c r="K1639">
        <v>0</v>
      </c>
      <c r="L1639" s="2">
        <f>VLOOKUP(A1639,[1]aaabonddata!$A:$B,2,0)</f>
        <v>1.65</v>
      </c>
    </row>
    <row r="1640" spans="1:12" x14ac:dyDescent="0.2">
      <c r="A1640" s="3">
        <v>41145</v>
      </c>
      <c r="B1640" s="2">
        <v>2778.05</v>
      </c>
      <c r="C1640" s="2">
        <v>2785.34</v>
      </c>
      <c r="D1640" s="2">
        <v>2750.64</v>
      </c>
      <c r="E1640" s="2">
        <v>3158367453953</v>
      </c>
      <c r="F1640" s="2">
        <v>14857109</v>
      </c>
      <c r="G1640">
        <v>1403.77</v>
      </c>
      <c r="H1640">
        <v>1406.99</v>
      </c>
      <c r="I1640">
        <v>1390.37</v>
      </c>
      <c r="J1640">
        <v>4605119970</v>
      </c>
      <c r="K1640">
        <v>0</v>
      </c>
      <c r="L1640" s="2">
        <f>VLOOKUP(A1640,[1]aaabonddata!$A:$B,2,0)</f>
        <v>1.66</v>
      </c>
    </row>
    <row r="1641" spans="1:12" x14ac:dyDescent="0.2">
      <c r="A1641" s="3">
        <v>41148</v>
      </c>
      <c r="B1641" s="2">
        <v>2782.55</v>
      </c>
      <c r="C1641" s="2">
        <v>2794.27</v>
      </c>
      <c r="D1641" s="2">
        <v>2777.36</v>
      </c>
      <c r="E1641" s="2">
        <v>3163475655015</v>
      </c>
      <c r="F1641" s="2">
        <v>105579642</v>
      </c>
      <c r="G1641">
        <v>1398.81</v>
      </c>
      <c r="H1641">
        <v>1407.03</v>
      </c>
      <c r="I1641">
        <v>1394.5</v>
      </c>
      <c r="J1641">
        <v>4588864164</v>
      </c>
      <c r="K1641">
        <v>0</v>
      </c>
      <c r="L1641" s="2">
        <f>VLOOKUP(A1641,[1]aaabonddata!$A:$B,2,0)</f>
        <v>1.65</v>
      </c>
    </row>
    <row r="1642" spans="1:12" x14ac:dyDescent="0.2">
      <c r="A1642" s="3">
        <v>41149</v>
      </c>
      <c r="B1642" s="2">
        <v>2782.69</v>
      </c>
      <c r="C1642" s="2">
        <v>2790.51</v>
      </c>
      <c r="D1642" s="2">
        <v>2772.25</v>
      </c>
      <c r="E1642" s="2">
        <v>3163637986798</v>
      </c>
      <c r="F1642" s="2">
        <v>0</v>
      </c>
      <c r="G1642">
        <v>1398.73</v>
      </c>
      <c r="H1642">
        <v>1406.59</v>
      </c>
      <c r="I1642">
        <v>1392.5</v>
      </c>
      <c r="J1642">
        <v>4588607256</v>
      </c>
      <c r="K1642">
        <v>0</v>
      </c>
      <c r="L1642" s="2">
        <f>VLOOKUP(A1642,[1]aaabonddata!$A:$B,2,0)</f>
        <v>1.63</v>
      </c>
    </row>
    <row r="1643" spans="1:12" x14ac:dyDescent="0.2">
      <c r="A1643" s="3">
        <v>41150</v>
      </c>
      <c r="B1643" s="2">
        <v>2784</v>
      </c>
      <c r="C1643" s="2">
        <v>2790.17</v>
      </c>
      <c r="D1643" s="2">
        <v>2771.99</v>
      </c>
      <c r="E1643" s="2">
        <v>3164122740019</v>
      </c>
      <c r="F1643" s="2">
        <v>113167289</v>
      </c>
      <c r="G1643">
        <v>1400.16</v>
      </c>
      <c r="H1643">
        <v>1404.19</v>
      </c>
      <c r="I1643">
        <v>1390.75</v>
      </c>
      <c r="J1643">
        <v>4593291793</v>
      </c>
      <c r="K1643">
        <v>291715</v>
      </c>
      <c r="L1643" s="2">
        <f>VLOOKUP(A1643,[1]aaabonddata!$A:$B,2,0)</f>
        <v>1.64</v>
      </c>
    </row>
    <row r="1644" spans="1:12" x14ac:dyDescent="0.2">
      <c r="A1644" s="3">
        <v>41151</v>
      </c>
      <c r="B1644" s="2">
        <v>2753.74</v>
      </c>
      <c r="C1644" s="2">
        <v>2772.62</v>
      </c>
      <c r="D1644" s="2">
        <v>2751.53</v>
      </c>
      <c r="E1644" s="2">
        <v>3129735354404</v>
      </c>
      <c r="F1644" s="2">
        <v>0</v>
      </c>
      <c r="G1644">
        <v>1377.72</v>
      </c>
      <c r="H1644">
        <v>1392.32</v>
      </c>
      <c r="I1644">
        <v>1375.93</v>
      </c>
      <c r="J1644">
        <v>4519670815</v>
      </c>
      <c r="K1644">
        <v>0</v>
      </c>
      <c r="L1644" s="2">
        <f>VLOOKUP(A1644,[1]aaabonddata!$A:$B,2,0)</f>
        <v>1.62</v>
      </c>
    </row>
    <row r="1645" spans="1:12" x14ac:dyDescent="0.2">
      <c r="A1645" s="3">
        <v>41152</v>
      </c>
      <c r="B1645" s="2">
        <v>2772.24</v>
      </c>
      <c r="C1645" s="2">
        <v>2785.08</v>
      </c>
      <c r="D1645" s="2">
        <v>2746.68</v>
      </c>
      <c r="E1645" s="2">
        <v>3150756279112</v>
      </c>
      <c r="F1645" s="2">
        <v>0</v>
      </c>
      <c r="G1645">
        <v>1388.21</v>
      </c>
      <c r="H1645">
        <v>1396.34</v>
      </c>
      <c r="I1645">
        <v>1373.04</v>
      </c>
      <c r="J1645">
        <v>4554098958</v>
      </c>
      <c r="K1645">
        <v>0</v>
      </c>
      <c r="L1645" s="2">
        <f>VLOOKUP(A1645,[1]aaabonddata!$A:$B,2,0)</f>
        <v>1.59</v>
      </c>
    </row>
    <row r="1646" spans="1:12" x14ac:dyDescent="0.2">
      <c r="A1646" s="3">
        <v>41156</v>
      </c>
      <c r="B1646" s="2">
        <v>2772.03</v>
      </c>
      <c r="C1646" s="2">
        <v>2781.08</v>
      </c>
      <c r="D1646" s="2">
        <v>2744.29</v>
      </c>
      <c r="E1646" s="2">
        <v>3150518318404</v>
      </c>
      <c r="F1646" s="2">
        <v>0</v>
      </c>
      <c r="G1646">
        <v>1383.9</v>
      </c>
      <c r="H1646">
        <v>1390.86</v>
      </c>
      <c r="I1646">
        <v>1369.92</v>
      </c>
      <c r="J1646">
        <v>4539932156</v>
      </c>
      <c r="K1646">
        <v>0</v>
      </c>
      <c r="L1646" s="2">
        <f>VLOOKUP(A1646,[1]aaabonddata!$A:$B,2,0)</f>
        <v>1.59</v>
      </c>
    </row>
    <row r="1647" spans="1:12" x14ac:dyDescent="0.2">
      <c r="A1647" s="3">
        <v>41157</v>
      </c>
      <c r="B1647" s="2">
        <v>2766.95</v>
      </c>
      <c r="C1647" s="2">
        <v>2780.56</v>
      </c>
      <c r="D1647" s="2">
        <v>2760.66</v>
      </c>
      <c r="E1647" s="2">
        <v>3144753312178</v>
      </c>
      <c r="F1647" s="2">
        <v>482230993</v>
      </c>
      <c r="G1647">
        <v>1381.47</v>
      </c>
      <c r="H1647">
        <v>1388.78</v>
      </c>
      <c r="I1647">
        <v>1375.01</v>
      </c>
      <c r="J1647">
        <v>4531962919</v>
      </c>
      <c r="K1647">
        <v>442478</v>
      </c>
      <c r="L1647" s="2">
        <f>VLOOKUP(A1647,[1]aaabonddata!$A:$B,2,0)</f>
        <v>1.6</v>
      </c>
    </row>
    <row r="1648" spans="1:12" x14ac:dyDescent="0.2">
      <c r="A1648" s="3">
        <v>41158</v>
      </c>
      <c r="B1648" s="2">
        <v>2829.71</v>
      </c>
      <c r="C1648" s="2">
        <v>2829.71</v>
      </c>
      <c r="D1648" s="2">
        <v>2784.81</v>
      </c>
      <c r="E1648" s="2">
        <v>3216075259460</v>
      </c>
      <c r="F1648" s="2">
        <v>0</v>
      </c>
      <c r="G1648">
        <v>1424.21</v>
      </c>
      <c r="H1648">
        <v>1424.71</v>
      </c>
      <c r="I1648">
        <v>1391.29</v>
      </c>
      <c r="J1648">
        <v>4672167790</v>
      </c>
      <c r="K1648">
        <v>0</v>
      </c>
      <c r="L1648" s="2">
        <f>VLOOKUP(A1648,[1]aaabonddata!$A:$B,2,0)</f>
        <v>1.65</v>
      </c>
    </row>
    <row r="1649" spans="1:12" x14ac:dyDescent="0.2">
      <c r="A1649" s="3">
        <v>41159</v>
      </c>
      <c r="B1649" s="2">
        <v>2825.11</v>
      </c>
      <c r="C1649" s="2">
        <v>2829.95</v>
      </c>
      <c r="D1649" s="2">
        <v>2817.48</v>
      </c>
      <c r="E1649" s="2">
        <v>3210845860875</v>
      </c>
      <c r="F1649" s="2">
        <v>11110643</v>
      </c>
      <c r="G1649">
        <v>1419.49</v>
      </c>
      <c r="H1649">
        <v>1421.99</v>
      </c>
      <c r="I1649">
        <v>1414.3</v>
      </c>
      <c r="J1649">
        <v>4656690512</v>
      </c>
      <c r="K1649">
        <v>0</v>
      </c>
      <c r="L1649" s="2">
        <f>VLOOKUP(A1649,[1]aaabonddata!$A:$B,2,0)</f>
        <v>1.63</v>
      </c>
    </row>
    <row r="1650" spans="1:12" x14ac:dyDescent="0.2">
      <c r="A1650" s="3">
        <v>41162</v>
      </c>
      <c r="B1650" s="2">
        <v>2788.35</v>
      </c>
      <c r="C1650" s="2">
        <v>2823.34</v>
      </c>
      <c r="D1650" s="2">
        <v>2787.33</v>
      </c>
      <c r="E1650" s="2">
        <v>3169072193763</v>
      </c>
      <c r="F1650" s="2">
        <v>137960669</v>
      </c>
      <c r="G1650">
        <v>1401.65</v>
      </c>
      <c r="H1650">
        <v>1417.84</v>
      </c>
      <c r="I1650">
        <v>1400.82</v>
      </c>
      <c r="J1650">
        <v>4598183460</v>
      </c>
      <c r="K1650">
        <v>0</v>
      </c>
      <c r="L1650" s="2">
        <f>VLOOKUP(A1650,[1]aaabonddata!$A:$B,2,0)</f>
        <v>1.64</v>
      </c>
    </row>
    <row r="1651" spans="1:12" x14ac:dyDescent="0.2">
      <c r="A1651" s="3">
        <v>41163</v>
      </c>
      <c r="B1651" s="2">
        <v>2784.89</v>
      </c>
      <c r="C1651" s="2">
        <v>2799.85</v>
      </c>
      <c r="D1651" s="2">
        <v>2780.24</v>
      </c>
      <c r="E1651" s="2">
        <v>3165141174245</v>
      </c>
      <c r="F1651" s="2">
        <v>34383996</v>
      </c>
      <c r="G1651">
        <v>1404.4</v>
      </c>
      <c r="H1651">
        <v>1410.27</v>
      </c>
      <c r="I1651">
        <v>1397.6</v>
      </c>
      <c r="J1651">
        <v>4607195099</v>
      </c>
      <c r="K1651">
        <v>520833</v>
      </c>
      <c r="L1651" s="2">
        <f>VLOOKUP(A1651,[1]aaabonddata!$A:$B,2,0)</f>
        <v>1.63</v>
      </c>
    </row>
    <row r="1652" spans="1:12" x14ac:dyDescent="0.2">
      <c r="A1652" s="3">
        <v>41164</v>
      </c>
      <c r="B1652" s="2">
        <v>2791.68</v>
      </c>
      <c r="C1652" s="2">
        <v>2798.97</v>
      </c>
      <c r="D1652" s="2">
        <v>2775.4</v>
      </c>
      <c r="E1652" s="2">
        <v>3172860119807</v>
      </c>
      <c r="F1652" s="2">
        <v>417836060</v>
      </c>
      <c r="G1652">
        <v>1406.59</v>
      </c>
      <c r="H1652">
        <v>1414.18</v>
      </c>
      <c r="I1652">
        <v>1401.86</v>
      </c>
      <c r="J1652">
        <v>4614374950</v>
      </c>
      <c r="K1652">
        <v>1191106</v>
      </c>
      <c r="L1652" s="2">
        <f>VLOOKUP(A1652,[1]aaabonddata!$A:$B,2,0)</f>
        <v>1.66</v>
      </c>
    </row>
    <row r="1653" spans="1:12" x14ac:dyDescent="0.2">
      <c r="A1653" s="3">
        <v>41165</v>
      </c>
      <c r="B1653" s="2">
        <v>2831.35</v>
      </c>
      <c r="C1653" s="2">
        <v>2841.68</v>
      </c>
      <c r="D1653" s="2">
        <v>2792.18</v>
      </c>
      <c r="E1653" s="2">
        <v>3217708274339</v>
      </c>
      <c r="F1653" s="2">
        <v>0</v>
      </c>
      <c r="G1653">
        <v>1422.76</v>
      </c>
      <c r="H1653">
        <v>1430.17</v>
      </c>
      <c r="I1653">
        <v>1401.55</v>
      </c>
      <c r="J1653">
        <v>4667438745</v>
      </c>
      <c r="K1653">
        <v>0</v>
      </c>
      <c r="L1653" s="2">
        <f>VLOOKUP(A1653,[1]aaabonddata!$A:$B,2,0)</f>
        <v>1.65</v>
      </c>
    </row>
    <row r="1654" spans="1:12" x14ac:dyDescent="0.2">
      <c r="A1654" s="3">
        <v>41166</v>
      </c>
      <c r="B1654" s="2">
        <v>2855.23</v>
      </c>
      <c r="C1654" s="2">
        <v>2865.37</v>
      </c>
      <c r="D1654" s="2">
        <v>2839.48</v>
      </c>
      <c r="E1654" s="2">
        <v>3244855548239</v>
      </c>
      <c r="F1654" s="2">
        <v>0</v>
      </c>
      <c r="G1654">
        <v>1438.23</v>
      </c>
      <c r="H1654">
        <v>1445.72</v>
      </c>
      <c r="I1654">
        <v>1426.45</v>
      </c>
      <c r="J1654">
        <v>4718167220</v>
      </c>
      <c r="K1654">
        <v>0</v>
      </c>
      <c r="L1654" s="2">
        <f>VLOOKUP(A1654,[1]aaabonddata!$A:$B,2,0)</f>
        <v>1.66</v>
      </c>
    </row>
    <row r="1655" spans="1:12" x14ac:dyDescent="0.2">
      <c r="A1655" s="3">
        <v>41169</v>
      </c>
      <c r="B1655" s="2">
        <v>2856.44</v>
      </c>
      <c r="C1655" s="2">
        <v>2857.52</v>
      </c>
      <c r="D1655" s="2">
        <v>2846.17</v>
      </c>
      <c r="E1655" s="2">
        <v>3246225523806</v>
      </c>
      <c r="F1655" s="2">
        <v>514166547</v>
      </c>
      <c r="G1655">
        <v>1426.67</v>
      </c>
      <c r="H1655">
        <v>1436.94</v>
      </c>
      <c r="I1655">
        <v>1421.44</v>
      </c>
      <c r="J1655">
        <v>4680265457</v>
      </c>
      <c r="K1655">
        <v>0</v>
      </c>
      <c r="L1655" s="2">
        <f>VLOOKUP(A1655,[1]aaabonddata!$A:$B,2,0)</f>
        <v>1.65</v>
      </c>
    </row>
    <row r="1656" spans="1:12" x14ac:dyDescent="0.2">
      <c r="A1656" s="3">
        <v>41170</v>
      </c>
      <c r="B1656" s="2">
        <v>2857.38</v>
      </c>
      <c r="C1656" s="2">
        <v>2859.34</v>
      </c>
      <c r="D1656" s="2">
        <v>2848.91</v>
      </c>
      <c r="E1656" s="2">
        <v>3247298272394</v>
      </c>
      <c r="F1656" s="2">
        <v>39024462</v>
      </c>
      <c r="G1656">
        <v>1424.03</v>
      </c>
      <c r="H1656">
        <v>1429.04</v>
      </c>
      <c r="I1656">
        <v>1421.43</v>
      </c>
      <c r="J1656">
        <v>4671602009</v>
      </c>
      <c r="K1656">
        <v>469621</v>
      </c>
      <c r="L1656" s="2">
        <f>VLOOKUP(A1656,[1]aaabonddata!$A:$B,2,0)</f>
        <v>1.64</v>
      </c>
    </row>
    <row r="1657" spans="1:12" x14ac:dyDescent="0.2">
      <c r="A1657" s="3">
        <v>41171</v>
      </c>
      <c r="B1657" s="2">
        <v>2864.03</v>
      </c>
      <c r="C1657" s="2">
        <v>2871.1</v>
      </c>
      <c r="D1657" s="2">
        <v>2850.32</v>
      </c>
      <c r="E1657" s="2">
        <v>3254855479346</v>
      </c>
      <c r="F1657" s="2">
        <v>0</v>
      </c>
      <c r="G1657">
        <v>1422.44</v>
      </c>
      <c r="H1657">
        <v>1427.14</v>
      </c>
      <c r="I1657">
        <v>1416.99</v>
      </c>
      <c r="J1657">
        <v>4666376856</v>
      </c>
      <c r="K1657">
        <v>0</v>
      </c>
      <c r="L1657" s="2">
        <f>VLOOKUP(A1657,[1]aaabonddata!$A:$B,2,0)</f>
        <v>1.62</v>
      </c>
    </row>
    <row r="1658" spans="1:12" x14ac:dyDescent="0.2">
      <c r="A1658" s="3">
        <v>41172</v>
      </c>
      <c r="B1658" s="2">
        <v>2861.7</v>
      </c>
      <c r="C1658" s="2">
        <v>2863.67</v>
      </c>
      <c r="D1658" s="2">
        <v>2842.59</v>
      </c>
      <c r="E1658" s="2">
        <v>3252200516739</v>
      </c>
      <c r="F1658" s="2">
        <v>0</v>
      </c>
      <c r="G1658">
        <v>1416.19</v>
      </c>
      <c r="H1658">
        <v>1417.72</v>
      </c>
      <c r="I1658">
        <v>1407.48</v>
      </c>
      <c r="J1658">
        <v>4645882618</v>
      </c>
      <c r="K1658">
        <v>0</v>
      </c>
      <c r="L1658" s="2">
        <f>VLOOKUP(A1658,[1]aaabonddata!$A:$B,2,0)</f>
        <v>1.61</v>
      </c>
    </row>
    <row r="1659" spans="1:12" x14ac:dyDescent="0.2">
      <c r="A1659" s="3">
        <v>41173</v>
      </c>
      <c r="B1659" s="2">
        <v>2861.64</v>
      </c>
      <c r="C1659" s="2">
        <v>2878.38</v>
      </c>
      <c r="D1659" s="2">
        <v>2859.55</v>
      </c>
      <c r="E1659" s="2">
        <v>3252132873726</v>
      </c>
      <c r="F1659" s="2">
        <v>0</v>
      </c>
      <c r="G1659">
        <v>1416.16</v>
      </c>
      <c r="H1659">
        <v>1428.22</v>
      </c>
      <c r="I1659">
        <v>1415.16</v>
      </c>
      <c r="J1659">
        <v>4645760156</v>
      </c>
      <c r="K1659">
        <v>0</v>
      </c>
      <c r="L1659" s="2">
        <f>VLOOKUP(A1659,[1]aaabonddata!$A:$B,2,0)</f>
        <v>1.6</v>
      </c>
    </row>
    <row r="1660" spans="1:12" x14ac:dyDescent="0.2">
      <c r="A1660" s="3">
        <v>41176</v>
      </c>
      <c r="B1660" s="2">
        <v>2843.98</v>
      </c>
      <c r="C1660" s="2">
        <v>2849.61</v>
      </c>
      <c r="D1660" s="2">
        <v>2832.53</v>
      </c>
      <c r="E1660" s="2">
        <v>3223321271329</v>
      </c>
      <c r="F1660" s="2">
        <v>0</v>
      </c>
      <c r="G1660">
        <v>1403.26</v>
      </c>
      <c r="H1660">
        <v>1406.79</v>
      </c>
      <c r="I1660">
        <v>1398.71</v>
      </c>
      <c r="J1660">
        <v>4359934435</v>
      </c>
      <c r="K1660">
        <v>0</v>
      </c>
      <c r="L1660" s="2">
        <f>VLOOKUP(A1660,[1]aaabonddata!$A:$B,2,0)</f>
        <v>1.58</v>
      </c>
    </row>
    <row r="1661" spans="1:12" x14ac:dyDescent="0.2">
      <c r="A1661" s="3">
        <v>41177</v>
      </c>
      <c r="B1661" s="2">
        <v>2804.53</v>
      </c>
      <c r="C1661" s="2">
        <v>2858.68</v>
      </c>
      <c r="D1661" s="2">
        <v>2804.13</v>
      </c>
      <c r="E1661" s="2">
        <v>3178601805571</v>
      </c>
      <c r="F1661" s="2">
        <v>0</v>
      </c>
      <c r="G1661">
        <v>1383.13</v>
      </c>
      <c r="H1661">
        <v>1413.13</v>
      </c>
      <c r="I1661">
        <v>1383.06</v>
      </c>
      <c r="J1661">
        <v>4297390827</v>
      </c>
      <c r="K1661">
        <v>0</v>
      </c>
      <c r="L1661" s="2">
        <f>VLOOKUP(A1661,[1]aaabonddata!$A:$B,2,0)</f>
        <v>1.57</v>
      </c>
    </row>
    <row r="1662" spans="1:12" x14ac:dyDescent="0.2">
      <c r="A1662" s="3">
        <v>41178</v>
      </c>
      <c r="B1662" s="2">
        <v>2781.63</v>
      </c>
      <c r="C1662" s="2">
        <v>2802.28</v>
      </c>
      <c r="D1662" s="2">
        <v>2768.58</v>
      </c>
      <c r="E1662" s="2">
        <v>3152650561299</v>
      </c>
      <c r="F1662" s="2">
        <v>108712874</v>
      </c>
      <c r="G1662">
        <v>1373.33</v>
      </c>
      <c r="H1662">
        <v>1382.19</v>
      </c>
      <c r="I1662">
        <v>1360.43</v>
      </c>
      <c r="J1662">
        <v>4266940341</v>
      </c>
      <c r="K1662">
        <v>0</v>
      </c>
      <c r="L1662" s="2">
        <f>VLOOKUP(A1662,[1]aaabonddata!$A:$B,2,0)</f>
        <v>1.55</v>
      </c>
    </row>
    <row r="1663" spans="1:12" x14ac:dyDescent="0.2">
      <c r="A1663" s="3">
        <v>41179</v>
      </c>
      <c r="B1663" s="2">
        <v>2821.6</v>
      </c>
      <c r="C1663" s="2">
        <v>2827</v>
      </c>
      <c r="D1663" s="2">
        <v>2784.62</v>
      </c>
      <c r="E1663" s="2">
        <v>3197946548470</v>
      </c>
      <c r="F1663" s="2">
        <v>138768276</v>
      </c>
      <c r="G1663">
        <v>1395.49</v>
      </c>
      <c r="H1663">
        <v>1397.92</v>
      </c>
      <c r="I1663">
        <v>1374.79</v>
      </c>
      <c r="J1663">
        <v>4335806748</v>
      </c>
      <c r="K1663">
        <v>772947</v>
      </c>
      <c r="L1663" s="2">
        <f>VLOOKUP(A1663,[1]aaabonddata!$A:$B,2,0)</f>
        <v>1.55</v>
      </c>
    </row>
    <row r="1664" spans="1:12" x14ac:dyDescent="0.2">
      <c r="A1664" s="3">
        <v>41180</v>
      </c>
      <c r="B1664" s="2">
        <v>2799.19</v>
      </c>
      <c r="C1664" s="2">
        <v>2820.36</v>
      </c>
      <c r="D1664" s="2">
        <v>2795.54</v>
      </c>
      <c r="E1664" s="2">
        <v>3172555360225</v>
      </c>
      <c r="F1664" s="2">
        <v>0</v>
      </c>
      <c r="G1664">
        <v>1391.58</v>
      </c>
      <c r="H1664">
        <v>1402.44</v>
      </c>
      <c r="I1664">
        <v>1390.83</v>
      </c>
      <c r="J1664">
        <v>4323631432</v>
      </c>
      <c r="K1664">
        <v>0</v>
      </c>
      <c r="L1664" s="2">
        <f>VLOOKUP(A1664,[1]aaabonddata!$A:$B,2,0)</f>
        <v>1.53</v>
      </c>
    </row>
    <row r="1665" spans="1:12" x14ac:dyDescent="0.2">
      <c r="A1665" s="3">
        <v>41183</v>
      </c>
      <c r="B1665" s="2">
        <v>2794.28</v>
      </c>
      <c r="C1665" s="2">
        <v>2827.61</v>
      </c>
      <c r="D1665" s="2">
        <v>2784.54</v>
      </c>
      <c r="E1665" s="2">
        <v>3166982263316</v>
      </c>
      <c r="F1665" s="2">
        <v>343664603</v>
      </c>
      <c r="G1665">
        <v>1389.78</v>
      </c>
      <c r="H1665">
        <v>1405.7</v>
      </c>
      <c r="I1665">
        <v>1384.12</v>
      </c>
      <c r="J1665">
        <v>4318058006</v>
      </c>
      <c r="K1665">
        <v>0</v>
      </c>
      <c r="L1665" s="2">
        <f>VLOOKUP(A1665,[1]aaabonddata!$A:$B,2,0)</f>
        <v>1.57</v>
      </c>
    </row>
    <row r="1666" spans="1:12" x14ac:dyDescent="0.2">
      <c r="A1666" s="3">
        <v>41184</v>
      </c>
      <c r="B1666" s="2">
        <v>2799.29</v>
      </c>
      <c r="C1666" s="2">
        <v>2812.21</v>
      </c>
      <c r="D1666" s="2">
        <v>2779.01</v>
      </c>
      <c r="E1666" s="2">
        <v>3146529689527</v>
      </c>
      <c r="F1666" s="2">
        <v>749963052</v>
      </c>
      <c r="G1666">
        <v>1397.26</v>
      </c>
      <c r="H1666">
        <v>1400.69</v>
      </c>
      <c r="I1666">
        <v>1387.89</v>
      </c>
      <c r="J1666">
        <v>4341276450</v>
      </c>
      <c r="K1666">
        <v>740937</v>
      </c>
      <c r="L1666" s="2">
        <f>VLOOKUP(A1666,[1]aaabonddata!$A:$B,2,0)</f>
        <v>1.56</v>
      </c>
    </row>
    <row r="1667" spans="1:12" x14ac:dyDescent="0.2">
      <c r="A1667" s="3">
        <v>41185</v>
      </c>
      <c r="B1667" s="2">
        <v>2818.84</v>
      </c>
      <c r="C1667" s="2">
        <v>2822.56</v>
      </c>
      <c r="D1667" s="2">
        <v>2797.28</v>
      </c>
      <c r="E1667" s="2">
        <v>3168504576004</v>
      </c>
      <c r="F1667" s="2">
        <v>0</v>
      </c>
      <c r="G1667">
        <v>1394.61</v>
      </c>
      <c r="H1667">
        <v>1401.96</v>
      </c>
      <c r="I1667">
        <v>1390.32</v>
      </c>
      <c r="J1667">
        <v>4333063146</v>
      </c>
      <c r="K1667">
        <v>0</v>
      </c>
      <c r="L1667" s="2">
        <f>VLOOKUP(A1667,[1]aaabonddata!$A:$B,2,0)</f>
        <v>1.56</v>
      </c>
    </row>
    <row r="1668" spans="1:12" x14ac:dyDescent="0.2">
      <c r="A1668" s="3">
        <v>41186</v>
      </c>
      <c r="B1668" s="2">
        <v>2828.6</v>
      </c>
      <c r="C1668" s="2">
        <v>2835.33</v>
      </c>
      <c r="D1668" s="2">
        <v>2814.45</v>
      </c>
      <c r="E1668" s="2">
        <v>3179475952484</v>
      </c>
      <c r="F1668" s="2">
        <v>0</v>
      </c>
      <c r="G1668">
        <v>1401.17</v>
      </c>
      <c r="H1668">
        <v>1403.76</v>
      </c>
      <c r="I1668">
        <v>1385.52</v>
      </c>
      <c r="J1668">
        <v>4353433570</v>
      </c>
      <c r="K1668">
        <v>0</v>
      </c>
      <c r="L1668" s="2">
        <f>VLOOKUP(A1668,[1]aaabonddata!$A:$B,2,0)</f>
        <v>1.58</v>
      </c>
    </row>
    <row r="1669" spans="1:12" x14ac:dyDescent="0.2">
      <c r="A1669" s="3">
        <v>41187</v>
      </c>
      <c r="B1669" s="2">
        <v>2811.94</v>
      </c>
      <c r="C1669" s="2">
        <v>2845.97</v>
      </c>
      <c r="D1669" s="2">
        <v>2806.44</v>
      </c>
      <c r="E1669" s="2">
        <v>3160755199016</v>
      </c>
      <c r="F1669" s="2">
        <v>49923723</v>
      </c>
      <c r="G1669">
        <v>1395.36</v>
      </c>
      <c r="H1669">
        <v>1414.43</v>
      </c>
      <c r="I1669">
        <v>1392.95</v>
      </c>
      <c r="J1669">
        <v>4335385356</v>
      </c>
      <c r="K1669">
        <v>291146</v>
      </c>
      <c r="L1669" s="2">
        <f>VLOOKUP(A1669,[1]aaabonddata!$A:$B,2,0)</f>
        <v>1.62</v>
      </c>
    </row>
    <row r="1670" spans="1:12" x14ac:dyDescent="0.2">
      <c r="A1670" s="3">
        <v>41190</v>
      </c>
      <c r="B1670" s="2">
        <v>2786.92</v>
      </c>
      <c r="C1670" s="2">
        <v>2801.85</v>
      </c>
      <c r="D1670" s="2">
        <v>2781.38</v>
      </c>
      <c r="E1670" s="2">
        <v>3132631655740</v>
      </c>
      <c r="F1670" s="2">
        <v>0</v>
      </c>
      <c r="G1670">
        <v>1385.87</v>
      </c>
      <c r="H1670">
        <v>1396.77</v>
      </c>
      <c r="I1670">
        <v>1381.72</v>
      </c>
      <c r="J1670">
        <v>4305895268</v>
      </c>
      <c r="K1670">
        <v>0</v>
      </c>
      <c r="L1670" s="2">
        <f>VLOOKUP(A1670,[1]aaabonddata!$A:$B,2,0)</f>
        <v>1.61</v>
      </c>
    </row>
    <row r="1671" spans="1:12" x14ac:dyDescent="0.2">
      <c r="A1671" s="3">
        <v>41191</v>
      </c>
      <c r="B1671" s="2">
        <v>2741.92</v>
      </c>
      <c r="C1671" s="2">
        <v>2781.81</v>
      </c>
      <c r="D1671" s="2">
        <v>2736.98</v>
      </c>
      <c r="E1671" s="2">
        <v>3082044605996</v>
      </c>
      <c r="F1671" s="2">
        <v>0</v>
      </c>
      <c r="G1671">
        <v>1358.31</v>
      </c>
      <c r="H1671">
        <v>1382.32</v>
      </c>
      <c r="I1671">
        <v>1356.75</v>
      </c>
      <c r="J1671">
        <v>4220261287</v>
      </c>
      <c r="K1671">
        <v>0</v>
      </c>
      <c r="L1671" s="2">
        <f>VLOOKUP(A1671,[1]aaabonddata!$A:$B,2,0)</f>
        <v>1.6</v>
      </c>
    </row>
    <row r="1672" spans="1:12" x14ac:dyDescent="0.2">
      <c r="A1672" s="3">
        <v>41192</v>
      </c>
      <c r="B1672" s="2">
        <v>2728.54</v>
      </c>
      <c r="C1672" s="2">
        <v>2749.42</v>
      </c>
      <c r="D1672" s="2">
        <v>2724.38</v>
      </c>
      <c r="E1672" s="2">
        <v>3067009246295</v>
      </c>
      <c r="F1672" s="2">
        <v>292950360</v>
      </c>
      <c r="G1672">
        <v>1343.93</v>
      </c>
      <c r="H1672">
        <v>1357.99</v>
      </c>
      <c r="I1672">
        <v>1341.87</v>
      </c>
      <c r="J1672">
        <v>4175579869</v>
      </c>
      <c r="K1672">
        <v>184843</v>
      </c>
      <c r="L1672" s="2">
        <f>VLOOKUP(A1672,[1]aaabonddata!$A:$B,2,0)</f>
        <v>1.59</v>
      </c>
    </row>
    <row r="1673" spans="1:12" x14ac:dyDescent="0.2">
      <c r="A1673" s="3">
        <v>41193</v>
      </c>
      <c r="B1673" s="2">
        <v>2719.21</v>
      </c>
      <c r="C1673" s="2">
        <v>2750.81</v>
      </c>
      <c r="D1673" s="2">
        <v>2718.49</v>
      </c>
      <c r="E1673" s="2">
        <v>3056513810401</v>
      </c>
      <c r="F1673" s="2">
        <v>0</v>
      </c>
      <c r="G1673">
        <v>1347.04</v>
      </c>
      <c r="H1673">
        <v>1360.67</v>
      </c>
      <c r="I1673">
        <v>1345.01</v>
      </c>
      <c r="J1673">
        <v>4185266719</v>
      </c>
      <c r="K1673">
        <v>0</v>
      </c>
      <c r="L1673" s="2">
        <f>VLOOKUP(A1673,[1]aaabonddata!$A:$B,2,0)</f>
        <v>1.58</v>
      </c>
    </row>
    <row r="1674" spans="1:12" x14ac:dyDescent="0.2">
      <c r="A1674" s="3">
        <v>41194</v>
      </c>
      <c r="B1674" s="2">
        <v>2720.14</v>
      </c>
      <c r="C1674" s="2">
        <v>2734.4</v>
      </c>
      <c r="D1674" s="2">
        <v>2714.17</v>
      </c>
      <c r="E1674" s="2">
        <v>3057566613913</v>
      </c>
      <c r="F1674" s="2">
        <v>0</v>
      </c>
      <c r="G1674">
        <v>1343.23</v>
      </c>
      <c r="H1674">
        <v>1351.1</v>
      </c>
      <c r="I1674">
        <v>1338.71</v>
      </c>
      <c r="J1674">
        <v>4173432582</v>
      </c>
      <c r="K1674">
        <v>0</v>
      </c>
      <c r="L1674" s="2">
        <f>VLOOKUP(A1674,[1]aaabonddata!$A:$B,2,0)</f>
        <v>1.57</v>
      </c>
    </row>
    <row r="1675" spans="1:12" x14ac:dyDescent="0.2">
      <c r="A1675" s="3">
        <v>41197</v>
      </c>
      <c r="B1675" s="2">
        <v>2739.87</v>
      </c>
      <c r="C1675" s="2">
        <v>2742.7</v>
      </c>
      <c r="D1675" s="2">
        <v>2713.22</v>
      </c>
      <c r="E1675" s="2">
        <v>3079746164864</v>
      </c>
      <c r="F1675" s="2">
        <v>0</v>
      </c>
      <c r="G1675">
        <v>1353.63</v>
      </c>
      <c r="H1675">
        <v>1354.96</v>
      </c>
      <c r="I1675">
        <v>1341.39</v>
      </c>
      <c r="J1675">
        <v>4205733049</v>
      </c>
      <c r="K1675">
        <v>0</v>
      </c>
      <c r="L1675" s="2">
        <f>VLOOKUP(A1675,[1]aaabonddata!$A:$B,2,0)</f>
        <v>1.57</v>
      </c>
    </row>
    <row r="1676" spans="1:12" x14ac:dyDescent="0.2">
      <c r="A1676" s="3">
        <v>41198</v>
      </c>
      <c r="B1676" s="2">
        <v>2778.38</v>
      </c>
      <c r="C1676" s="2">
        <v>2781.01</v>
      </c>
      <c r="D1676" s="2">
        <v>2743.45</v>
      </c>
      <c r="E1676" s="2">
        <v>3123025393250</v>
      </c>
      <c r="F1676" s="2">
        <v>21181968</v>
      </c>
      <c r="G1676">
        <v>1375.84</v>
      </c>
      <c r="H1676">
        <v>1378</v>
      </c>
      <c r="I1676">
        <v>1355.86</v>
      </c>
      <c r="J1676">
        <v>4274735101</v>
      </c>
      <c r="K1676">
        <v>584360</v>
      </c>
      <c r="L1676" s="2">
        <f>VLOOKUP(A1676,[1]aaabonddata!$A:$B,2,0)</f>
        <v>1.59</v>
      </c>
    </row>
    <row r="1677" spans="1:12" x14ac:dyDescent="0.2">
      <c r="A1677" s="3">
        <v>41199</v>
      </c>
      <c r="B1677" s="2">
        <v>2775.62</v>
      </c>
      <c r="C1677" s="2">
        <v>2784.81</v>
      </c>
      <c r="D1677" s="2">
        <v>2760.3</v>
      </c>
      <c r="E1677" s="2">
        <v>3119929942904</v>
      </c>
      <c r="F1677" s="2">
        <v>0</v>
      </c>
      <c r="G1677">
        <v>1363.74</v>
      </c>
      <c r="H1677">
        <v>1370.96</v>
      </c>
      <c r="I1677">
        <v>1357.36</v>
      </c>
      <c r="J1677">
        <v>4237158575</v>
      </c>
      <c r="K1677">
        <v>0</v>
      </c>
      <c r="L1677" s="2">
        <f>VLOOKUP(A1677,[1]aaabonddata!$A:$B,2,0)</f>
        <v>1.63</v>
      </c>
    </row>
    <row r="1678" spans="1:12" x14ac:dyDescent="0.2">
      <c r="A1678" s="3">
        <v>41200</v>
      </c>
      <c r="B1678" s="2">
        <v>2744.17</v>
      </c>
      <c r="C1678" s="2">
        <v>2775.83</v>
      </c>
      <c r="D1678" s="2">
        <v>2734.6</v>
      </c>
      <c r="E1678" s="2">
        <v>3084573098353</v>
      </c>
      <c r="F1678" s="2">
        <v>0</v>
      </c>
      <c r="G1678">
        <v>1353.76</v>
      </c>
      <c r="H1678">
        <v>1365.94</v>
      </c>
      <c r="I1678">
        <v>1350.31</v>
      </c>
      <c r="J1678">
        <v>4206142667</v>
      </c>
      <c r="K1678">
        <v>0</v>
      </c>
      <c r="L1678" s="2">
        <f>VLOOKUP(A1678,[1]aaabonddata!$A:$B,2,0)</f>
        <v>1.63</v>
      </c>
    </row>
    <row r="1679" spans="1:12" x14ac:dyDescent="0.2">
      <c r="A1679" s="3">
        <v>41201</v>
      </c>
      <c r="B1679" s="2">
        <v>2678.32</v>
      </c>
      <c r="C1679" s="2">
        <v>2741.58</v>
      </c>
      <c r="D1679" s="2">
        <v>2675.57</v>
      </c>
      <c r="E1679" s="2">
        <v>3010550077102</v>
      </c>
      <c r="F1679" s="2">
        <v>0</v>
      </c>
      <c r="G1679">
        <v>1324.1</v>
      </c>
      <c r="H1679">
        <v>1353.21</v>
      </c>
      <c r="I1679">
        <v>1323</v>
      </c>
      <c r="J1679">
        <v>4113968407</v>
      </c>
      <c r="K1679">
        <v>0</v>
      </c>
      <c r="L1679" s="2">
        <f>VLOOKUP(A1679,[1]aaabonddata!$A:$B,2,0)</f>
        <v>1.61</v>
      </c>
    </row>
    <row r="1680" spans="1:12" x14ac:dyDescent="0.2">
      <c r="A1680" s="3">
        <v>41204</v>
      </c>
      <c r="B1680" s="2">
        <v>2694.56</v>
      </c>
      <c r="C1680" s="2">
        <v>2699.08</v>
      </c>
      <c r="D1680" s="2">
        <v>2671.5</v>
      </c>
      <c r="E1680" s="2">
        <v>3028806271445</v>
      </c>
      <c r="F1680" s="2">
        <v>0</v>
      </c>
      <c r="G1680">
        <v>1328.42</v>
      </c>
      <c r="H1680">
        <v>1332.55</v>
      </c>
      <c r="I1680">
        <v>1318.25</v>
      </c>
      <c r="J1680">
        <v>4127415341</v>
      </c>
      <c r="K1680">
        <v>0</v>
      </c>
      <c r="L1680" s="2">
        <f>VLOOKUP(A1680,[1]aaabonddata!$A:$B,2,0)</f>
        <v>1.62</v>
      </c>
    </row>
    <row r="1681" spans="1:12" x14ac:dyDescent="0.2">
      <c r="A1681" s="3">
        <v>41205</v>
      </c>
      <c r="B1681" s="2">
        <v>2666.02</v>
      </c>
      <c r="C1681" s="2">
        <v>2689.48</v>
      </c>
      <c r="D1681" s="2">
        <v>2658.77</v>
      </c>
      <c r="E1681" s="2">
        <v>2996729549433</v>
      </c>
      <c r="F1681" s="2">
        <v>0</v>
      </c>
      <c r="G1681">
        <v>1327.02</v>
      </c>
      <c r="H1681">
        <v>1332.82</v>
      </c>
      <c r="I1681">
        <v>1312.02</v>
      </c>
      <c r="J1681">
        <v>4123051216</v>
      </c>
      <c r="K1681">
        <v>0</v>
      </c>
      <c r="L1681" s="2">
        <f>VLOOKUP(A1681,[1]aaabonddata!$A:$B,2,0)</f>
        <v>1.6</v>
      </c>
    </row>
    <row r="1682" spans="1:12" x14ac:dyDescent="0.2">
      <c r="A1682" s="3">
        <v>41206</v>
      </c>
      <c r="B1682" s="2">
        <v>2655.55</v>
      </c>
      <c r="C1682" s="2">
        <v>2686.51</v>
      </c>
      <c r="D1682" s="2">
        <v>2653.43</v>
      </c>
      <c r="E1682" s="2">
        <v>2984965539272</v>
      </c>
      <c r="F1682" s="2">
        <v>0</v>
      </c>
      <c r="G1682">
        <v>1314.21</v>
      </c>
      <c r="H1682">
        <v>1335.05</v>
      </c>
      <c r="I1682">
        <v>1313.18</v>
      </c>
      <c r="J1682">
        <v>4083267759</v>
      </c>
      <c r="K1682">
        <v>0</v>
      </c>
      <c r="L1682" s="2">
        <f>VLOOKUP(A1682,[1]aaabonddata!$A:$B,2,0)</f>
        <v>1.6</v>
      </c>
    </row>
    <row r="1683" spans="1:12" x14ac:dyDescent="0.2">
      <c r="A1683" s="3">
        <v>41207</v>
      </c>
      <c r="B1683" s="2">
        <v>2657.66</v>
      </c>
      <c r="C1683" s="2">
        <v>2679.81</v>
      </c>
      <c r="D1683" s="2">
        <v>2649.19</v>
      </c>
      <c r="E1683" s="2">
        <v>2987329708726</v>
      </c>
      <c r="F1683" s="2">
        <v>62192329</v>
      </c>
      <c r="G1683">
        <v>1323.26</v>
      </c>
      <c r="H1683">
        <v>1329.09</v>
      </c>
      <c r="I1683">
        <v>1313.06</v>
      </c>
      <c r="J1683">
        <v>4111358517</v>
      </c>
      <c r="K1683">
        <v>0</v>
      </c>
      <c r="L1683" s="2">
        <f>VLOOKUP(A1683,[1]aaabonddata!$A:$B,2,0)</f>
        <v>1.63</v>
      </c>
    </row>
    <row r="1684" spans="1:12" x14ac:dyDescent="0.2">
      <c r="A1684" s="3">
        <v>41208</v>
      </c>
      <c r="B1684" s="2">
        <v>2665.83</v>
      </c>
      <c r="C1684" s="2">
        <v>2675.92</v>
      </c>
      <c r="D1684" s="2">
        <v>2636.83</v>
      </c>
      <c r="E1684" s="2">
        <v>2996519170763</v>
      </c>
      <c r="F1684" s="2">
        <v>0</v>
      </c>
      <c r="G1684">
        <v>1319.08</v>
      </c>
      <c r="H1684">
        <v>1328.83</v>
      </c>
      <c r="I1684">
        <v>1310.17</v>
      </c>
      <c r="J1684">
        <v>4098384288</v>
      </c>
      <c r="K1684">
        <v>0</v>
      </c>
      <c r="L1684" s="2">
        <f>VLOOKUP(A1684,[1]aaabonddata!$A:$B,2,0)</f>
        <v>1.59</v>
      </c>
    </row>
    <row r="1685" spans="1:12" x14ac:dyDescent="0.2">
      <c r="A1685" s="3">
        <v>41213</v>
      </c>
      <c r="B1685" s="2">
        <v>2647.92</v>
      </c>
      <c r="C1685" s="2">
        <v>2665.88</v>
      </c>
      <c r="D1685" s="2">
        <v>2639.63</v>
      </c>
      <c r="E1685" s="2">
        <v>2975898340455</v>
      </c>
      <c r="F1685" s="2">
        <v>119710396</v>
      </c>
      <c r="G1685">
        <v>1309.22</v>
      </c>
      <c r="H1685">
        <v>1323.28</v>
      </c>
      <c r="I1685">
        <v>1306.8599999999999</v>
      </c>
      <c r="J1685">
        <v>4067746049</v>
      </c>
      <c r="K1685">
        <v>0</v>
      </c>
      <c r="L1685" s="2">
        <f>VLOOKUP(A1685,[1]aaabonddata!$A:$B,2,0)</f>
        <v>1.55</v>
      </c>
    </row>
    <row r="1686" spans="1:12" x14ac:dyDescent="0.2">
      <c r="A1686" s="3">
        <v>41214</v>
      </c>
      <c r="B1686" s="2">
        <v>2687.52</v>
      </c>
      <c r="C1686" s="2">
        <v>2690.72</v>
      </c>
      <c r="D1686" s="2">
        <v>2657.11</v>
      </c>
      <c r="E1686" s="2">
        <v>3020399202513</v>
      </c>
      <c r="F1686" s="2">
        <v>0</v>
      </c>
      <c r="G1686">
        <v>1349.38</v>
      </c>
      <c r="H1686">
        <v>1350.29</v>
      </c>
      <c r="I1686">
        <v>1314.62</v>
      </c>
      <c r="J1686">
        <v>4192529051</v>
      </c>
      <c r="K1686">
        <v>0</v>
      </c>
      <c r="L1686" s="2">
        <f>VLOOKUP(A1686,[1]aaabonddata!$A:$B,2,0)</f>
        <v>1.56</v>
      </c>
    </row>
    <row r="1687" spans="1:12" x14ac:dyDescent="0.2">
      <c r="A1687" s="3">
        <v>41215</v>
      </c>
      <c r="B1687" s="2">
        <v>2656.28</v>
      </c>
      <c r="C1687" s="2">
        <v>2701.91</v>
      </c>
      <c r="D1687" s="2">
        <v>2654.97</v>
      </c>
      <c r="E1687" s="2">
        <v>2985289756014</v>
      </c>
      <c r="F1687" s="2">
        <v>0</v>
      </c>
      <c r="G1687">
        <v>1333.57</v>
      </c>
      <c r="H1687">
        <v>1355.02</v>
      </c>
      <c r="I1687">
        <v>1333.17</v>
      </c>
      <c r="J1687">
        <v>4143418860</v>
      </c>
      <c r="K1687">
        <v>0</v>
      </c>
      <c r="L1687" s="2">
        <f>VLOOKUP(A1687,[1]aaabonddata!$A:$B,2,0)</f>
        <v>1.56</v>
      </c>
    </row>
    <row r="1688" spans="1:12" x14ac:dyDescent="0.2">
      <c r="A1688" s="3">
        <v>41218</v>
      </c>
      <c r="B1688" s="2">
        <v>2672.91</v>
      </c>
      <c r="C1688" s="2">
        <v>2678.94</v>
      </c>
      <c r="D1688" s="2">
        <v>2651.37</v>
      </c>
      <c r="E1688" s="2">
        <v>3003224015253</v>
      </c>
      <c r="F1688" s="2">
        <v>1233613459</v>
      </c>
      <c r="G1688">
        <v>1347.73</v>
      </c>
      <c r="H1688">
        <v>1350.47</v>
      </c>
      <c r="I1688">
        <v>1328.79</v>
      </c>
      <c r="J1688">
        <v>4187404164</v>
      </c>
      <c r="K1688">
        <v>1601813</v>
      </c>
      <c r="L1688" s="2">
        <f>VLOOKUP(A1688,[1]aaabonddata!$A:$B,2,0)</f>
        <v>1.54</v>
      </c>
    </row>
    <row r="1689" spans="1:12" x14ac:dyDescent="0.2">
      <c r="A1689" s="3">
        <v>41219</v>
      </c>
      <c r="B1689" s="2">
        <v>2681.05</v>
      </c>
      <c r="C1689" s="2">
        <v>2696.46</v>
      </c>
      <c r="D1689" s="2">
        <v>2668.45</v>
      </c>
      <c r="E1689" s="2">
        <v>3012370767935</v>
      </c>
      <c r="F1689" s="2">
        <v>0</v>
      </c>
      <c r="G1689">
        <v>1365.51</v>
      </c>
      <c r="H1689">
        <v>1369.96</v>
      </c>
      <c r="I1689">
        <v>1350.82</v>
      </c>
      <c r="J1689">
        <v>4242658287</v>
      </c>
      <c r="K1689">
        <v>0</v>
      </c>
      <c r="L1689" s="2">
        <f>VLOOKUP(A1689,[1]aaabonddata!$A:$B,2,0)</f>
        <v>1.57</v>
      </c>
    </row>
    <row r="1690" spans="1:12" x14ac:dyDescent="0.2">
      <c r="A1690" s="3">
        <v>41220</v>
      </c>
      <c r="B1690" s="2">
        <v>2612.69</v>
      </c>
      <c r="C1690" s="2">
        <v>2651.26</v>
      </c>
      <c r="D1690" s="2">
        <v>2602.29</v>
      </c>
      <c r="E1690" s="2">
        <v>2935227751737</v>
      </c>
      <c r="F1690" s="2">
        <v>2484125900</v>
      </c>
      <c r="G1690">
        <v>1327.57</v>
      </c>
      <c r="H1690">
        <v>1353.02</v>
      </c>
      <c r="I1690">
        <v>1324.66</v>
      </c>
      <c r="J1690">
        <v>4124771588</v>
      </c>
      <c r="K1690">
        <v>378187</v>
      </c>
      <c r="L1690" s="2">
        <f>VLOOKUP(A1690,[1]aaabonddata!$A:$B,2,0)</f>
        <v>1.52</v>
      </c>
    </row>
    <row r="1691" spans="1:12" x14ac:dyDescent="0.2">
      <c r="A1691" s="3">
        <v>41221</v>
      </c>
      <c r="B1691" s="2">
        <v>2572.5700000000002</v>
      </c>
      <c r="C1691" s="2">
        <v>2626.42</v>
      </c>
      <c r="D1691" s="2">
        <v>2572.4299999999998</v>
      </c>
      <c r="E1691" s="2">
        <v>2890155807466</v>
      </c>
      <c r="F1691" s="2">
        <v>31991978</v>
      </c>
      <c r="G1691">
        <v>1313.35</v>
      </c>
      <c r="H1691">
        <v>1335.83</v>
      </c>
      <c r="I1691">
        <v>1313.31</v>
      </c>
      <c r="J1691">
        <v>4080583292</v>
      </c>
      <c r="K1691">
        <v>272183</v>
      </c>
      <c r="L1691" s="2">
        <f>VLOOKUP(A1691,[1]aaabonddata!$A:$B,2,0)</f>
        <v>1.51</v>
      </c>
    </row>
    <row r="1692" spans="1:12" x14ac:dyDescent="0.2">
      <c r="A1692" s="3">
        <v>41222</v>
      </c>
      <c r="B1692" s="2">
        <v>2584.1</v>
      </c>
      <c r="C1692" s="2">
        <v>2610.17</v>
      </c>
      <c r="D1692" s="2">
        <v>2571.86</v>
      </c>
      <c r="E1692" s="2">
        <v>2903110696200</v>
      </c>
      <c r="F1692" s="2">
        <v>128550854</v>
      </c>
      <c r="G1692">
        <v>1315.03</v>
      </c>
      <c r="H1692">
        <v>1330.6</v>
      </c>
      <c r="I1692">
        <v>1310.3</v>
      </c>
      <c r="J1692">
        <v>4085790429</v>
      </c>
      <c r="K1692">
        <v>1034929</v>
      </c>
      <c r="L1692" s="2">
        <f>VLOOKUP(A1692,[1]aaabonddata!$A:$B,2,0)</f>
        <v>1.51</v>
      </c>
    </row>
    <row r="1693" spans="1:12" x14ac:dyDescent="0.2">
      <c r="A1693" s="3">
        <v>41225</v>
      </c>
      <c r="B1693" s="2">
        <v>2582.77</v>
      </c>
      <c r="C1693" s="2">
        <v>2600.65</v>
      </c>
      <c r="D1693" s="2">
        <v>2575.61</v>
      </c>
      <c r="E1693" s="2">
        <v>2901623922307</v>
      </c>
      <c r="F1693" s="2">
        <v>0</v>
      </c>
      <c r="G1693">
        <v>1312.97</v>
      </c>
      <c r="H1693">
        <v>1319.11</v>
      </c>
      <c r="I1693">
        <v>1305.7</v>
      </c>
      <c r="J1693">
        <v>4079397555</v>
      </c>
      <c r="K1693">
        <v>0</v>
      </c>
      <c r="L1693" s="2">
        <f>VLOOKUP(A1693,[1]aaabonddata!$A:$B,2,0)</f>
        <v>1.51</v>
      </c>
    </row>
    <row r="1694" spans="1:12" x14ac:dyDescent="0.2">
      <c r="A1694" s="3">
        <v>41226</v>
      </c>
      <c r="B1694" s="2">
        <v>2561.86</v>
      </c>
      <c r="C1694" s="2">
        <v>2586.59</v>
      </c>
      <c r="D1694" s="2">
        <v>2554.52</v>
      </c>
      <c r="E1694" s="2">
        <v>2878126495013</v>
      </c>
      <c r="F1694" s="2">
        <v>2365258009</v>
      </c>
      <c r="G1694">
        <v>1299.5999999999999</v>
      </c>
      <c r="H1694">
        <v>1314.14</v>
      </c>
      <c r="I1694">
        <v>1299.21</v>
      </c>
      <c r="J1694">
        <v>4037858010</v>
      </c>
      <c r="K1694">
        <v>736471</v>
      </c>
      <c r="L1694" s="2">
        <f>VLOOKUP(A1694,[1]aaabonddata!$A:$B,2,0)</f>
        <v>1.5</v>
      </c>
    </row>
    <row r="1695" spans="1:12" x14ac:dyDescent="0.2">
      <c r="A1695" s="3">
        <v>41227</v>
      </c>
      <c r="B1695" s="2">
        <v>2531.87</v>
      </c>
      <c r="C1695" s="2">
        <v>2577.5700000000002</v>
      </c>
      <c r="D1695" s="2">
        <v>2528.36</v>
      </c>
      <c r="E1695" s="2">
        <v>2848222928641</v>
      </c>
      <c r="F1695" s="2">
        <v>263145593</v>
      </c>
      <c r="G1695">
        <v>1287.33</v>
      </c>
      <c r="H1695">
        <v>1312.87</v>
      </c>
      <c r="I1695">
        <v>1285.0999999999999</v>
      </c>
      <c r="J1695">
        <v>3999725620</v>
      </c>
      <c r="K1695">
        <v>759648</v>
      </c>
      <c r="L1695" s="2">
        <f>VLOOKUP(A1695,[1]aaabonddata!$A:$B,2,0)</f>
        <v>1.5</v>
      </c>
    </row>
    <row r="1696" spans="1:12" x14ac:dyDescent="0.2">
      <c r="A1696" s="3">
        <v>41228</v>
      </c>
      <c r="B1696" s="2">
        <v>2524.36</v>
      </c>
      <c r="C1696" s="2">
        <v>2542.17</v>
      </c>
      <c r="D1696" s="2">
        <v>2514.86</v>
      </c>
      <c r="E1696" s="2">
        <v>2839770216987</v>
      </c>
      <c r="F1696" s="2">
        <v>66606526</v>
      </c>
      <c r="G1696">
        <v>1288.82</v>
      </c>
      <c r="H1696">
        <v>1297.54</v>
      </c>
      <c r="I1696">
        <v>1283.1300000000001</v>
      </c>
      <c r="J1696">
        <v>4004370413</v>
      </c>
      <c r="K1696">
        <v>839278</v>
      </c>
      <c r="L1696" s="2">
        <f>VLOOKUP(A1696,[1]aaabonddata!$A:$B,2,0)</f>
        <v>1.52</v>
      </c>
    </row>
    <row r="1697" spans="1:12" x14ac:dyDescent="0.2">
      <c r="A1697" s="3">
        <v>41229</v>
      </c>
      <c r="B1697" s="2">
        <v>2534.16</v>
      </c>
      <c r="C1697" s="2">
        <v>2541.34</v>
      </c>
      <c r="D1697" s="2">
        <v>2494.38</v>
      </c>
      <c r="E1697" s="2">
        <v>2850794429237</v>
      </c>
      <c r="F1697" s="2">
        <v>117260147</v>
      </c>
      <c r="G1697">
        <v>1288.76</v>
      </c>
      <c r="H1697">
        <v>1293.27</v>
      </c>
      <c r="I1697">
        <v>1268.4000000000001</v>
      </c>
      <c r="J1697">
        <v>4004175033</v>
      </c>
      <c r="K1697">
        <v>933184</v>
      </c>
      <c r="L1697" s="2">
        <f>VLOOKUP(A1697,[1]aaabonddata!$A:$B,2,0)</f>
        <v>1.51</v>
      </c>
    </row>
    <row r="1698" spans="1:12" x14ac:dyDescent="0.2">
      <c r="A1698" s="3">
        <v>41232</v>
      </c>
      <c r="B1698" s="2">
        <v>2595.83</v>
      </c>
      <c r="C1698" s="2">
        <v>2596.75</v>
      </c>
      <c r="D1698" s="2">
        <v>2562.52</v>
      </c>
      <c r="E1698" s="2">
        <v>2920172950536</v>
      </c>
      <c r="F1698" s="2">
        <v>249592506</v>
      </c>
      <c r="G1698">
        <v>1310.74</v>
      </c>
      <c r="H1698">
        <v>1311.29</v>
      </c>
      <c r="I1698">
        <v>1297.0999999999999</v>
      </c>
      <c r="J1698">
        <v>4072461964</v>
      </c>
      <c r="K1698">
        <v>2706783</v>
      </c>
      <c r="L1698" s="2">
        <f>VLOOKUP(A1698,[1]aaabonddata!$A:$B,2,0)</f>
        <v>1.53</v>
      </c>
    </row>
    <row r="1699" spans="1:12" x14ac:dyDescent="0.2">
      <c r="A1699" s="3">
        <v>41233</v>
      </c>
      <c r="B1699" s="2">
        <v>2594.66</v>
      </c>
      <c r="C1699" s="2">
        <v>2598.4699999999998</v>
      </c>
      <c r="D1699" s="2">
        <v>2570.66</v>
      </c>
      <c r="E1699" s="2">
        <v>2918863196150</v>
      </c>
      <c r="F1699" s="2">
        <v>590562100</v>
      </c>
      <c r="G1699">
        <v>1304.1199999999999</v>
      </c>
      <c r="H1699">
        <v>1308.72</v>
      </c>
      <c r="I1699">
        <v>1294.1600000000001</v>
      </c>
      <c r="J1699">
        <v>4051913597</v>
      </c>
      <c r="K1699">
        <v>824433</v>
      </c>
      <c r="L1699" s="2">
        <f>VLOOKUP(A1699,[1]aaabonddata!$A:$B,2,0)</f>
        <v>1.55</v>
      </c>
    </row>
    <row r="1700" spans="1:12" x14ac:dyDescent="0.2">
      <c r="A1700" s="3">
        <v>41234</v>
      </c>
      <c r="B1700" s="2">
        <v>2600.48</v>
      </c>
      <c r="C1700" s="2">
        <v>2604.5100000000002</v>
      </c>
      <c r="D1700" s="2">
        <v>2587.86</v>
      </c>
      <c r="E1700" s="2">
        <v>2925402712298</v>
      </c>
      <c r="F1700" s="2">
        <v>0</v>
      </c>
      <c r="G1700">
        <v>1312.51</v>
      </c>
      <c r="H1700">
        <v>1314.76</v>
      </c>
      <c r="I1700">
        <v>1303.53</v>
      </c>
      <c r="J1700">
        <v>4077988150</v>
      </c>
      <c r="K1700">
        <v>0</v>
      </c>
      <c r="L1700" s="2">
        <f>VLOOKUP(A1700,[1]aaabonddata!$A:$B,2,0)</f>
        <v>1.57</v>
      </c>
    </row>
    <row r="1701" spans="1:12" x14ac:dyDescent="0.2">
      <c r="A1701" s="3">
        <v>41236</v>
      </c>
      <c r="B1701" s="2">
        <v>2639.59</v>
      </c>
      <c r="C1701" s="2">
        <v>2640.39</v>
      </c>
      <c r="D1701" s="2">
        <v>2614.2399999999998</v>
      </c>
      <c r="E1701" s="2">
        <v>2969402958139</v>
      </c>
      <c r="F1701" s="2">
        <v>0</v>
      </c>
      <c r="G1701">
        <v>1340.27</v>
      </c>
      <c r="H1701">
        <v>1341.62</v>
      </c>
      <c r="I1701">
        <v>1326.02</v>
      </c>
      <c r="J1701">
        <v>4164232713</v>
      </c>
      <c r="K1701">
        <v>0</v>
      </c>
      <c r="L1701" s="2">
        <f>VLOOKUP(A1701,[1]aaabonddata!$A:$B,2,0)</f>
        <v>1.58</v>
      </c>
    </row>
    <row r="1702" spans="1:12" x14ac:dyDescent="0.2">
      <c r="A1702" s="3">
        <v>41239</v>
      </c>
      <c r="B1702" s="2">
        <v>2651.67</v>
      </c>
      <c r="C1702" s="2">
        <v>2652.07</v>
      </c>
      <c r="D1702" s="2">
        <v>2626.06</v>
      </c>
      <c r="E1702" s="2">
        <v>2982990784749</v>
      </c>
      <c r="F1702" s="2">
        <v>105688026</v>
      </c>
      <c r="G1702">
        <v>1346.5</v>
      </c>
      <c r="H1702">
        <v>1346.7</v>
      </c>
      <c r="I1702">
        <v>1335.09</v>
      </c>
      <c r="J1702">
        <v>4183585359</v>
      </c>
      <c r="K1702">
        <v>0</v>
      </c>
      <c r="L1702" s="2">
        <f>VLOOKUP(A1702,[1]aaabonddata!$A:$B,2,0)</f>
        <v>1.56</v>
      </c>
    </row>
    <row r="1703" spans="1:12" x14ac:dyDescent="0.2">
      <c r="A1703" s="3">
        <v>41240</v>
      </c>
      <c r="B1703" s="2">
        <v>2641.42</v>
      </c>
      <c r="C1703" s="2">
        <v>2659.35</v>
      </c>
      <c r="D1703" s="2">
        <v>2637.6</v>
      </c>
      <c r="E1703" s="2">
        <v>2971464499506</v>
      </c>
      <c r="F1703" s="2">
        <v>758378486</v>
      </c>
      <c r="G1703">
        <v>1332.42</v>
      </c>
      <c r="H1703">
        <v>1347.5</v>
      </c>
      <c r="I1703">
        <v>1331.56</v>
      </c>
      <c r="J1703">
        <v>4139825524</v>
      </c>
      <c r="K1703">
        <v>740937</v>
      </c>
      <c r="L1703" s="2">
        <f>VLOOKUP(A1703,[1]aaabonddata!$A:$B,2,0)</f>
        <v>1.55</v>
      </c>
    </row>
    <row r="1704" spans="1:12" x14ac:dyDescent="0.2">
      <c r="A1704" s="3">
        <v>41241</v>
      </c>
      <c r="B1704" s="2">
        <v>2665.27</v>
      </c>
      <c r="C1704" s="2">
        <v>2666.31</v>
      </c>
      <c r="D1704" s="2">
        <v>2613.2199999999998</v>
      </c>
      <c r="E1704" s="2">
        <v>2998291936250</v>
      </c>
      <c r="F1704" s="2">
        <v>86772711</v>
      </c>
      <c r="G1704">
        <v>1348.48</v>
      </c>
      <c r="H1704">
        <v>1348.84</v>
      </c>
      <c r="I1704">
        <v>1316.26</v>
      </c>
      <c r="J1704">
        <v>4189726819</v>
      </c>
      <c r="K1704">
        <v>0</v>
      </c>
      <c r="L1704" s="2">
        <f>VLOOKUP(A1704,[1]aaabonddata!$A:$B,2,0)</f>
        <v>1.53</v>
      </c>
    </row>
    <row r="1705" spans="1:12" x14ac:dyDescent="0.2">
      <c r="A1705" s="3">
        <v>41242</v>
      </c>
      <c r="B1705" s="2">
        <v>2680.03</v>
      </c>
      <c r="C1705" s="2">
        <v>2688.95</v>
      </c>
      <c r="D1705" s="2">
        <v>2667.31</v>
      </c>
      <c r="E1705" s="2">
        <v>3014900120056</v>
      </c>
      <c r="F1705" s="2">
        <v>58951908</v>
      </c>
      <c r="G1705">
        <v>1356.73</v>
      </c>
      <c r="H1705">
        <v>1365.08</v>
      </c>
      <c r="I1705">
        <v>1351.42</v>
      </c>
      <c r="J1705">
        <v>4215376616</v>
      </c>
      <c r="K1705">
        <v>0</v>
      </c>
      <c r="L1705" s="2">
        <f>VLOOKUP(A1705,[1]aaabonddata!$A:$B,2,0)</f>
        <v>1.53</v>
      </c>
    </row>
    <row r="1706" spans="1:12" x14ac:dyDescent="0.2">
      <c r="A1706" s="3">
        <v>41243</v>
      </c>
      <c r="B1706" s="2">
        <v>2677.88</v>
      </c>
      <c r="C1706" s="2">
        <v>2682.36</v>
      </c>
      <c r="D1706" s="2">
        <v>2668.17</v>
      </c>
      <c r="E1706" s="2">
        <v>3012475751646</v>
      </c>
      <c r="F1706" s="2">
        <v>0</v>
      </c>
      <c r="G1706">
        <v>1352.64</v>
      </c>
      <c r="H1706">
        <v>1355.79</v>
      </c>
      <c r="I1706">
        <v>1347.64</v>
      </c>
      <c r="J1706">
        <v>4202665458</v>
      </c>
      <c r="K1706">
        <v>0</v>
      </c>
      <c r="L1706" s="2">
        <f>VLOOKUP(A1706,[1]aaabonddata!$A:$B,2,0)</f>
        <v>1.53</v>
      </c>
    </row>
    <row r="1707" spans="1:12" x14ac:dyDescent="0.2">
      <c r="A1707" s="3">
        <v>41246</v>
      </c>
      <c r="B1707" s="2">
        <v>2671.84</v>
      </c>
      <c r="C1707" s="2">
        <v>2699.04</v>
      </c>
      <c r="D1707" s="2">
        <v>2669.83</v>
      </c>
      <c r="E1707" s="2">
        <v>3005678433136</v>
      </c>
      <c r="F1707" s="2">
        <v>31580924</v>
      </c>
      <c r="G1707">
        <v>1349.78</v>
      </c>
      <c r="H1707">
        <v>1362.85</v>
      </c>
      <c r="I1707">
        <v>1348.12</v>
      </c>
      <c r="J1707">
        <v>4193764374</v>
      </c>
      <c r="K1707">
        <v>0</v>
      </c>
      <c r="L1707" s="2">
        <f>VLOOKUP(A1707,[1]aaabonddata!$A:$B,2,0)</f>
        <v>1.53</v>
      </c>
    </row>
    <row r="1708" spans="1:12" x14ac:dyDescent="0.2">
      <c r="A1708" s="3">
        <v>41247</v>
      </c>
      <c r="B1708" s="2">
        <v>2667.89</v>
      </c>
      <c r="C1708" s="2">
        <v>2674.03</v>
      </c>
      <c r="D1708" s="2">
        <v>2651.46</v>
      </c>
      <c r="E1708" s="2">
        <v>3001236239778</v>
      </c>
      <c r="F1708" s="2">
        <v>0</v>
      </c>
      <c r="G1708">
        <v>1356.54</v>
      </c>
      <c r="H1708">
        <v>1358.84</v>
      </c>
      <c r="I1708">
        <v>1345.96</v>
      </c>
      <c r="J1708">
        <v>4214780941</v>
      </c>
      <c r="K1708">
        <v>0</v>
      </c>
      <c r="L1708" s="2">
        <f>VLOOKUP(A1708,[1]aaabonddata!$A:$B,2,0)</f>
        <v>1.53</v>
      </c>
    </row>
    <row r="1709" spans="1:12" x14ac:dyDescent="0.2">
      <c r="A1709" s="3">
        <v>41248</v>
      </c>
      <c r="B1709" s="2">
        <v>2637.89</v>
      </c>
      <c r="C1709" s="2">
        <v>2663.44</v>
      </c>
      <c r="D1709" s="2">
        <v>2624.51</v>
      </c>
      <c r="E1709" s="2">
        <v>2967344013666</v>
      </c>
      <c r="F1709" s="2">
        <v>425837260</v>
      </c>
      <c r="G1709">
        <v>1357.68</v>
      </c>
      <c r="H1709">
        <v>1362.99</v>
      </c>
      <c r="I1709">
        <v>1344.13</v>
      </c>
      <c r="J1709">
        <v>4218323675</v>
      </c>
      <c r="K1709">
        <v>388621</v>
      </c>
      <c r="L1709" s="2">
        <f>VLOOKUP(A1709,[1]aaabonddata!$A:$B,2,0)</f>
        <v>1.52</v>
      </c>
    </row>
    <row r="1710" spans="1:12" x14ac:dyDescent="0.2">
      <c r="A1710" s="3">
        <v>41249</v>
      </c>
      <c r="B1710" s="2">
        <v>2656.3</v>
      </c>
      <c r="C1710" s="2">
        <v>2663.01</v>
      </c>
      <c r="D1710" s="2">
        <v>2623.62</v>
      </c>
      <c r="E1710" s="2">
        <v>2984634401052</v>
      </c>
      <c r="F1710" s="2">
        <v>0</v>
      </c>
      <c r="G1710">
        <v>1373.63</v>
      </c>
      <c r="H1710">
        <v>1374.17</v>
      </c>
      <c r="I1710">
        <v>1359.58</v>
      </c>
      <c r="J1710">
        <v>4267859145</v>
      </c>
      <c r="K1710">
        <v>0</v>
      </c>
      <c r="L1710" s="2">
        <f>VLOOKUP(A1710,[1]aaabonddata!$A:$B,2,0)</f>
        <v>1.51</v>
      </c>
    </row>
    <row r="1711" spans="1:12" x14ac:dyDescent="0.2">
      <c r="A1711" s="3">
        <v>41250</v>
      </c>
      <c r="B1711" s="2">
        <v>2640.54</v>
      </c>
      <c r="C1711" s="2">
        <v>2671.57</v>
      </c>
      <c r="D1711" s="2">
        <v>2631.47</v>
      </c>
      <c r="E1711" s="2">
        <v>2966924699995</v>
      </c>
      <c r="F1711" s="2">
        <v>10749197</v>
      </c>
      <c r="G1711">
        <v>1376.23</v>
      </c>
      <c r="H1711">
        <v>1378</v>
      </c>
      <c r="I1711">
        <v>1368.11</v>
      </c>
      <c r="J1711">
        <v>4275959415</v>
      </c>
      <c r="K1711">
        <v>0</v>
      </c>
      <c r="L1711" s="2">
        <f>VLOOKUP(A1711,[1]aaabonddata!$A:$B,2,0)</f>
        <v>1.53</v>
      </c>
    </row>
    <row r="1712" spans="1:12" x14ac:dyDescent="0.2">
      <c r="A1712" s="3">
        <v>41253</v>
      </c>
      <c r="B1712" s="2">
        <v>2647.57</v>
      </c>
      <c r="C1712" s="2">
        <v>2661.35</v>
      </c>
      <c r="D1712" s="2">
        <v>2632.25</v>
      </c>
      <c r="E1712" s="2">
        <v>2974825985482</v>
      </c>
      <c r="F1712" s="2">
        <v>0</v>
      </c>
      <c r="G1712">
        <v>1386.35</v>
      </c>
      <c r="H1712">
        <v>1388.55</v>
      </c>
      <c r="I1712">
        <v>1373.3</v>
      </c>
      <c r="J1712">
        <v>4307395601</v>
      </c>
      <c r="K1712">
        <v>0</v>
      </c>
      <c r="L1712" s="2">
        <f>VLOOKUP(A1712,[1]aaabonddata!$A:$B,2,0)</f>
        <v>1.52</v>
      </c>
    </row>
    <row r="1713" spans="1:12" x14ac:dyDescent="0.2">
      <c r="A1713" s="3">
        <v>41254</v>
      </c>
      <c r="B1713" s="2">
        <v>2682.07</v>
      </c>
      <c r="C1713" s="2">
        <v>2696.9</v>
      </c>
      <c r="D1713" s="2">
        <v>2664.1</v>
      </c>
      <c r="E1713" s="2">
        <v>3013587215146</v>
      </c>
      <c r="F1713" s="2">
        <v>33804000</v>
      </c>
      <c r="G1713">
        <v>1406.12</v>
      </c>
      <c r="H1713">
        <v>1409.51</v>
      </c>
      <c r="I1713">
        <v>1391.86</v>
      </c>
      <c r="J1713">
        <v>4368807273</v>
      </c>
      <c r="K1713">
        <v>611621</v>
      </c>
      <c r="L1713" s="2">
        <f>VLOOKUP(A1713,[1]aaabonddata!$A:$B,2,0)</f>
        <v>1.54</v>
      </c>
    </row>
    <row r="1714" spans="1:12" x14ac:dyDescent="0.2">
      <c r="A1714" s="3">
        <v>41255</v>
      </c>
      <c r="B1714" s="2">
        <v>2674.57</v>
      </c>
      <c r="C1714" s="2">
        <v>2694.43</v>
      </c>
      <c r="D1714" s="2">
        <v>2668.51</v>
      </c>
      <c r="E1714" s="2">
        <v>3032684129463</v>
      </c>
      <c r="F1714" s="2">
        <v>1532464709</v>
      </c>
      <c r="G1714">
        <v>1401.15</v>
      </c>
      <c r="H1714">
        <v>1411.87</v>
      </c>
      <c r="I1714">
        <v>1398.36</v>
      </c>
      <c r="J1714">
        <v>4353376461</v>
      </c>
      <c r="K1714">
        <v>2856468</v>
      </c>
      <c r="L1714" s="2">
        <f>VLOOKUP(A1714,[1]aaabonddata!$A:$B,2,0)</f>
        <v>1.55</v>
      </c>
    </row>
    <row r="1715" spans="1:12" x14ac:dyDescent="0.2">
      <c r="A1715" s="3">
        <v>41256</v>
      </c>
      <c r="B1715" s="2">
        <v>2654.01</v>
      </c>
      <c r="C1715" s="2">
        <v>2688.44</v>
      </c>
      <c r="D1715" s="2">
        <v>2643.14</v>
      </c>
      <c r="E1715" s="2">
        <v>3009316038846</v>
      </c>
      <c r="F1715" s="2">
        <v>157960283</v>
      </c>
      <c r="G1715">
        <v>1393.57</v>
      </c>
      <c r="H1715">
        <v>1413.61</v>
      </c>
      <c r="I1715">
        <v>1387.36</v>
      </c>
      <c r="J1715">
        <v>4329833314</v>
      </c>
      <c r="K1715">
        <v>1267159</v>
      </c>
      <c r="L1715" s="2">
        <f>VLOOKUP(A1715,[1]aaabonddata!$A:$B,2,0)</f>
        <v>1.57</v>
      </c>
    </row>
    <row r="1716" spans="1:12" x14ac:dyDescent="0.2">
      <c r="A1716" s="3">
        <v>41257</v>
      </c>
      <c r="B1716" s="2">
        <v>2628.09</v>
      </c>
      <c r="C1716" s="2">
        <v>2643.97</v>
      </c>
      <c r="D1716" s="2">
        <v>2620.08</v>
      </c>
      <c r="E1716" s="2">
        <v>2979665013372</v>
      </c>
      <c r="F1716" s="2">
        <v>0</v>
      </c>
      <c r="G1716">
        <v>1390.73</v>
      </c>
      <c r="H1716">
        <v>1398.44</v>
      </c>
      <c r="I1716">
        <v>1386.01</v>
      </c>
      <c r="J1716">
        <v>4320995674</v>
      </c>
      <c r="K1716">
        <v>0</v>
      </c>
      <c r="L1716" s="2">
        <f>VLOOKUP(A1716,[1]aaabonddata!$A:$B,2,0)</f>
        <v>1.58</v>
      </c>
    </row>
    <row r="1717" spans="1:12" x14ac:dyDescent="0.2">
      <c r="A1717" s="3">
        <v>41260</v>
      </c>
      <c r="B1717" s="2">
        <v>2664.26</v>
      </c>
      <c r="C1717" s="2">
        <v>2664.72</v>
      </c>
      <c r="D1717" s="2">
        <v>2627.37</v>
      </c>
      <c r="E1717" s="2">
        <v>3020672507998</v>
      </c>
      <c r="F1717" s="2">
        <v>0</v>
      </c>
      <c r="G1717">
        <v>1399.66</v>
      </c>
      <c r="H1717">
        <v>1400.72</v>
      </c>
      <c r="I1717">
        <v>1387.66</v>
      </c>
      <c r="J1717">
        <v>4348748200</v>
      </c>
      <c r="K1717">
        <v>0</v>
      </c>
      <c r="L1717" s="2">
        <f>VLOOKUP(A1717,[1]aaabonddata!$A:$B,2,0)</f>
        <v>1.58</v>
      </c>
    </row>
    <row r="1718" spans="1:12" x14ac:dyDescent="0.2">
      <c r="A1718" s="3">
        <v>41261</v>
      </c>
      <c r="B1718" s="2">
        <v>2705.39</v>
      </c>
      <c r="C1718" s="2">
        <v>2708.48</v>
      </c>
      <c r="D1718" s="2">
        <v>2669.83</v>
      </c>
      <c r="E1718" s="2">
        <v>3067300174783</v>
      </c>
      <c r="F1718" s="2">
        <v>239420793</v>
      </c>
      <c r="G1718">
        <v>1424.37</v>
      </c>
      <c r="H1718">
        <v>1425.47</v>
      </c>
      <c r="I1718">
        <v>1402.35</v>
      </c>
      <c r="J1718">
        <v>4425530526</v>
      </c>
      <c r="K1718">
        <v>0</v>
      </c>
      <c r="L1718" s="2">
        <f>VLOOKUP(A1718,[1]aaabonddata!$A:$B,2,0)</f>
        <v>1.63</v>
      </c>
    </row>
    <row r="1719" spans="1:12" x14ac:dyDescent="0.2">
      <c r="A1719" s="3">
        <v>41262</v>
      </c>
      <c r="B1719" s="2">
        <v>2690.99</v>
      </c>
      <c r="C1719" s="2">
        <v>2713.39</v>
      </c>
      <c r="D1719" s="2">
        <v>2690.99</v>
      </c>
      <c r="E1719" s="2">
        <v>3050978653383</v>
      </c>
      <c r="F1719" s="2">
        <v>0</v>
      </c>
      <c r="G1719">
        <v>1426.5</v>
      </c>
      <c r="H1719">
        <v>1438.8</v>
      </c>
      <c r="I1719">
        <v>1426.5</v>
      </c>
      <c r="J1719">
        <v>4432153563</v>
      </c>
      <c r="K1719">
        <v>0</v>
      </c>
      <c r="L1719" s="2">
        <f>VLOOKUP(A1719,[1]aaabonddata!$A:$B,2,0)</f>
        <v>1.61</v>
      </c>
    </row>
    <row r="1720" spans="1:12" x14ac:dyDescent="0.2">
      <c r="A1720" s="3">
        <v>41263</v>
      </c>
      <c r="B1720" s="2">
        <v>2693.55</v>
      </c>
      <c r="C1720" s="2">
        <v>2698.71</v>
      </c>
      <c r="D1720" s="2">
        <v>2679.55</v>
      </c>
      <c r="E1720" s="2">
        <v>3053882505465</v>
      </c>
      <c r="F1720" s="2">
        <v>0</v>
      </c>
      <c r="G1720">
        <v>1429.37</v>
      </c>
      <c r="H1720">
        <v>1429.91</v>
      </c>
      <c r="I1720">
        <v>1416.62</v>
      </c>
      <c r="J1720">
        <v>4441066159</v>
      </c>
      <c r="K1720">
        <v>0</v>
      </c>
      <c r="L1720" s="2">
        <f>VLOOKUP(A1720,[1]aaabonddata!$A:$B,2,0)</f>
        <v>1.61</v>
      </c>
    </row>
    <row r="1721" spans="1:12" x14ac:dyDescent="0.2">
      <c r="A1721" s="3">
        <v>41264</v>
      </c>
      <c r="B1721" s="2">
        <v>2664.67</v>
      </c>
      <c r="C1721" s="2">
        <v>2667.7</v>
      </c>
      <c r="D1721" s="2">
        <v>2639.65</v>
      </c>
      <c r="E1721" s="2">
        <v>3021141433265</v>
      </c>
      <c r="F1721" s="2">
        <v>0</v>
      </c>
      <c r="G1721">
        <v>1399.06</v>
      </c>
      <c r="H1721">
        <v>1405.56</v>
      </c>
      <c r="I1721">
        <v>1386.41</v>
      </c>
      <c r="J1721">
        <v>4346882346</v>
      </c>
      <c r="K1721">
        <v>0</v>
      </c>
      <c r="L1721" s="2">
        <f>VLOOKUP(A1721,[1]aaabonddata!$A:$B,2,0)</f>
        <v>1.59</v>
      </c>
    </row>
    <row r="1722" spans="1:12" x14ac:dyDescent="0.2">
      <c r="A1722" s="3">
        <v>41267</v>
      </c>
      <c r="B1722" s="2">
        <v>2658.05</v>
      </c>
      <c r="C1722" s="2">
        <v>2662.03</v>
      </c>
      <c r="D1722" s="2">
        <v>2653.58</v>
      </c>
      <c r="E1722" s="2">
        <v>3068568933838</v>
      </c>
      <c r="F1722" s="2">
        <v>0</v>
      </c>
      <c r="G1722">
        <v>1394.21</v>
      </c>
      <c r="H1722">
        <v>1396.51</v>
      </c>
      <c r="I1722">
        <v>1389.08</v>
      </c>
      <c r="J1722">
        <v>4384754792</v>
      </c>
      <c r="K1722">
        <v>0</v>
      </c>
      <c r="L1722" s="2">
        <f>VLOOKUP(A1722,[1]aaabonddata!$A:$B,2,0)</f>
        <v>1.6</v>
      </c>
    </row>
    <row r="1723" spans="1:12" x14ac:dyDescent="0.2">
      <c r="A1723" s="3">
        <v>41269</v>
      </c>
      <c r="B1723" s="2">
        <v>2637.18</v>
      </c>
      <c r="C1723" s="2">
        <v>2663.56</v>
      </c>
      <c r="D1723" s="2">
        <v>2627.52</v>
      </c>
      <c r="E1723" s="2">
        <v>3044481684851</v>
      </c>
      <c r="F1723" s="2">
        <v>7806077</v>
      </c>
      <c r="G1723">
        <v>1389.8</v>
      </c>
      <c r="H1723">
        <v>1405.27</v>
      </c>
      <c r="I1723">
        <v>1385.83</v>
      </c>
      <c r="J1723">
        <v>4370864985</v>
      </c>
      <c r="K1723">
        <v>0</v>
      </c>
      <c r="L1723" s="2">
        <f>VLOOKUP(A1723,[1]aaabonddata!$A:$B,2,0)</f>
        <v>1.6</v>
      </c>
    </row>
    <row r="1724" spans="1:12" x14ac:dyDescent="0.2">
      <c r="A1724" s="3">
        <v>41270</v>
      </c>
      <c r="B1724" s="2">
        <v>2632.94</v>
      </c>
      <c r="C1724" s="2">
        <v>2641.11</v>
      </c>
      <c r="D1724" s="2">
        <v>2599.63</v>
      </c>
      <c r="E1724" s="2">
        <v>3039582382200</v>
      </c>
      <c r="F1724" s="2">
        <v>231021460</v>
      </c>
      <c r="G1724">
        <v>1384.64</v>
      </c>
      <c r="H1724">
        <v>1390.86</v>
      </c>
      <c r="I1724">
        <v>1367.29</v>
      </c>
      <c r="J1724">
        <v>4354652476</v>
      </c>
      <c r="K1724">
        <v>0</v>
      </c>
      <c r="L1724" s="2">
        <f>VLOOKUP(A1724,[1]aaabonddata!$A:$B,2,0)</f>
        <v>1.57</v>
      </c>
    </row>
    <row r="1725" spans="1:12" x14ac:dyDescent="0.2">
      <c r="A1725" s="3">
        <v>41271</v>
      </c>
      <c r="B1725" s="2">
        <v>2606.36</v>
      </c>
      <c r="C1725" s="2">
        <v>2631.71</v>
      </c>
      <c r="D1725" s="2">
        <v>2604.96</v>
      </c>
      <c r="E1725" s="2">
        <v>3008899257860</v>
      </c>
      <c r="F1725" s="2">
        <v>483090612</v>
      </c>
      <c r="G1725">
        <v>1370.79</v>
      </c>
      <c r="H1725">
        <v>1385.73</v>
      </c>
      <c r="I1725">
        <v>1370.18</v>
      </c>
      <c r="J1725">
        <v>4311102738</v>
      </c>
      <c r="K1725">
        <v>767018</v>
      </c>
      <c r="L1725" s="2">
        <f>VLOOKUP(A1725,[1]aaabonddata!$A:$B,2,0)</f>
        <v>1.57</v>
      </c>
    </row>
    <row r="1726" spans="1:12" x14ac:dyDescent="0.2">
      <c r="A1726" s="3">
        <v>41274</v>
      </c>
      <c r="B1726" s="2">
        <v>2660.93</v>
      </c>
      <c r="C1726" s="2">
        <v>2665.73</v>
      </c>
      <c r="D1726" s="2">
        <v>2598.5700000000002</v>
      </c>
      <c r="E1726" s="2">
        <v>3071898906068</v>
      </c>
      <c r="F1726" s="2">
        <v>0</v>
      </c>
      <c r="G1726">
        <v>1394.75</v>
      </c>
      <c r="H1726">
        <v>1397.93</v>
      </c>
      <c r="I1726">
        <v>1366.97</v>
      </c>
      <c r="J1726">
        <v>4386433066</v>
      </c>
      <c r="K1726">
        <v>0</v>
      </c>
      <c r="L1726" s="2">
        <f>VLOOKUP(A1726,[1]aaabonddata!$A:$B,2,0)</f>
        <v>2</v>
      </c>
    </row>
    <row r="1727" spans="1:12" x14ac:dyDescent="0.2">
      <c r="A1727" s="3">
        <v>41276</v>
      </c>
      <c r="B1727" s="2">
        <v>2746.47</v>
      </c>
      <c r="C1727" s="2">
        <v>2746.5</v>
      </c>
      <c r="D1727" s="2">
        <v>2716.3</v>
      </c>
      <c r="E1727" s="2">
        <v>3170654110361</v>
      </c>
      <c r="F1727" s="2">
        <v>0</v>
      </c>
      <c r="G1727">
        <v>1445.29</v>
      </c>
      <c r="H1727">
        <v>1445.37</v>
      </c>
      <c r="I1727">
        <v>1427.91</v>
      </c>
      <c r="J1727">
        <v>4545380824</v>
      </c>
      <c r="K1727">
        <v>0</v>
      </c>
      <c r="L1727" s="2">
        <f>VLOOKUP(A1727,[1]aaabonddata!$A:$B,2,0)</f>
        <v>2.0499999999999998</v>
      </c>
    </row>
    <row r="1728" spans="1:12" x14ac:dyDescent="0.2">
      <c r="A1728" s="3">
        <v>41277</v>
      </c>
      <c r="B1728" s="2">
        <v>2732.26</v>
      </c>
      <c r="C1728" s="2">
        <v>2750.82</v>
      </c>
      <c r="D1728" s="2">
        <v>2723.67</v>
      </c>
      <c r="E1728" s="2">
        <v>3154241981425</v>
      </c>
      <c r="F1728" s="2">
        <v>0</v>
      </c>
      <c r="G1728">
        <v>1434.83</v>
      </c>
      <c r="H1728">
        <v>1447.95</v>
      </c>
      <c r="I1728">
        <v>1430.05</v>
      </c>
      <c r="J1728">
        <v>4512504057</v>
      </c>
      <c r="K1728">
        <v>0</v>
      </c>
      <c r="L1728" s="2">
        <f>VLOOKUP(A1728,[1]aaabonddata!$A:$B,2,0)</f>
        <v>2.08</v>
      </c>
    </row>
    <row r="1729" spans="1:12" x14ac:dyDescent="0.2">
      <c r="A1729" s="3">
        <v>41278</v>
      </c>
      <c r="B1729" s="2">
        <v>2724.49</v>
      </c>
      <c r="C1729" s="2">
        <v>2732.16</v>
      </c>
      <c r="D1729" s="2">
        <v>2716.04</v>
      </c>
      <c r="E1729" s="2">
        <v>3145275811971</v>
      </c>
      <c r="F1729" s="2">
        <v>0</v>
      </c>
      <c r="G1729">
        <v>1437.01</v>
      </c>
      <c r="H1729">
        <v>1439.76</v>
      </c>
      <c r="I1729">
        <v>1427.59</v>
      </c>
      <c r="J1729">
        <v>4519365572</v>
      </c>
      <c r="K1729">
        <v>0</v>
      </c>
      <c r="L1729" s="2">
        <f>VLOOKUP(A1729,[1]aaabonddata!$A:$B,2,0)</f>
        <v>2.09</v>
      </c>
    </row>
    <row r="1730" spans="1:12" x14ac:dyDescent="0.2">
      <c r="A1730" s="3">
        <v>41281</v>
      </c>
      <c r="B1730" s="2">
        <v>2724.22</v>
      </c>
      <c r="C1730" s="2">
        <v>2727.68</v>
      </c>
      <c r="D1730" s="2">
        <v>2707.11</v>
      </c>
      <c r="E1730" s="2">
        <v>3144961419667</v>
      </c>
      <c r="F1730" s="2">
        <v>0</v>
      </c>
      <c r="G1730">
        <v>1437.27</v>
      </c>
      <c r="H1730">
        <v>1438.69</v>
      </c>
      <c r="I1730">
        <v>1427.38</v>
      </c>
      <c r="J1730">
        <v>4520168124</v>
      </c>
      <c r="K1730">
        <v>0</v>
      </c>
      <c r="L1730" s="2">
        <f>VLOOKUP(A1730,[1]aaabonddata!$A:$B,2,0)</f>
        <v>2.08</v>
      </c>
    </row>
    <row r="1731" spans="1:12" x14ac:dyDescent="0.2">
      <c r="A1731" s="3">
        <v>41282</v>
      </c>
      <c r="B1731" s="2">
        <v>2718.72</v>
      </c>
      <c r="C1731" s="2">
        <v>2730.16</v>
      </c>
      <c r="D1731" s="2">
        <v>2703.75</v>
      </c>
      <c r="E1731" s="2">
        <v>3138613209244</v>
      </c>
      <c r="F1731" s="2">
        <v>50344326</v>
      </c>
      <c r="G1731">
        <v>1428.01</v>
      </c>
      <c r="H1731">
        <v>1437.94</v>
      </c>
      <c r="I1731">
        <v>1421.19</v>
      </c>
      <c r="J1731">
        <v>4491051996</v>
      </c>
      <c r="K1731">
        <v>276693</v>
      </c>
      <c r="L1731" s="2">
        <f>VLOOKUP(A1731,[1]aaabonddata!$A:$B,2,0)</f>
        <v>2.0499999999999998</v>
      </c>
    </row>
    <row r="1732" spans="1:12" x14ac:dyDescent="0.2">
      <c r="A1732" s="3">
        <v>41283</v>
      </c>
      <c r="B1732" s="2">
        <v>2727.65</v>
      </c>
      <c r="C1732" s="2">
        <v>2735.42</v>
      </c>
      <c r="D1732" s="2">
        <v>2720.05</v>
      </c>
      <c r="E1732" s="2">
        <v>3148922861512</v>
      </c>
      <c r="F1732" s="2">
        <v>0</v>
      </c>
      <c r="G1732">
        <v>1439</v>
      </c>
      <c r="H1732">
        <v>1441.18</v>
      </c>
      <c r="I1732">
        <v>1433.54</v>
      </c>
      <c r="J1732">
        <v>4525615007</v>
      </c>
      <c r="K1732">
        <v>0</v>
      </c>
      <c r="L1732" s="2">
        <f>VLOOKUP(A1732,[1]aaabonddata!$A:$B,2,0)</f>
        <v>2.04</v>
      </c>
    </row>
    <row r="1733" spans="1:12" x14ac:dyDescent="0.2">
      <c r="A1733" s="3">
        <v>41284</v>
      </c>
      <c r="B1733" s="2">
        <v>2744.18</v>
      </c>
      <c r="C1733" s="2">
        <v>2749.19</v>
      </c>
      <c r="D1733" s="2">
        <v>2719.68</v>
      </c>
      <c r="E1733" s="2">
        <v>3168006732425</v>
      </c>
      <c r="F1733" s="2">
        <v>0</v>
      </c>
      <c r="G1733">
        <v>1450.28</v>
      </c>
      <c r="H1733">
        <v>1451.7</v>
      </c>
      <c r="I1733">
        <v>1436.98</v>
      </c>
      <c r="J1733">
        <v>4561082250</v>
      </c>
      <c r="K1733">
        <v>0</v>
      </c>
      <c r="L1733" s="2">
        <f>VLOOKUP(A1733,[1]aaabonddata!$A:$B,2,0)</f>
        <v>2.06</v>
      </c>
    </row>
    <row r="1734" spans="1:12" x14ac:dyDescent="0.2">
      <c r="A1734" s="3">
        <v>41285</v>
      </c>
      <c r="B1734" s="2">
        <v>2748.26</v>
      </c>
      <c r="C1734" s="2">
        <v>2749.36</v>
      </c>
      <c r="D1734" s="2">
        <v>2738</v>
      </c>
      <c r="E1734" s="2">
        <v>3172717103823</v>
      </c>
      <c r="F1734" s="2">
        <v>0</v>
      </c>
      <c r="G1734">
        <v>1455.91</v>
      </c>
      <c r="H1734">
        <v>1456.67</v>
      </c>
      <c r="I1734">
        <v>1449.57</v>
      </c>
      <c r="J1734">
        <v>4578806049</v>
      </c>
      <c r="K1734">
        <v>0</v>
      </c>
      <c r="L1734" s="2">
        <f>VLOOKUP(A1734,[1]aaabonddata!$A:$B,2,0)</f>
        <v>2.0499999999999998</v>
      </c>
    </row>
    <row r="1735" spans="1:12" x14ac:dyDescent="0.2">
      <c r="A1735" s="3">
        <v>41288</v>
      </c>
      <c r="B1735" s="2">
        <v>2735.7</v>
      </c>
      <c r="C1735" s="2">
        <v>2743.35</v>
      </c>
      <c r="D1735" s="2">
        <v>2724.07</v>
      </c>
      <c r="E1735" s="2">
        <v>3146157430652</v>
      </c>
      <c r="F1735" s="2">
        <v>0</v>
      </c>
      <c r="G1735">
        <v>1459.34</v>
      </c>
      <c r="H1735">
        <v>1461.11</v>
      </c>
      <c r="I1735">
        <v>1445.93</v>
      </c>
      <c r="J1735">
        <v>4589587268</v>
      </c>
      <c r="K1735">
        <v>0</v>
      </c>
      <c r="L1735" s="2">
        <f>VLOOKUP(A1735,[1]aaabonddata!$A:$B,2,0)</f>
        <v>2.0299999999999998</v>
      </c>
    </row>
    <row r="1736" spans="1:12" x14ac:dyDescent="0.2">
      <c r="A1736" s="3">
        <v>41289</v>
      </c>
      <c r="B1736" s="2">
        <v>2722.98</v>
      </c>
      <c r="C1736" s="2">
        <v>2726.27</v>
      </c>
      <c r="D1736" s="2">
        <v>2710.8</v>
      </c>
      <c r="E1736" s="2">
        <v>3131528700133</v>
      </c>
      <c r="F1736" s="2">
        <v>0</v>
      </c>
      <c r="G1736">
        <v>1459.08</v>
      </c>
      <c r="H1736">
        <v>1460.19</v>
      </c>
      <c r="I1736">
        <v>1447.68</v>
      </c>
      <c r="J1736">
        <v>4588748536</v>
      </c>
      <c r="K1736">
        <v>0</v>
      </c>
      <c r="L1736" s="2">
        <f>VLOOKUP(A1736,[1]aaabonddata!$A:$B,2,0)</f>
        <v>2.0099999999999998</v>
      </c>
    </row>
    <row r="1737" spans="1:12" x14ac:dyDescent="0.2">
      <c r="A1737" s="3">
        <v>41290</v>
      </c>
      <c r="B1737" s="2">
        <v>2734.73</v>
      </c>
      <c r="C1737" s="2">
        <v>2742.33</v>
      </c>
      <c r="D1737" s="2">
        <v>2721.62</v>
      </c>
      <c r="E1737" s="2">
        <v>3145033571875</v>
      </c>
      <c r="F1737" s="2">
        <v>37104989</v>
      </c>
      <c r="G1737">
        <v>1463.53</v>
      </c>
      <c r="H1737">
        <v>1467.28</v>
      </c>
      <c r="I1737">
        <v>1456.2</v>
      </c>
      <c r="J1737">
        <v>4602752802</v>
      </c>
      <c r="K1737">
        <v>0</v>
      </c>
      <c r="L1737" s="2">
        <f>VLOOKUP(A1737,[1]aaabonddata!$A:$B,2,0)</f>
        <v>2.0099999999999998</v>
      </c>
    </row>
    <row r="1738" spans="1:12" x14ac:dyDescent="0.2">
      <c r="A1738" s="3">
        <v>41291</v>
      </c>
      <c r="B1738" s="2">
        <v>2747.15</v>
      </c>
      <c r="C1738" s="2">
        <v>2756.68</v>
      </c>
      <c r="D1738" s="2">
        <v>2740.07</v>
      </c>
      <c r="E1738" s="2">
        <v>3159317994481</v>
      </c>
      <c r="F1738" s="2">
        <v>0</v>
      </c>
      <c r="G1738">
        <v>1478.68</v>
      </c>
      <c r="H1738">
        <v>1480.82</v>
      </c>
      <c r="I1738">
        <v>1469.32</v>
      </c>
      <c r="J1738">
        <v>4650399446</v>
      </c>
      <c r="K1738">
        <v>0</v>
      </c>
      <c r="L1738" s="2">
        <f>VLOOKUP(A1738,[1]aaabonddata!$A:$B,2,0)</f>
        <v>2.0499999999999998</v>
      </c>
    </row>
    <row r="1739" spans="1:12" x14ac:dyDescent="0.2">
      <c r="A1739" s="3">
        <v>41292</v>
      </c>
      <c r="B1739" s="2">
        <v>2743.24</v>
      </c>
      <c r="C1739" s="2">
        <v>2743.54</v>
      </c>
      <c r="D1739" s="2">
        <v>2728.07</v>
      </c>
      <c r="E1739" s="2">
        <v>3154823986461</v>
      </c>
      <c r="F1739" s="2">
        <v>0</v>
      </c>
      <c r="G1739">
        <v>1477.7</v>
      </c>
      <c r="H1739">
        <v>1479.26</v>
      </c>
      <c r="I1739">
        <v>1470.09</v>
      </c>
      <c r="J1739">
        <v>4647314919</v>
      </c>
      <c r="K1739">
        <v>0</v>
      </c>
      <c r="L1739" s="2">
        <f>VLOOKUP(A1739,[1]aaabonddata!$A:$B,2,0)</f>
        <v>2.02</v>
      </c>
    </row>
    <row r="1740" spans="1:12" x14ac:dyDescent="0.2">
      <c r="A1740" s="3">
        <v>41296</v>
      </c>
      <c r="B1740" s="2">
        <v>2746.19</v>
      </c>
      <c r="C1740" s="2">
        <v>2747.52</v>
      </c>
      <c r="D1740" s="2">
        <v>2726.86</v>
      </c>
      <c r="E1740" s="2">
        <v>3158212462798</v>
      </c>
      <c r="F1740" s="2">
        <v>0</v>
      </c>
      <c r="G1740">
        <v>1481.03</v>
      </c>
      <c r="H1740">
        <v>1481.04</v>
      </c>
      <c r="I1740">
        <v>1469.29</v>
      </c>
      <c r="J1740">
        <v>4657798130</v>
      </c>
      <c r="K1740">
        <v>0</v>
      </c>
      <c r="L1740" s="2">
        <f>VLOOKUP(A1740,[1]aaabonddata!$A:$B,2,0)</f>
        <v>2.0099999999999998</v>
      </c>
    </row>
    <row r="1741" spans="1:12" x14ac:dyDescent="0.2">
      <c r="A1741" s="3">
        <v>41297</v>
      </c>
      <c r="B1741" s="2">
        <v>2762.17</v>
      </c>
      <c r="C1741" s="2">
        <v>2769.31</v>
      </c>
      <c r="D1741" s="2">
        <v>2756.59</v>
      </c>
      <c r="E1741" s="2">
        <v>3176594136769</v>
      </c>
      <c r="F1741" s="2">
        <v>0</v>
      </c>
      <c r="G1741">
        <v>1485.33</v>
      </c>
      <c r="H1741">
        <v>1490.19</v>
      </c>
      <c r="I1741">
        <v>1480.89</v>
      </c>
      <c r="J1741">
        <v>4671320538</v>
      </c>
      <c r="K1741">
        <v>0</v>
      </c>
      <c r="L1741" s="2">
        <f>VLOOKUP(A1741,[1]aaabonddata!$A:$B,2,0)</f>
        <v>2.02</v>
      </c>
    </row>
    <row r="1742" spans="1:12" x14ac:dyDescent="0.2">
      <c r="A1742" s="3">
        <v>41298</v>
      </c>
      <c r="B1742" s="2">
        <v>2723.53</v>
      </c>
      <c r="C1742" s="2">
        <v>2748.36</v>
      </c>
      <c r="D1742" s="2">
        <v>2719.83</v>
      </c>
      <c r="E1742" s="2">
        <v>3132159419826</v>
      </c>
      <c r="F1742" s="2">
        <v>0</v>
      </c>
      <c r="G1742">
        <v>1486.25</v>
      </c>
      <c r="H1742">
        <v>1498.39</v>
      </c>
      <c r="I1742">
        <v>1479.6</v>
      </c>
      <c r="J1742">
        <v>4674216178</v>
      </c>
      <c r="K1742">
        <v>0</v>
      </c>
      <c r="L1742" s="2">
        <f>VLOOKUP(A1742,[1]aaabonddata!$A:$B,2,0)</f>
        <v>2.02</v>
      </c>
    </row>
    <row r="1743" spans="1:12" x14ac:dyDescent="0.2">
      <c r="A1743" s="3">
        <v>41299</v>
      </c>
      <c r="B1743" s="2">
        <v>2736.73</v>
      </c>
      <c r="C1743" s="2">
        <v>2745.09</v>
      </c>
      <c r="D1743" s="2">
        <v>2726.73</v>
      </c>
      <c r="E1743" s="2">
        <v>3147338541870</v>
      </c>
      <c r="F1743" s="2">
        <v>0</v>
      </c>
      <c r="G1743">
        <v>1501.85</v>
      </c>
      <c r="H1743">
        <v>1505.54</v>
      </c>
      <c r="I1743">
        <v>1493.68</v>
      </c>
      <c r="J1743">
        <v>4723276696</v>
      </c>
      <c r="K1743">
        <v>0</v>
      </c>
      <c r="L1743" s="2">
        <f>VLOOKUP(A1743,[1]aaabonddata!$A:$B,2,0)</f>
        <v>2.09</v>
      </c>
    </row>
    <row r="1744" spans="1:12" x14ac:dyDescent="0.2">
      <c r="A1744" s="3">
        <v>41302</v>
      </c>
      <c r="B1744" s="2">
        <v>2742.43</v>
      </c>
      <c r="C1744" s="2">
        <v>2752.54</v>
      </c>
      <c r="D1744" s="2">
        <v>2735.21</v>
      </c>
      <c r="E1744" s="2">
        <v>3153897872481</v>
      </c>
      <c r="F1744" s="2">
        <v>0</v>
      </c>
      <c r="G1744">
        <v>1505.43</v>
      </c>
      <c r="H1744">
        <v>1512.8</v>
      </c>
      <c r="I1744">
        <v>1504.02</v>
      </c>
      <c r="J1744">
        <v>4734525798</v>
      </c>
      <c r="K1744">
        <v>0</v>
      </c>
      <c r="L1744" s="2">
        <f>VLOOKUP(A1744,[1]aaabonddata!$A:$B,2,0)</f>
        <v>2.1</v>
      </c>
    </row>
    <row r="1745" spans="1:12" x14ac:dyDescent="0.2">
      <c r="A1745" s="3">
        <v>41303</v>
      </c>
      <c r="B1745" s="2">
        <v>2743.58</v>
      </c>
      <c r="C1745" s="2">
        <v>2749.44</v>
      </c>
      <c r="D1745" s="2">
        <v>2722.52</v>
      </c>
      <c r="E1745" s="2">
        <v>3155215842015</v>
      </c>
      <c r="F1745" s="2">
        <v>235368626</v>
      </c>
      <c r="G1745">
        <v>1488.74</v>
      </c>
      <c r="H1745">
        <v>1491.93</v>
      </c>
      <c r="I1745">
        <v>1482.36</v>
      </c>
      <c r="J1745">
        <v>4682033345</v>
      </c>
      <c r="K1745">
        <v>678952</v>
      </c>
      <c r="L1745" s="2">
        <f>VLOOKUP(A1745,[1]aaabonddata!$A:$B,2,0)</f>
        <v>2.09</v>
      </c>
    </row>
    <row r="1746" spans="1:12" x14ac:dyDescent="0.2">
      <c r="A1746" s="3">
        <v>41304</v>
      </c>
      <c r="B1746" s="2">
        <v>2738.71</v>
      </c>
      <c r="C1746" s="2">
        <v>2757.09</v>
      </c>
      <c r="D1746" s="2">
        <v>2732.05</v>
      </c>
      <c r="E1746" s="2">
        <v>3149619802020</v>
      </c>
      <c r="F1746" s="2">
        <v>29632183</v>
      </c>
      <c r="G1746">
        <v>1488.15</v>
      </c>
      <c r="H1746">
        <v>1496.73</v>
      </c>
      <c r="I1746">
        <v>1484.97</v>
      </c>
      <c r="J1746">
        <v>4680196484</v>
      </c>
      <c r="K1746">
        <v>0</v>
      </c>
      <c r="L1746" s="2">
        <f>VLOOKUP(A1746,[1]aaabonddata!$A:$B,2,0)</f>
        <v>2.11</v>
      </c>
    </row>
    <row r="1747" spans="1:12" x14ac:dyDescent="0.2">
      <c r="A1747" s="3">
        <v>41305</v>
      </c>
      <c r="B1747" s="2">
        <v>2731.53</v>
      </c>
      <c r="C1747" s="2">
        <v>2751.11</v>
      </c>
      <c r="D1747" s="2">
        <v>2730.07</v>
      </c>
      <c r="E1747" s="2">
        <v>3141362089999</v>
      </c>
      <c r="F1747" s="2">
        <v>0</v>
      </c>
      <c r="G1747">
        <v>1487.86</v>
      </c>
      <c r="H1747">
        <v>1498.99</v>
      </c>
      <c r="I1747">
        <v>1485.51</v>
      </c>
      <c r="J1747">
        <v>4679273058</v>
      </c>
      <c r="K1747">
        <v>0</v>
      </c>
      <c r="L1747" s="2">
        <f>VLOOKUP(A1747,[1]aaabonddata!$A:$B,2,0)</f>
        <v>2.11</v>
      </c>
    </row>
    <row r="1748" spans="1:12" x14ac:dyDescent="0.2">
      <c r="A1748" s="3">
        <v>41306</v>
      </c>
      <c r="B1748" s="2">
        <v>2763.96</v>
      </c>
      <c r="C1748" s="2">
        <v>2768.63</v>
      </c>
      <c r="D1748" s="2">
        <v>2740.65</v>
      </c>
      <c r="E1748" s="2">
        <v>3178656126282</v>
      </c>
      <c r="F1748" s="2">
        <v>0</v>
      </c>
      <c r="G1748">
        <v>1507.37</v>
      </c>
      <c r="H1748">
        <v>1510.8</v>
      </c>
      <c r="I1748">
        <v>1494.98</v>
      </c>
      <c r="J1748">
        <v>4740619632</v>
      </c>
      <c r="K1748">
        <v>0</v>
      </c>
      <c r="L1748" s="2">
        <f>VLOOKUP(A1748,[1]aaabonddata!$A:$B,2,0)</f>
        <v>2.12</v>
      </c>
    </row>
    <row r="1749" spans="1:12" x14ac:dyDescent="0.2">
      <c r="A1749" s="3">
        <v>41309</v>
      </c>
      <c r="B1749" s="2">
        <v>2715.68</v>
      </c>
      <c r="C1749" s="2">
        <v>2755.65</v>
      </c>
      <c r="D1749" s="2">
        <v>2715.51</v>
      </c>
      <c r="E1749" s="2">
        <v>3123135260735</v>
      </c>
      <c r="F1749" s="2">
        <v>57402979</v>
      </c>
      <c r="G1749">
        <v>1484.96</v>
      </c>
      <c r="H1749">
        <v>1507.29</v>
      </c>
      <c r="I1749">
        <v>1484.79</v>
      </c>
      <c r="J1749">
        <v>4670139716</v>
      </c>
      <c r="K1749">
        <v>609418</v>
      </c>
      <c r="L1749" s="2">
        <f>VLOOKUP(A1749,[1]aaabonddata!$A:$B,2,0)</f>
        <v>2.1</v>
      </c>
    </row>
    <row r="1750" spans="1:12" x14ac:dyDescent="0.2">
      <c r="A1750" s="3">
        <v>41310</v>
      </c>
      <c r="B1750" s="2">
        <v>2754.99</v>
      </c>
      <c r="C1750" s="2">
        <v>2762.86</v>
      </c>
      <c r="D1750" s="2">
        <v>2720.79</v>
      </c>
      <c r="E1750" s="2">
        <v>3168337286274</v>
      </c>
      <c r="F1750" s="2">
        <v>1275756000</v>
      </c>
      <c r="G1750">
        <v>1498.31</v>
      </c>
      <c r="H1750">
        <v>1503.38</v>
      </c>
      <c r="I1750">
        <v>1484.41</v>
      </c>
      <c r="J1750">
        <v>4712142865</v>
      </c>
      <c r="K1750">
        <v>1083815</v>
      </c>
      <c r="L1750" s="2">
        <f>VLOOKUP(A1750,[1]aaabonddata!$A:$B,2,0)</f>
        <v>2.12</v>
      </c>
    </row>
    <row r="1751" spans="1:12" x14ac:dyDescent="0.2">
      <c r="A1751" s="3">
        <v>41311</v>
      </c>
      <c r="B1751" s="2">
        <v>2746.35</v>
      </c>
      <c r="C1751" s="2">
        <v>2758.25</v>
      </c>
      <c r="D1751" s="2">
        <v>2738.47</v>
      </c>
      <c r="E1751" s="2">
        <v>3158396577543</v>
      </c>
      <c r="F1751" s="2">
        <v>118916704</v>
      </c>
      <c r="G1751">
        <v>1502.83</v>
      </c>
      <c r="H1751">
        <v>1505.13</v>
      </c>
      <c r="I1751">
        <v>1491.73</v>
      </c>
      <c r="J1751">
        <v>4726370615</v>
      </c>
      <c r="K1751">
        <v>0</v>
      </c>
      <c r="L1751" s="2">
        <f>VLOOKUP(A1751,[1]aaabonddata!$A:$B,2,0)</f>
        <v>2.1</v>
      </c>
    </row>
    <row r="1752" spans="1:12" x14ac:dyDescent="0.2">
      <c r="A1752" s="3">
        <v>41312</v>
      </c>
      <c r="B1752" s="2">
        <v>2746.5</v>
      </c>
      <c r="C1752" s="2">
        <v>2749.14</v>
      </c>
      <c r="D1752" s="2">
        <v>2716.36</v>
      </c>
      <c r="E1752" s="2">
        <v>3158575759610</v>
      </c>
      <c r="F1752" s="2">
        <v>2524891056</v>
      </c>
      <c r="G1752">
        <v>1491.3</v>
      </c>
      <c r="H1752">
        <v>1495.19</v>
      </c>
      <c r="I1752">
        <v>1479.41</v>
      </c>
      <c r="J1752">
        <v>4690102570</v>
      </c>
      <c r="K1752">
        <v>800129</v>
      </c>
      <c r="L1752" s="2">
        <f>VLOOKUP(A1752,[1]aaabonddata!$A:$B,2,0)</f>
        <v>2.08</v>
      </c>
    </row>
    <row r="1753" spans="1:12" x14ac:dyDescent="0.2">
      <c r="A1753" s="3">
        <v>41313</v>
      </c>
      <c r="B1753" s="2">
        <v>2775.56</v>
      </c>
      <c r="C1753" s="2">
        <v>2780.13</v>
      </c>
      <c r="D1753" s="2">
        <v>2760.39</v>
      </c>
      <c r="E1753" s="2">
        <v>3191991445391</v>
      </c>
      <c r="F1753" s="2">
        <v>0</v>
      </c>
      <c r="G1753">
        <v>1501.56</v>
      </c>
      <c r="H1753">
        <v>1506.09</v>
      </c>
      <c r="I1753">
        <v>1493.59</v>
      </c>
      <c r="J1753">
        <v>4722376301</v>
      </c>
      <c r="K1753">
        <v>0</v>
      </c>
      <c r="L1753" s="2">
        <f>VLOOKUP(A1753,[1]aaabonddata!$A:$B,2,0)</f>
        <v>2.08</v>
      </c>
    </row>
    <row r="1754" spans="1:12" x14ac:dyDescent="0.2">
      <c r="A1754" s="3">
        <v>41316</v>
      </c>
      <c r="B1754" s="2">
        <v>2774.64</v>
      </c>
      <c r="C1754" s="2">
        <v>2777.13</v>
      </c>
      <c r="D1754" s="2">
        <v>2766.31</v>
      </c>
      <c r="E1754" s="2">
        <v>3190931806544</v>
      </c>
      <c r="F1754" s="2">
        <v>360656972</v>
      </c>
      <c r="G1754">
        <v>1498.48</v>
      </c>
      <c r="H1754">
        <v>1501.55</v>
      </c>
      <c r="I1754">
        <v>1493.64</v>
      </c>
      <c r="J1754">
        <v>4712670023</v>
      </c>
      <c r="K1754">
        <v>0</v>
      </c>
      <c r="L1754" s="2">
        <f>VLOOKUP(A1754,[1]aaabonddata!$A:$B,2,0)</f>
        <v>2.08</v>
      </c>
    </row>
    <row r="1755" spans="1:12" x14ac:dyDescent="0.2">
      <c r="A1755" s="3">
        <v>41317</v>
      </c>
      <c r="B1755" s="2">
        <v>2762.62</v>
      </c>
      <c r="C1755" s="2">
        <v>2776.71</v>
      </c>
      <c r="D1755" s="2">
        <v>2761.41</v>
      </c>
      <c r="E1755" s="2">
        <v>3177112410874</v>
      </c>
      <c r="F1755" s="2">
        <v>100581636</v>
      </c>
      <c r="G1755">
        <v>1497.29</v>
      </c>
      <c r="H1755">
        <v>1501.72</v>
      </c>
      <c r="I1755">
        <v>1494.62</v>
      </c>
      <c r="J1755">
        <v>4708946073</v>
      </c>
      <c r="K1755">
        <v>0</v>
      </c>
      <c r="L1755" s="2">
        <f>VLOOKUP(A1755,[1]aaabonddata!$A:$B,2,0)</f>
        <v>2.1</v>
      </c>
    </row>
    <row r="1756" spans="1:12" x14ac:dyDescent="0.2">
      <c r="A1756" s="3">
        <v>41318</v>
      </c>
      <c r="B1756" s="2">
        <v>2773.77</v>
      </c>
      <c r="C1756" s="2">
        <v>2783.19</v>
      </c>
      <c r="D1756" s="2">
        <v>2765.04</v>
      </c>
      <c r="E1756" s="2">
        <v>3210344863124</v>
      </c>
      <c r="F1756" s="2">
        <v>126926178</v>
      </c>
      <c r="G1756">
        <v>1499.98</v>
      </c>
      <c r="H1756">
        <v>1506.09</v>
      </c>
      <c r="I1756">
        <v>1491.98</v>
      </c>
      <c r="J1756">
        <v>4717407161</v>
      </c>
      <c r="K1756">
        <v>331525</v>
      </c>
      <c r="L1756" s="2">
        <f>VLOOKUP(A1756,[1]aaabonddata!$A:$B,2,0)</f>
        <v>2.12</v>
      </c>
    </row>
    <row r="1757" spans="1:12" x14ac:dyDescent="0.2">
      <c r="A1757" s="3">
        <v>41319</v>
      </c>
      <c r="B1757" s="2">
        <v>2771.43</v>
      </c>
      <c r="C1757" s="2">
        <v>2776.49</v>
      </c>
      <c r="D1757" s="2">
        <v>2759.74</v>
      </c>
      <c r="E1757" s="2">
        <v>3207638407599</v>
      </c>
      <c r="F1757" s="2">
        <v>66606226</v>
      </c>
      <c r="G1757">
        <v>1508.79</v>
      </c>
      <c r="H1757">
        <v>1510.29</v>
      </c>
      <c r="I1757">
        <v>1493.38</v>
      </c>
      <c r="J1757">
        <v>4745088354</v>
      </c>
      <c r="K1757">
        <v>826959</v>
      </c>
      <c r="L1757" s="2">
        <f>VLOOKUP(A1757,[1]aaabonddata!$A:$B,2,0)</f>
        <v>2.09</v>
      </c>
    </row>
    <row r="1758" spans="1:12" x14ac:dyDescent="0.2">
      <c r="A1758" s="3">
        <v>41320</v>
      </c>
      <c r="B1758" s="2">
        <v>2764.67</v>
      </c>
      <c r="C1758" s="2">
        <v>2779.07</v>
      </c>
      <c r="D1758" s="2">
        <v>2756.43</v>
      </c>
      <c r="E1758" s="2">
        <v>3199810962520</v>
      </c>
      <c r="F1758" s="2">
        <v>181354929</v>
      </c>
      <c r="G1758">
        <v>1506.31</v>
      </c>
      <c r="H1758">
        <v>1514.25</v>
      </c>
      <c r="I1758">
        <v>1500.54</v>
      </c>
      <c r="J1758">
        <v>4737294282</v>
      </c>
      <c r="K1758">
        <v>1598380</v>
      </c>
      <c r="L1758" s="2">
        <f>VLOOKUP(A1758,[1]aaabonddata!$A:$B,2,0)</f>
        <v>2.09</v>
      </c>
    </row>
    <row r="1759" spans="1:12" x14ac:dyDescent="0.2">
      <c r="A1759" s="3">
        <v>41324</v>
      </c>
      <c r="B1759" s="2">
        <v>2782.86</v>
      </c>
      <c r="C1759" s="2">
        <v>2782.86</v>
      </c>
      <c r="D1759" s="2">
        <v>2766.86</v>
      </c>
      <c r="E1759" s="2">
        <v>3220862663817</v>
      </c>
      <c r="F1759" s="2">
        <v>2119303939</v>
      </c>
      <c r="G1759">
        <v>1517.32</v>
      </c>
      <c r="H1759">
        <v>1517.32</v>
      </c>
      <c r="I1759">
        <v>1506.16</v>
      </c>
      <c r="J1759">
        <v>4771911267</v>
      </c>
      <c r="K1759">
        <v>3046456</v>
      </c>
      <c r="L1759" s="2">
        <f>VLOOKUP(A1759,[1]aaabonddata!$A:$B,2,0)</f>
        <v>2.11</v>
      </c>
    </row>
    <row r="1760" spans="1:12" x14ac:dyDescent="0.2">
      <c r="A1760" s="3">
        <v>41325</v>
      </c>
      <c r="B1760" s="2">
        <v>2739.99</v>
      </c>
      <c r="C1760" s="2">
        <v>2782.45</v>
      </c>
      <c r="D1760" s="2">
        <v>2739.27</v>
      </c>
      <c r="E1760" s="2">
        <v>3171249658979</v>
      </c>
      <c r="F1760" s="2">
        <v>161595537</v>
      </c>
      <c r="G1760">
        <v>1487.23</v>
      </c>
      <c r="H1760">
        <v>1516.82</v>
      </c>
      <c r="I1760">
        <v>1487.04</v>
      </c>
      <c r="J1760">
        <v>4677290667</v>
      </c>
      <c r="K1760">
        <v>0</v>
      </c>
      <c r="L1760" s="2">
        <f>VLOOKUP(A1760,[1]aaabonddata!$A:$B,2,0)</f>
        <v>2.11</v>
      </c>
    </row>
    <row r="1761" spans="1:12" x14ac:dyDescent="0.2">
      <c r="A1761" s="3">
        <v>41326</v>
      </c>
      <c r="B1761" s="2">
        <v>2711.51</v>
      </c>
      <c r="C1761" s="2">
        <v>2731.25</v>
      </c>
      <c r="D1761" s="2">
        <v>2700.32</v>
      </c>
      <c r="E1761" s="2">
        <v>3138289636974</v>
      </c>
      <c r="F1761" s="2">
        <v>0</v>
      </c>
      <c r="G1761">
        <v>1465.34</v>
      </c>
      <c r="H1761">
        <v>1482.46</v>
      </c>
      <c r="I1761">
        <v>1458.45</v>
      </c>
      <c r="J1761">
        <v>4608457914</v>
      </c>
      <c r="K1761">
        <v>0</v>
      </c>
      <c r="L1761" s="2">
        <f>VLOOKUP(A1761,[1]aaabonddata!$A:$B,2,0)</f>
        <v>2.08</v>
      </c>
    </row>
    <row r="1762" spans="1:12" x14ac:dyDescent="0.2">
      <c r="A1762" s="3">
        <v>41327</v>
      </c>
      <c r="B1762" s="2">
        <v>2737.28</v>
      </c>
      <c r="C1762" s="2">
        <v>2737.28</v>
      </c>
      <c r="D1762" s="2">
        <v>2715.47</v>
      </c>
      <c r="E1762" s="2">
        <v>3168117615480</v>
      </c>
      <c r="F1762" s="2">
        <v>0</v>
      </c>
      <c r="G1762">
        <v>1482.57</v>
      </c>
      <c r="H1762">
        <v>1482.58</v>
      </c>
      <c r="I1762">
        <v>1469.01</v>
      </c>
      <c r="J1762">
        <v>4662633218</v>
      </c>
      <c r="K1762">
        <v>0</v>
      </c>
      <c r="L1762" s="2">
        <f>VLOOKUP(A1762,[1]aaabonddata!$A:$B,2,0)</f>
        <v>2.0699999999999998</v>
      </c>
    </row>
    <row r="1763" spans="1:12" x14ac:dyDescent="0.2">
      <c r="A1763" s="3">
        <v>41330</v>
      </c>
      <c r="B1763" s="2">
        <v>2700.97</v>
      </c>
      <c r="C1763" s="2">
        <v>2763.96</v>
      </c>
      <c r="D1763" s="2">
        <v>2700.97</v>
      </c>
      <c r="E1763" s="2">
        <v>3126085625430</v>
      </c>
      <c r="F1763" s="2">
        <v>0</v>
      </c>
      <c r="G1763">
        <v>1457.74</v>
      </c>
      <c r="H1763">
        <v>1494.03</v>
      </c>
      <c r="I1763">
        <v>1457.74</v>
      </c>
      <c r="J1763">
        <v>4584548787</v>
      </c>
      <c r="K1763">
        <v>0</v>
      </c>
      <c r="L1763" s="2">
        <f>VLOOKUP(A1763,[1]aaabonddata!$A:$B,2,0)</f>
        <v>2.02</v>
      </c>
    </row>
    <row r="1764" spans="1:12" x14ac:dyDescent="0.2">
      <c r="A1764" s="3">
        <v>41331</v>
      </c>
      <c r="B1764" s="2">
        <v>2713.02</v>
      </c>
      <c r="C1764" s="2">
        <v>2718.06</v>
      </c>
      <c r="D1764" s="2">
        <v>2689.83</v>
      </c>
      <c r="E1764" s="2">
        <v>3140030655824</v>
      </c>
      <c r="F1764" s="2">
        <v>46863810</v>
      </c>
      <c r="G1764">
        <v>1467.76</v>
      </c>
      <c r="H1764">
        <v>1472.74</v>
      </c>
      <c r="I1764">
        <v>1456.79</v>
      </c>
      <c r="J1764">
        <v>4616049578</v>
      </c>
      <c r="K1764">
        <v>607287</v>
      </c>
      <c r="L1764" s="2">
        <f>VLOOKUP(A1764,[1]aaabonddata!$A:$B,2,0)</f>
        <v>2.0099999999999998</v>
      </c>
    </row>
    <row r="1765" spans="1:12" x14ac:dyDescent="0.2">
      <c r="A1765" s="3">
        <v>41332</v>
      </c>
      <c r="B1765" s="2">
        <v>2741.26</v>
      </c>
      <c r="C1765" s="2">
        <v>2757.61</v>
      </c>
      <c r="D1765" s="2">
        <v>2710.19</v>
      </c>
      <c r="E1765" s="2">
        <v>3172715955671</v>
      </c>
      <c r="F1765" s="2">
        <v>193208999</v>
      </c>
      <c r="G1765">
        <v>1482.85</v>
      </c>
      <c r="H1765">
        <v>1490.11</v>
      </c>
      <c r="I1765">
        <v>1463.78</v>
      </c>
      <c r="J1765">
        <v>4663510437</v>
      </c>
      <c r="K1765">
        <v>805878</v>
      </c>
      <c r="L1765" s="2">
        <f>VLOOKUP(A1765,[1]aaabonddata!$A:$B,2,0)</f>
        <v>2.0299999999999998</v>
      </c>
    </row>
    <row r="1766" spans="1:12" x14ac:dyDescent="0.2">
      <c r="A1766" s="3">
        <v>41333</v>
      </c>
      <c r="B1766" s="2">
        <v>2738.58</v>
      </c>
      <c r="C1766" s="2">
        <v>2761.28</v>
      </c>
      <c r="D1766" s="2">
        <v>2738.22</v>
      </c>
      <c r="E1766" s="2">
        <v>3169623026864</v>
      </c>
      <c r="F1766" s="2">
        <v>0</v>
      </c>
      <c r="G1766">
        <v>1483.01</v>
      </c>
      <c r="H1766">
        <v>1492.58</v>
      </c>
      <c r="I1766">
        <v>1480.49</v>
      </c>
      <c r="J1766">
        <v>4664025048</v>
      </c>
      <c r="K1766">
        <v>0</v>
      </c>
      <c r="L1766" s="2">
        <f>VLOOKUP(A1766,[1]aaabonddata!$A:$B,2,0)</f>
        <v>2.0099999999999998</v>
      </c>
    </row>
    <row r="1767" spans="1:12" x14ac:dyDescent="0.2">
      <c r="A1767" s="3">
        <v>41334</v>
      </c>
      <c r="B1767" s="2">
        <v>2747.75</v>
      </c>
      <c r="C1767" s="2">
        <v>2751.22</v>
      </c>
      <c r="D1767" s="2">
        <v>2713.49</v>
      </c>
      <c r="E1767" s="2">
        <v>3180234646270</v>
      </c>
      <c r="F1767" s="2">
        <v>0</v>
      </c>
      <c r="G1767">
        <v>1488.23</v>
      </c>
      <c r="H1767">
        <v>1490.04</v>
      </c>
      <c r="I1767">
        <v>1465.94</v>
      </c>
      <c r="J1767">
        <v>4680436294</v>
      </c>
      <c r="K1767">
        <v>0</v>
      </c>
      <c r="L1767" s="2">
        <f>VLOOKUP(A1767,[1]aaabonddata!$A:$B,2,0)</f>
        <v>1.99</v>
      </c>
    </row>
    <row r="1768" spans="1:12" x14ac:dyDescent="0.2">
      <c r="A1768" s="3">
        <v>41337</v>
      </c>
      <c r="B1768" s="2">
        <v>2759.53</v>
      </c>
      <c r="C1768" s="2">
        <v>2759.84</v>
      </c>
      <c r="D1768" s="2">
        <v>2734.92</v>
      </c>
      <c r="E1768" s="2">
        <v>3193870169597</v>
      </c>
      <c r="F1768" s="2">
        <v>0</v>
      </c>
      <c r="G1768">
        <v>1493.49</v>
      </c>
      <c r="H1768">
        <v>1494.03</v>
      </c>
      <c r="I1768">
        <v>1481.02</v>
      </c>
      <c r="J1768">
        <v>4696996769</v>
      </c>
      <c r="K1768">
        <v>0</v>
      </c>
      <c r="L1768" s="2">
        <f>VLOOKUP(A1768,[1]aaabonddata!$A:$B,2,0)</f>
        <v>2.0099999999999998</v>
      </c>
    </row>
    <row r="1769" spans="1:12" x14ac:dyDescent="0.2">
      <c r="A1769" s="3">
        <v>41338</v>
      </c>
      <c r="B1769" s="2">
        <v>2799.25</v>
      </c>
      <c r="C1769" s="2">
        <v>2803.35</v>
      </c>
      <c r="D1769" s="2">
        <v>2776.12</v>
      </c>
      <c r="E1769" s="2">
        <v>3239833360009</v>
      </c>
      <c r="F1769" s="2">
        <v>0</v>
      </c>
      <c r="G1769">
        <v>1516.52</v>
      </c>
      <c r="H1769">
        <v>1517.6</v>
      </c>
      <c r="I1769">
        <v>1503.97</v>
      </c>
      <c r="J1769">
        <v>4769412291</v>
      </c>
      <c r="K1769">
        <v>0</v>
      </c>
      <c r="L1769" s="2">
        <f>VLOOKUP(A1769,[1]aaabonddata!$A:$B,2,0)</f>
        <v>2.02</v>
      </c>
    </row>
    <row r="1770" spans="1:12" x14ac:dyDescent="0.2">
      <c r="A1770" s="3">
        <v>41339</v>
      </c>
      <c r="B1770" s="2">
        <v>2792.56</v>
      </c>
      <c r="C1770" s="2">
        <v>2808.18</v>
      </c>
      <c r="D1770" s="2">
        <v>2788.68</v>
      </c>
      <c r="E1770" s="2">
        <v>3232094225972</v>
      </c>
      <c r="F1770" s="2">
        <v>637188446</v>
      </c>
      <c r="G1770">
        <v>1518.66</v>
      </c>
      <c r="H1770">
        <v>1523.43</v>
      </c>
      <c r="I1770">
        <v>1515.84</v>
      </c>
      <c r="J1770">
        <v>4776150876</v>
      </c>
      <c r="K1770">
        <v>405778</v>
      </c>
      <c r="L1770" s="2">
        <f>VLOOKUP(A1770,[1]aaabonddata!$A:$B,2,0)</f>
        <v>2.0499999999999998</v>
      </c>
    </row>
    <row r="1771" spans="1:12" x14ac:dyDescent="0.2">
      <c r="A1771" s="3">
        <v>41340</v>
      </c>
      <c r="B1771" s="2">
        <v>2799.49</v>
      </c>
      <c r="C1771" s="2">
        <v>2804.03</v>
      </c>
      <c r="D1771" s="2">
        <v>2790.04</v>
      </c>
      <c r="E1771" s="2">
        <v>3240112935201</v>
      </c>
      <c r="F1771" s="2">
        <v>15868860</v>
      </c>
      <c r="G1771">
        <v>1520.52</v>
      </c>
      <c r="H1771">
        <v>1526.82</v>
      </c>
      <c r="I1771">
        <v>1515.53</v>
      </c>
      <c r="J1771">
        <v>4781986141</v>
      </c>
      <c r="K1771">
        <v>0</v>
      </c>
      <c r="L1771" s="2">
        <f>VLOOKUP(A1771,[1]aaabonddata!$A:$B,2,0)</f>
        <v>2.08</v>
      </c>
    </row>
    <row r="1772" spans="1:12" x14ac:dyDescent="0.2">
      <c r="A1772" s="3">
        <v>41341</v>
      </c>
      <c r="B1772" s="2">
        <v>2804.11</v>
      </c>
      <c r="C1772" s="2">
        <v>2812.73</v>
      </c>
      <c r="D1772" s="2">
        <v>2792.13</v>
      </c>
      <c r="E1772" s="2">
        <v>3245464578395</v>
      </c>
      <c r="F1772" s="2">
        <v>10737039</v>
      </c>
      <c r="G1772">
        <v>1522.98</v>
      </c>
      <c r="H1772">
        <v>1530.36</v>
      </c>
      <c r="I1772">
        <v>1516.28</v>
      </c>
      <c r="J1772">
        <v>4789719536</v>
      </c>
      <c r="K1772">
        <v>0</v>
      </c>
      <c r="L1772" s="2">
        <f>VLOOKUP(A1772,[1]aaabonddata!$A:$B,2,0)</f>
        <v>2.11</v>
      </c>
    </row>
    <row r="1773" spans="1:12" x14ac:dyDescent="0.2">
      <c r="A1773" s="3">
        <v>41344</v>
      </c>
      <c r="B1773" s="2">
        <v>2811.86</v>
      </c>
      <c r="C1773" s="2">
        <v>2812.05</v>
      </c>
      <c r="D1773" s="2">
        <v>2791.39</v>
      </c>
      <c r="E1773" s="2">
        <v>3254428559793</v>
      </c>
      <c r="F1773" s="2">
        <v>131410968</v>
      </c>
      <c r="G1773">
        <v>1525.94</v>
      </c>
      <c r="H1773">
        <v>1526.2</v>
      </c>
      <c r="I1773">
        <v>1516.2</v>
      </c>
      <c r="J1773">
        <v>4799051080</v>
      </c>
      <c r="K1773">
        <v>0</v>
      </c>
      <c r="L1773" s="2">
        <f>VLOOKUP(A1773,[1]aaabonddata!$A:$B,2,0)</f>
        <v>2.11</v>
      </c>
    </row>
    <row r="1774" spans="1:12" x14ac:dyDescent="0.2">
      <c r="A1774" s="3">
        <v>41345</v>
      </c>
      <c r="B1774" s="2">
        <v>2800.81</v>
      </c>
      <c r="C1774" s="2">
        <v>2809.53</v>
      </c>
      <c r="D1774" s="2">
        <v>2788.22</v>
      </c>
      <c r="E1774" s="2">
        <v>3241641650139</v>
      </c>
      <c r="F1774" s="2">
        <v>0</v>
      </c>
      <c r="G1774">
        <v>1525</v>
      </c>
      <c r="H1774">
        <v>1527.1</v>
      </c>
      <c r="I1774">
        <v>1514.61</v>
      </c>
      <c r="J1774">
        <v>4796084313</v>
      </c>
      <c r="K1774">
        <v>0</v>
      </c>
      <c r="L1774" s="2">
        <f>VLOOKUP(A1774,[1]aaabonddata!$A:$B,2,0)</f>
        <v>2.09</v>
      </c>
    </row>
    <row r="1775" spans="1:12" x14ac:dyDescent="0.2">
      <c r="A1775" s="3">
        <v>41346</v>
      </c>
      <c r="B1775" s="2">
        <v>2798.68</v>
      </c>
      <c r="C1775" s="2">
        <v>2807.7</v>
      </c>
      <c r="D1775" s="2">
        <v>2787.72</v>
      </c>
      <c r="E1775" s="2">
        <v>3239179842021</v>
      </c>
      <c r="F1775" s="2">
        <v>211768643</v>
      </c>
      <c r="G1775">
        <v>1526.77</v>
      </c>
      <c r="H1775">
        <v>1528.73</v>
      </c>
      <c r="I1775">
        <v>1517.29</v>
      </c>
      <c r="J1775">
        <v>4801657983</v>
      </c>
      <c r="K1775">
        <v>1095690</v>
      </c>
      <c r="L1775" s="2">
        <f>VLOOKUP(A1775,[1]aaabonddata!$A:$B,2,0)</f>
        <v>2.09</v>
      </c>
    </row>
    <row r="1776" spans="1:12" x14ac:dyDescent="0.2">
      <c r="A1776" s="3">
        <v>41347</v>
      </c>
      <c r="B1776" s="2">
        <v>2807.3</v>
      </c>
      <c r="C1776" s="2">
        <v>2812.29</v>
      </c>
      <c r="D1776" s="2">
        <v>2801.36</v>
      </c>
      <c r="E1776" s="2">
        <v>3249154264117</v>
      </c>
      <c r="F1776" s="2">
        <v>0</v>
      </c>
      <c r="G1776">
        <v>1533.24</v>
      </c>
      <c r="H1776">
        <v>1538.57</v>
      </c>
      <c r="I1776">
        <v>1530.55</v>
      </c>
      <c r="J1776">
        <v>4822000671</v>
      </c>
      <c r="K1776">
        <v>0</v>
      </c>
      <c r="L1776" s="2">
        <f>VLOOKUP(A1776,[1]aaabonddata!$A:$B,2,0)</f>
        <v>2.1</v>
      </c>
    </row>
    <row r="1777" spans="1:12" x14ac:dyDescent="0.2">
      <c r="A1777" s="3">
        <v>41348</v>
      </c>
      <c r="B1777" s="2">
        <v>2799.41</v>
      </c>
      <c r="C1777" s="2">
        <v>2810.24</v>
      </c>
      <c r="D1777" s="2">
        <v>2792.23</v>
      </c>
      <c r="E1777" s="2">
        <v>3240021236443</v>
      </c>
      <c r="F1777" s="2">
        <v>0</v>
      </c>
      <c r="G1777">
        <v>1515.93</v>
      </c>
      <c r="H1777">
        <v>1533.37</v>
      </c>
      <c r="I1777">
        <v>1512.57</v>
      </c>
      <c r="J1777">
        <v>4767553989</v>
      </c>
      <c r="K1777">
        <v>0</v>
      </c>
      <c r="L1777" s="2">
        <f>VLOOKUP(A1777,[1]aaabonddata!$A:$B,2,0)</f>
        <v>2.08</v>
      </c>
    </row>
    <row r="1778" spans="1:12" x14ac:dyDescent="0.2">
      <c r="A1778" s="3">
        <v>41351</v>
      </c>
      <c r="B1778" s="2">
        <v>2792.3</v>
      </c>
      <c r="C1778" s="2">
        <v>2803.45</v>
      </c>
      <c r="D1778" s="2">
        <v>2767.48</v>
      </c>
      <c r="E1778" s="2">
        <v>3251571862634</v>
      </c>
      <c r="F1778" s="2">
        <v>211602390</v>
      </c>
      <c r="G1778">
        <v>1503.1</v>
      </c>
      <c r="H1778">
        <v>1513</v>
      </c>
      <c r="I1778">
        <v>1491.64</v>
      </c>
      <c r="J1778">
        <v>4362752373</v>
      </c>
      <c r="K1778">
        <v>0</v>
      </c>
      <c r="L1778" s="2">
        <f>VLOOKUP(A1778,[1]aaabonddata!$A:$B,2,0)</f>
        <v>2.06</v>
      </c>
    </row>
    <row r="1779" spans="1:12" x14ac:dyDescent="0.2">
      <c r="A1779" s="3">
        <v>41352</v>
      </c>
      <c r="B1779" s="2">
        <v>2787.27</v>
      </c>
      <c r="C1779" s="2">
        <v>2807</v>
      </c>
      <c r="D1779" s="2">
        <v>2763.12</v>
      </c>
      <c r="E1779" s="2">
        <v>3245719457046</v>
      </c>
      <c r="F1779" s="2">
        <v>0</v>
      </c>
      <c r="G1779">
        <v>1496.29</v>
      </c>
      <c r="H1779">
        <v>1510.74</v>
      </c>
      <c r="I1779">
        <v>1484.17</v>
      </c>
      <c r="J1779">
        <v>4342997931</v>
      </c>
      <c r="K1779">
        <v>0</v>
      </c>
      <c r="L1779" s="2">
        <f>VLOOKUP(A1779,[1]aaabonddata!$A:$B,2,0)</f>
        <v>2.0299999999999998</v>
      </c>
    </row>
    <row r="1780" spans="1:12" x14ac:dyDescent="0.2">
      <c r="A1780" s="3">
        <v>41353</v>
      </c>
      <c r="B1780" s="2">
        <v>2805.91</v>
      </c>
      <c r="C1780" s="2">
        <v>2811.48</v>
      </c>
      <c r="D1780" s="2">
        <v>2794.23</v>
      </c>
      <c r="E1780" s="2">
        <v>3267423119588</v>
      </c>
      <c r="F1780" s="2">
        <v>0</v>
      </c>
      <c r="G1780">
        <v>1513.29</v>
      </c>
      <c r="H1780">
        <v>1516.06</v>
      </c>
      <c r="I1780">
        <v>1504.66</v>
      </c>
      <c r="J1780">
        <v>4392324014</v>
      </c>
      <c r="K1780">
        <v>0</v>
      </c>
      <c r="L1780" s="2">
        <f>VLOOKUP(A1780,[1]aaabonddata!$A:$B,2,0)</f>
        <v>2.0499999999999998</v>
      </c>
    </row>
    <row r="1781" spans="1:12" x14ac:dyDescent="0.2">
      <c r="A1781" s="3">
        <v>41354</v>
      </c>
      <c r="B1781" s="2">
        <v>2774.85</v>
      </c>
      <c r="C1781" s="2">
        <v>2787.85</v>
      </c>
      <c r="D1781" s="2">
        <v>2768.79</v>
      </c>
      <c r="E1781" s="2">
        <v>3231255859348</v>
      </c>
      <c r="F1781" s="2">
        <v>46787754</v>
      </c>
      <c r="G1781">
        <v>1497.43</v>
      </c>
      <c r="H1781">
        <v>1505.41</v>
      </c>
      <c r="I1781">
        <v>1492.15</v>
      </c>
      <c r="J1781">
        <v>4346309034</v>
      </c>
      <c r="K1781">
        <v>527631</v>
      </c>
      <c r="L1781" s="2">
        <f>VLOOKUP(A1781,[1]aaabonddata!$A:$B,2,0)</f>
        <v>2.0499999999999998</v>
      </c>
    </row>
    <row r="1782" spans="1:12" x14ac:dyDescent="0.2">
      <c r="A1782" s="3">
        <v>41355</v>
      </c>
      <c r="B1782" s="2">
        <v>2800.81</v>
      </c>
      <c r="C1782" s="2">
        <v>2803.96</v>
      </c>
      <c r="D1782" s="2">
        <v>2783.69</v>
      </c>
      <c r="E1782" s="2">
        <v>3261479533508</v>
      </c>
      <c r="F1782" s="2">
        <v>0</v>
      </c>
      <c r="G1782">
        <v>1507.05</v>
      </c>
      <c r="H1782">
        <v>1510.91</v>
      </c>
      <c r="I1782">
        <v>1500.51</v>
      </c>
      <c r="J1782">
        <v>4374233847</v>
      </c>
      <c r="K1782">
        <v>0</v>
      </c>
      <c r="L1782" s="2">
        <f>VLOOKUP(A1782,[1]aaabonddata!$A:$B,2,0)</f>
        <v>2.04</v>
      </c>
    </row>
    <row r="1783" spans="1:12" x14ac:dyDescent="0.2">
      <c r="A1783" s="3">
        <v>41358</v>
      </c>
      <c r="B1783" s="2">
        <v>2789.45</v>
      </c>
      <c r="C1783" s="2">
        <v>2816.55</v>
      </c>
      <c r="D1783" s="2">
        <v>2778.78</v>
      </c>
      <c r="E1783" s="2">
        <v>3248253348218</v>
      </c>
      <c r="F1783" s="2">
        <v>0</v>
      </c>
      <c r="G1783">
        <v>1499.32</v>
      </c>
      <c r="H1783">
        <v>1512.33</v>
      </c>
      <c r="I1783">
        <v>1493.15</v>
      </c>
      <c r="J1783">
        <v>4351792188</v>
      </c>
      <c r="K1783">
        <v>0</v>
      </c>
      <c r="L1783" s="2">
        <f>VLOOKUP(A1783,[1]aaabonddata!$A:$B,2,0)</f>
        <v>2.04</v>
      </c>
    </row>
    <row r="1784" spans="1:12" x14ac:dyDescent="0.2">
      <c r="A1784" s="3">
        <v>41359</v>
      </c>
      <c r="B1784" s="2">
        <v>2806.5</v>
      </c>
      <c r="C1784" s="2">
        <v>2807.18</v>
      </c>
      <c r="D1784" s="2">
        <v>2796.39</v>
      </c>
      <c r="E1784" s="2">
        <v>3268105529375</v>
      </c>
      <c r="F1784" s="2">
        <v>446231258</v>
      </c>
      <c r="G1784">
        <v>1511.4</v>
      </c>
      <c r="H1784">
        <v>1514.97</v>
      </c>
      <c r="I1784">
        <v>1504.73</v>
      </c>
      <c r="J1784">
        <v>4386841704</v>
      </c>
      <c r="K1784">
        <v>498405</v>
      </c>
      <c r="L1784" s="2">
        <f>VLOOKUP(A1784,[1]aaabonddata!$A:$B,2,0)</f>
        <v>2.04</v>
      </c>
    </row>
    <row r="1785" spans="1:12" x14ac:dyDescent="0.2">
      <c r="A1785" s="3">
        <v>41360</v>
      </c>
      <c r="B1785" s="2">
        <v>2809.98</v>
      </c>
      <c r="C1785" s="2">
        <v>2811.79</v>
      </c>
      <c r="D1785" s="2">
        <v>2783.86</v>
      </c>
      <c r="E1785" s="2">
        <v>3272167365664</v>
      </c>
      <c r="F1785" s="2">
        <v>370265428</v>
      </c>
      <c r="G1785">
        <v>1515.21</v>
      </c>
      <c r="H1785">
        <v>1517.64</v>
      </c>
      <c r="I1785">
        <v>1498.65</v>
      </c>
      <c r="J1785">
        <v>4397921472</v>
      </c>
      <c r="K1785">
        <v>559050</v>
      </c>
      <c r="L1785" s="2">
        <f>VLOOKUP(A1785,[1]aaabonddata!$A:$B,2,0)</f>
        <v>2.0099999999999998</v>
      </c>
    </row>
    <row r="1786" spans="1:12" x14ac:dyDescent="0.2">
      <c r="A1786" s="3">
        <v>41361</v>
      </c>
      <c r="B1786" s="2">
        <v>2818.69</v>
      </c>
      <c r="C1786" s="2">
        <v>2820.67</v>
      </c>
      <c r="D1786" s="2">
        <v>2804.53</v>
      </c>
      <c r="E1786" s="2">
        <v>3282304235061</v>
      </c>
      <c r="F1786" s="2">
        <v>0</v>
      </c>
      <c r="G1786">
        <v>1524.44</v>
      </c>
      <c r="H1786">
        <v>1525.46</v>
      </c>
      <c r="I1786">
        <v>1510.38</v>
      </c>
      <c r="J1786">
        <v>4424695954</v>
      </c>
      <c r="K1786">
        <v>0</v>
      </c>
      <c r="L1786" s="2">
        <f>VLOOKUP(A1786,[1]aaabonddata!$A:$B,2,0)</f>
        <v>2.0299999999999998</v>
      </c>
    </row>
    <row r="1787" spans="1:12" x14ac:dyDescent="0.2">
      <c r="A1787" s="3">
        <v>41365</v>
      </c>
      <c r="B1787" s="2">
        <v>2797.07</v>
      </c>
      <c r="C1787" s="2">
        <v>2821.48</v>
      </c>
      <c r="D1787" s="2">
        <v>2789.76</v>
      </c>
      <c r="E1787" s="2">
        <v>3257125775465</v>
      </c>
      <c r="F1787" s="2">
        <v>413844334</v>
      </c>
      <c r="G1787">
        <v>1506.74</v>
      </c>
      <c r="H1787">
        <v>1523.13</v>
      </c>
      <c r="I1787">
        <v>1502.62</v>
      </c>
      <c r="J1787">
        <v>4373333797</v>
      </c>
      <c r="K1787">
        <v>0</v>
      </c>
      <c r="L1787" s="2">
        <f>VLOOKUP(A1787,[1]aaabonddata!$A:$B,2,0)</f>
        <v>2.02</v>
      </c>
    </row>
    <row r="1788" spans="1:12" x14ac:dyDescent="0.2">
      <c r="A1788" s="3">
        <v>41366</v>
      </c>
      <c r="B1788" s="2">
        <v>2820.62</v>
      </c>
      <c r="C1788" s="2">
        <v>2828.64</v>
      </c>
      <c r="D1788" s="2">
        <v>2808.72</v>
      </c>
      <c r="E1788" s="2">
        <v>3284556769075</v>
      </c>
      <c r="F1788" s="2">
        <v>0</v>
      </c>
      <c r="G1788">
        <v>1510.49</v>
      </c>
      <c r="H1788">
        <v>1519.34</v>
      </c>
      <c r="I1788">
        <v>1505.68</v>
      </c>
      <c r="J1788">
        <v>4384207789</v>
      </c>
      <c r="K1788">
        <v>0</v>
      </c>
      <c r="L1788" s="2">
        <f>VLOOKUP(A1788,[1]aaabonddata!$A:$B,2,0)</f>
        <v>2.0299999999999998</v>
      </c>
    </row>
    <row r="1789" spans="1:12" x14ac:dyDescent="0.2">
      <c r="A1789" s="3">
        <v>41367</v>
      </c>
      <c r="B1789" s="2">
        <v>2795.04</v>
      </c>
      <c r="C1789" s="2">
        <v>2825.28</v>
      </c>
      <c r="D1789" s="2">
        <v>2787.27</v>
      </c>
      <c r="E1789" s="2">
        <v>3254761387426</v>
      </c>
      <c r="F1789" s="2">
        <v>0</v>
      </c>
      <c r="G1789">
        <v>1492.11</v>
      </c>
      <c r="H1789">
        <v>1515.34</v>
      </c>
      <c r="I1789">
        <v>1488.03</v>
      </c>
      <c r="J1789">
        <v>4330852930</v>
      </c>
      <c r="K1789">
        <v>0</v>
      </c>
      <c r="L1789" s="2">
        <f>VLOOKUP(A1789,[1]aaabonddata!$A:$B,2,0)</f>
        <v>1.99</v>
      </c>
    </row>
    <row r="1790" spans="1:12" x14ac:dyDescent="0.2">
      <c r="A1790" s="3">
        <v>41368</v>
      </c>
      <c r="B1790" s="2">
        <v>2794.92</v>
      </c>
      <c r="C1790" s="2">
        <v>2800.59</v>
      </c>
      <c r="D1790" s="2">
        <v>2779.34</v>
      </c>
      <c r="E1790" s="2">
        <v>3254630752895</v>
      </c>
      <c r="F1790" s="2">
        <v>906435563</v>
      </c>
      <c r="G1790">
        <v>1496.33</v>
      </c>
      <c r="H1790">
        <v>1497.16</v>
      </c>
      <c r="I1790">
        <v>1486.78</v>
      </c>
      <c r="J1790">
        <v>4343119465</v>
      </c>
      <c r="K1790">
        <v>774840</v>
      </c>
      <c r="L1790" s="2">
        <f>VLOOKUP(A1790,[1]aaabonddata!$A:$B,2,0)</f>
        <v>1.97</v>
      </c>
    </row>
    <row r="1791" spans="1:12" x14ac:dyDescent="0.2">
      <c r="A1791" s="3">
        <v>41369</v>
      </c>
      <c r="B1791" s="2">
        <v>2771.75</v>
      </c>
      <c r="C1791" s="2">
        <v>2774.54</v>
      </c>
      <c r="D1791" s="2">
        <v>2744.26</v>
      </c>
      <c r="E1791" s="2">
        <v>3227645887381</v>
      </c>
      <c r="F1791" s="2">
        <v>0</v>
      </c>
      <c r="G1791">
        <v>1481.19</v>
      </c>
      <c r="H1791">
        <v>1482.68</v>
      </c>
      <c r="I1791">
        <v>1457.21</v>
      </c>
      <c r="J1791">
        <v>4299169375</v>
      </c>
      <c r="K1791">
        <v>0</v>
      </c>
      <c r="L1791" s="2">
        <f>VLOOKUP(A1791,[1]aaabonddata!$A:$B,2,0)</f>
        <v>1.93</v>
      </c>
    </row>
    <row r="1792" spans="1:12" x14ac:dyDescent="0.2">
      <c r="A1792" s="3">
        <v>41372</v>
      </c>
      <c r="B1792" s="2">
        <v>2786.13</v>
      </c>
      <c r="C1792" s="2">
        <v>2786.13</v>
      </c>
      <c r="D1792" s="2">
        <v>2764.34</v>
      </c>
      <c r="E1792" s="2">
        <v>3244388608401</v>
      </c>
      <c r="F1792" s="2">
        <v>50344326</v>
      </c>
      <c r="G1792">
        <v>1486.31</v>
      </c>
      <c r="H1792">
        <v>1486.31</v>
      </c>
      <c r="I1792">
        <v>1470.63</v>
      </c>
      <c r="J1792">
        <v>4314023557</v>
      </c>
      <c r="K1792">
        <v>259859</v>
      </c>
      <c r="L1792" s="2">
        <f>VLOOKUP(A1792,[1]aaabonddata!$A:$B,2,0)</f>
        <v>1.95</v>
      </c>
    </row>
    <row r="1793" spans="1:12" x14ac:dyDescent="0.2">
      <c r="A1793" s="3">
        <v>41373</v>
      </c>
      <c r="B1793" s="2">
        <v>2804.67</v>
      </c>
      <c r="C1793" s="2">
        <v>2815.07</v>
      </c>
      <c r="D1793" s="2">
        <v>2780.2</v>
      </c>
      <c r="E1793" s="2">
        <v>3265973621873</v>
      </c>
      <c r="F1793" s="2">
        <v>0</v>
      </c>
      <c r="G1793">
        <v>1498.09</v>
      </c>
      <c r="H1793">
        <v>1504.89</v>
      </c>
      <c r="I1793">
        <v>1482.6</v>
      </c>
      <c r="J1793">
        <v>4348215201</v>
      </c>
      <c r="K1793">
        <v>0</v>
      </c>
      <c r="L1793" s="2">
        <f>VLOOKUP(A1793,[1]aaabonddata!$A:$B,2,0)</f>
        <v>1.96</v>
      </c>
    </row>
    <row r="1794" spans="1:12" x14ac:dyDescent="0.2">
      <c r="A1794" s="3">
        <v>41374</v>
      </c>
      <c r="B1794" s="2">
        <v>2859.21</v>
      </c>
      <c r="C1794" s="2">
        <v>2862.32</v>
      </c>
      <c r="D1794" s="2">
        <v>2811.85</v>
      </c>
      <c r="E1794" s="2">
        <v>3329488460513</v>
      </c>
      <c r="F1794" s="2">
        <v>37066396</v>
      </c>
      <c r="G1794">
        <v>1531.1</v>
      </c>
      <c r="H1794">
        <v>1534.58</v>
      </c>
      <c r="I1794">
        <v>1503.66</v>
      </c>
      <c r="J1794">
        <v>4444017564</v>
      </c>
      <c r="K1794">
        <v>0</v>
      </c>
      <c r="L1794" s="2">
        <f>VLOOKUP(A1794,[1]aaabonddata!$A:$B,2,0)</f>
        <v>1.99</v>
      </c>
    </row>
    <row r="1795" spans="1:12" x14ac:dyDescent="0.2">
      <c r="A1795" s="3">
        <v>41375</v>
      </c>
      <c r="B1795" s="2">
        <v>2859.07</v>
      </c>
      <c r="C1795" s="2">
        <v>2863.66</v>
      </c>
      <c r="D1795" s="2">
        <v>2848.03</v>
      </c>
      <c r="E1795" s="2">
        <v>3329325634305</v>
      </c>
      <c r="F1795" s="2">
        <v>0</v>
      </c>
      <c r="G1795">
        <v>1528.43</v>
      </c>
      <c r="H1795">
        <v>1531.24</v>
      </c>
      <c r="I1795">
        <v>1519.83</v>
      </c>
      <c r="J1795">
        <v>4436288850</v>
      </c>
      <c r="K1795">
        <v>0</v>
      </c>
      <c r="L1795" s="2">
        <f>VLOOKUP(A1795,[1]aaabonddata!$A:$B,2,0)</f>
        <v>1.98</v>
      </c>
    </row>
    <row r="1796" spans="1:12" x14ac:dyDescent="0.2">
      <c r="A1796" s="3">
        <v>41376</v>
      </c>
      <c r="B1796" s="2">
        <v>2856.48</v>
      </c>
      <c r="C1796" s="2">
        <v>2857.35</v>
      </c>
      <c r="D1796" s="2">
        <v>2834.46</v>
      </c>
      <c r="E1796" s="2">
        <v>3326311865170</v>
      </c>
      <c r="F1796" s="2">
        <v>0</v>
      </c>
      <c r="G1796">
        <v>1522.39</v>
      </c>
      <c r="H1796">
        <v>1525.1</v>
      </c>
      <c r="I1796">
        <v>1509.43</v>
      </c>
      <c r="J1796">
        <v>4418748486</v>
      </c>
      <c r="K1796">
        <v>0</v>
      </c>
      <c r="L1796" s="2">
        <f>VLOOKUP(A1796,[1]aaabonddata!$A:$B,2,0)</f>
        <v>1.94</v>
      </c>
    </row>
    <row r="1797" spans="1:12" x14ac:dyDescent="0.2">
      <c r="A1797" s="3">
        <v>41379</v>
      </c>
      <c r="B1797" s="2">
        <v>2797.47</v>
      </c>
      <c r="C1797" s="2">
        <v>2849.16</v>
      </c>
      <c r="D1797" s="2">
        <v>2796.39</v>
      </c>
      <c r="E1797" s="2">
        <v>3257599468272</v>
      </c>
      <c r="F1797" s="2">
        <v>0</v>
      </c>
      <c r="G1797">
        <v>1488.59</v>
      </c>
      <c r="H1797">
        <v>1520.98</v>
      </c>
      <c r="I1797">
        <v>1486.62</v>
      </c>
      <c r="J1797">
        <v>4320641187</v>
      </c>
      <c r="K1797">
        <v>0</v>
      </c>
      <c r="L1797" s="2">
        <f>VLOOKUP(A1797,[1]aaabonddata!$A:$B,2,0)</f>
        <v>1.93</v>
      </c>
    </row>
    <row r="1798" spans="1:12" x14ac:dyDescent="0.2">
      <c r="A1798" s="3">
        <v>41380</v>
      </c>
      <c r="B1798" s="2">
        <v>2838.41</v>
      </c>
      <c r="C1798" s="2">
        <v>2839.38</v>
      </c>
      <c r="D1798" s="2">
        <v>2810.02</v>
      </c>
      <c r="E1798" s="2">
        <v>3305266461939</v>
      </c>
      <c r="F1798" s="2">
        <v>0</v>
      </c>
      <c r="G1798">
        <v>1511.67</v>
      </c>
      <c r="H1798">
        <v>1512.72</v>
      </c>
      <c r="I1798">
        <v>1496.72</v>
      </c>
      <c r="J1798">
        <v>4387637148</v>
      </c>
      <c r="K1798">
        <v>0</v>
      </c>
      <c r="L1798" s="2">
        <f>VLOOKUP(A1798,[1]aaabonddata!$A:$B,2,0)</f>
        <v>1.95</v>
      </c>
    </row>
    <row r="1799" spans="1:12" x14ac:dyDescent="0.2">
      <c r="A1799" s="3">
        <v>41381</v>
      </c>
      <c r="B1799" s="2">
        <v>2781.98</v>
      </c>
      <c r="C1799" s="2">
        <v>2812.46</v>
      </c>
      <c r="D1799" s="2">
        <v>2765.45</v>
      </c>
      <c r="E1799" s="2">
        <v>3239553679627</v>
      </c>
      <c r="F1799" s="2">
        <v>0</v>
      </c>
      <c r="G1799">
        <v>1476.02</v>
      </c>
      <c r="H1799">
        <v>1494.91</v>
      </c>
      <c r="I1799">
        <v>1468.29</v>
      </c>
      <c r="J1799">
        <v>4284154742</v>
      </c>
      <c r="K1799">
        <v>0</v>
      </c>
      <c r="L1799" s="2">
        <f>VLOOKUP(A1799,[1]aaabonddata!$A:$B,2,0)</f>
        <v>1.95</v>
      </c>
    </row>
    <row r="1800" spans="1:12" x14ac:dyDescent="0.2">
      <c r="A1800" s="3">
        <v>41382</v>
      </c>
      <c r="B1800" s="2">
        <v>2741.95</v>
      </c>
      <c r="C1800" s="2">
        <v>2788.19</v>
      </c>
      <c r="D1800" s="2">
        <v>2730.97</v>
      </c>
      <c r="E1800" s="2">
        <v>3192941818950</v>
      </c>
      <c r="F1800" s="2">
        <v>0</v>
      </c>
      <c r="G1800">
        <v>1454.97</v>
      </c>
      <c r="H1800">
        <v>1485</v>
      </c>
      <c r="I1800">
        <v>1450.67</v>
      </c>
      <c r="J1800">
        <v>4223062827</v>
      </c>
      <c r="K1800">
        <v>0</v>
      </c>
      <c r="L1800" s="2">
        <f>VLOOKUP(A1800,[1]aaabonddata!$A:$B,2,0)</f>
        <v>1.94</v>
      </c>
    </row>
    <row r="1801" spans="1:12" x14ac:dyDescent="0.2">
      <c r="A1801" s="3">
        <v>41383</v>
      </c>
      <c r="B1801" s="2">
        <v>2780.46</v>
      </c>
      <c r="C1801" s="2">
        <v>2785.65</v>
      </c>
      <c r="D1801" s="2">
        <v>2743.4</v>
      </c>
      <c r="E1801" s="2">
        <v>3237791099649</v>
      </c>
      <c r="F1801" s="2">
        <v>0</v>
      </c>
      <c r="G1801">
        <v>1457.66</v>
      </c>
      <c r="H1801">
        <v>1463.7</v>
      </c>
      <c r="I1801">
        <v>1442.01</v>
      </c>
      <c r="J1801">
        <v>4230861225</v>
      </c>
      <c r="K1801">
        <v>0</v>
      </c>
      <c r="L1801" s="2">
        <f>VLOOKUP(A1801,[1]aaabonddata!$A:$B,2,0)</f>
        <v>1.95</v>
      </c>
    </row>
    <row r="1802" spans="1:12" x14ac:dyDescent="0.2">
      <c r="A1802" s="3">
        <v>41386</v>
      </c>
      <c r="B1802" s="2">
        <v>2810.07</v>
      </c>
      <c r="C1802" s="2">
        <v>2818.73</v>
      </c>
      <c r="D1802" s="2">
        <v>2780.82</v>
      </c>
      <c r="E1802" s="2">
        <v>3272267082807</v>
      </c>
      <c r="F1802" s="2">
        <v>0</v>
      </c>
      <c r="G1802">
        <v>1468.74</v>
      </c>
      <c r="H1802">
        <v>1473.99</v>
      </c>
      <c r="I1802">
        <v>1450.43</v>
      </c>
      <c r="J1802">
        <v>4263037346</v>
      </c>
      <c r="K1802">
        <v>0</v>
      </c>
      <c r="L1802" s="2">
        <f>VLOOKUP(A1802,[1]aaabonddata!$A:$B,2,0)</f>
        <v>1.94</v>
      </c>
    </row>
    <row r="1803" spans="1:12" x14ac:dyDescent="0.2">
      <c r="A1803" s="3">
        <v>41387</v>
      </c>
      <c r="B1803" s="2">
        <v>2835.37</v>
      </c>
      <c r="C1803" s="2">
        <v>2845.4</v>
      </c>
      <c r="D1803" s="2">
        <v>2810.76</v>
      </c>
      <c r="E1803" s="2">
        <v>3301724948417</v>
      </c>
      <c r="F1803" s="2">
        <v>0</v>
      </c>
      <c r="G1803">
        <v>1493.03</v>
      </c>
      <c r="H1803">
        <v>1496.48</v>
      </c>
      <c r="I1803">
        <v>1476.77</v>
      </c>
      <c r="J1803">
        <v>4333529762</v>
      </c>
      <c r="K1803">
        <v>0</v>
      </c>
      <c r="L1803" s="2">
        <f>VLOOKUP(A1803,[1]aaabonddata!$A:$B,2,0)</f>
        <v>1.94</v>
      </c>
    </row>
    <row r="1804" spans="1:12" x14ac:dyDescent="0.2">
      <c r="A1804" s="3">
        <v>41388</v>
      </c>
      <c r="B1804" s="2">
        <v>2834.12</v>
      </c>
      <c r="C1804" s="2">
        <v>2844.95</v>
      </c>
      <c r="D1804" s="2">
        <v>2821.8</v>
      </c>
      <c r="E1804" s="2">
        <v>3300270059225</v>
      </c>
      <c r="F1804" s="2">
        <v>0</v>
      </c>
      <c r="G1804">
        <v>1504.18</v>
      </c>
      <c r="H1804">
        <v>1508.91</v>
      </c>
      <c r="I1804">
        <v>1495.39</v>
      </c>
      <c r="J1804">
        <v>4365884771</v>
      </c>
      <c r="K1804">
        <v>0</v>
      </c>
      <c r="L1804" s="2">
        <f>VLOOKUP(A1804,[1]aaabonddata!$A:$B,2,0)</f>
        <v>1.94</v>
      </c>
    </row>
    <row r="1805" spans="1:12" x14ac:dyDescent="0.2">
      <c r="A1805" s="3">
        <v>41389</v>
      </c>
      <c r="B1805" s="2">
        <v>2848.66</v>
      </c>
      <c r="C1805" s="2">
        <v>2860.69</v>
      </c>
      <c r="D1805" s="2">
        <v>2841.02</v>
      </c>
      <c r="E1805" s="2">
        <v>3317198470775</v>
      </c>
      <c r="F1805" s="2">
        <v>0</v>
      </c>
      <c r="G1805">
        <v>1515.91</v>
      </c>
      <c r="H1805">
        <v>1525.87</v>
      </c>
      <c r="I1805">
        <v>1508.44</v>
      </c>
      <c r="J1805">
        <v>4399942878</v>
      </c>
      <c r="K1805">
        <v>0</v>
      </c>
      <c r="L1805" s="2">
        <f>VLOOKUP(A1805,[1]aaabonddata!$A:$B,2,0)</f>
        <v>1.95</v>
      </c>
    </row>
    <row r="1806" spans="1:12" x14ac:dyDescent="0.2">
      <c r="A1806" s="3">
        <v>41390</v>
      </c>
      <c r="B1806" s="2">
        <v>2840.55</v>
      </c>
      <c r="C1806" s="2">
        <v>2848.53</v>
      </c>
      <c r="D1806" s="2">
        <v>2828.88</v>
      </c>
      <c r="E1806" s="2">
        <v>3307756112509</v>
      </c>
      <c r="F1806" s="2">
        <v>309340469</v>
      </c>
      <c r="G1806">
        <v>1504.34</v>
      </c>
      <c r="H1806">
        <v>1508.72</v>
      </c>
      <c r="I1806">
        <v>1500.76</v>
      </c>
      <c r="J1806">
        <v>4366349021</v>
      </c>
      <c r="K1806">
        <v>798176</v>
      </c>
      <c r="L1806" s="2">
        <f>VLOOKUP(A1806,[1]aaabonddata!$A:$B,2,0)</f>
        <v>1.92</v>
      </c>
    </row>
    <row r="1807" spans="1:12" x14ac:dyDescent="0.2">
      <c r="A1807" s="3">
        <v>41393</v>
      </c>
      <c r="B1807" s="2">
        <v>2866.95</v>
      </c>
      <c r="C1807" s="2">
        <v>2877.08</v>
      </c>
      <c r="D1807" s="2">
        <v>2849.04</v>
      </c>
      <c r="E1807" s="2">
        <v>3338497687133</v>
      </c>
      <c r="F1807" s="2">
        <v>0</v>
      </c>
      <c r="G1807">
        <v>1518.57</v>
      </c>
      <c r="H1807">
        <v>1521.68</v>
      </c>
      <c r="I1807">
        <v>1507.49</v>
      </c>
      <c r="J1807">
        <v>4407661721</v>
      </c>
      <c r="K1807">
        <v>0</v>
      </c>
      <c r="L1807" s="2">
        <f>VLOOKUP(A1807,[1]aaabonddata!$A:$B,2,0)</f>
        <v>1.93</v>
      </c>
    </row>
    <row r="1808" spans="1:12" x14ac:dyDescent="0.2">
      <c r="A1808" s="3">
        <v>41394</v>
      </c>
      <c r="B1808" s="2">
        <v>2887.44</v>
      </c>
      <c r="C1808" s="2">
        <v>2887.87</v>
      </c>
      <c r="D1808" s="2">
        <v>2859.94</v>
      </c>
      <c r="E1808" s="2">
        <v>3362365301895</v>
      </c>
      <c r="F1808" s="2">
        <v>59327025</v>
      </c>
      <c r="G1808">
        <v>1524.59</v>
      </c>
      <c r="H1808">
        <v>1524.59</v>
      </c>
      <c r="I1808">
        <v>1504.92</v>
      </c>
      <c r="J1808">
        <v>4425150002</v>
      </c>
      <c r="K1808">
        <v>0</v>
      </c>
      <c r="L1808" s="2">
        <f>VLOOKUP(A1808,[1]aaabonddata!$A:$B,2,0)</f>
        <v>1.93</v>
      </c>
    </row>
    <row r="1809" spans="1:12" x14ac:dyDescent="0.2">
      <c r="A1809" s="3">
        <v>41395</v>
      </c>
      <c r="B1809" s="2">
        <v>2873.35</v>
      </c>
      <c r="C1809" s="2">
        <v>2892.26</v>
      </c>
      <c r="D1809" s="2">
        <v>2868.76</v>
      </c>
      <c r="E1809" s="2">
        <v>3345950660482</v>
      </c>
      <c r="F1809" s="2">
        <v>0</v>
      </c>
      <c r="G1809">
        <v>1510.87</v>
      </c>
      <c r="H1809">
        <v>1524.85</v>
      </c>
      <c r="I1809">
        <v>1508.83</v>
      </c>
      <c r="J1809">
        <v>4385314000</v>
      </c>
      <c r="K1809">
        <v>0</v>
      </c>
      <c r="L1809" s="2">
        <f>VLOOKUP(A1809,[1]aaabonddata!$A:$B,2,0)</f>
        <v>1.91</v>
      </c>
    </row>
    <row r="1810" spans="1:12" x14ac:dyDescent="0.2">
      <c r="A1810" s="3">
        <v>41396</v>
      </c>
      <c r="B1810" s="2">
        <v>2911.14</v>
      </c>
      <c r="C1810" s="2">
        <v>2916.3</v>
      </c>
      <c r="D1810" s="2">
        <v>2877.26</v>
      </c>
      <c r="E1810" s="2">
        <v>3389955076533</v>
      </c>
      <c r="F1810" s="2">
        <v>0</v>
      </c>
      <c r="G1810">
        <v>1529.95</v>
      </c>
      <c r="H1810">
        <v>1531.48</v>
      </c>
      <c r="I1810">
        <v>1510.02</v>
      </c>
      <c r="J1810">
        <v>4440688683</v>
      </c>
      <c r="K1810">
        <v>0</v>
      </c>
      <c r="L1810" s="2">
        <f>VLOOKUP(A1810,[1]aaabonddata!$A:$B,2,0)</f>
        <v>1.91</v>
      </c>
    </row>
    <row r="1811" spans="1:12" x14ac:dyDescent="0.2">
      <c r="A1811" s="3">
        <v>41397</v>
      </c>
      <c r="B1811" s="2">
        <v>2944.59</v>
      </c>
      <c r="C1811" s="2">
        <v>2952.22</v>
      </c>
      <c r="D1811" s="2">
        <v>2937.24</v>
      </c>
      <c r="E1811" s="2">
        <v>3428913607487</v>
      </c>
      <c r="F1811" s="2">
        <v>1112850000</v>
      </c>
      <c r="G1811">
        <v>1545.59</v>
      </c>
      <c r="H1811">
        <v>1551.81</v>
      </c>
      <c r="I1811">
        <v>1541.23</v>
      </c>
      <c r="J1811">
        <v>4486094220</v>
      </c>
      <c r="K1811">
        <v>1051893</v>
      </c>
      <c r="L1811" s="2">
        <f>VLOOKUP(A1811,[1]aaabonddata!$A:$B,2,0)</f>
        <v>1.97</v>
      </c>
    </row>
    <row r="1812" spans="1:12" x14ac:dyDescent="0.2">
      <c r="A1812" s="3">
        <v>41400</v>
      </c>
      <c r="B1812" s="2">
        <v>2955.36</v>
      </c>
      <c r="C1812" s="2">
        <v>2959.63</v>
      </c>
      <c r="D1812" s="2">
        <v>2947.47</v>
      </c>
      <c r="E1812" s="2">
        <v>3441457326951</v>
      </c>
      <c r="F1812" s="2">
        <v>0</v>
      </c>
      <c r="G1812">
        <v>1553.78</v>
      </c>
      <c r="H1812">
        <v>1556.53</v>
      </c>
      <c r="I1812">
        <v>1547.1</v>
      </c>
      <c r="J1812">
        <v>4509851928</v>
      </c>
      <c r="K1812">
        <v>0</v>
      </c>
      <c r="L1812" s="2">
        <f>VLOOKUP(A1812,[1]aaabonddata!$A:$B,2,0)</f>
        <v>1.98</v>
      </c>
    </row>
    <row r="1813" spans="1:12" x14ac:dyDescent="0.2">
      <c r="A1813" s="3">
        <v>41401</v>
      </c>
      <c r="B1813" s="2">
        <v>2952.88</v>
      </c>
      <c r="C1813" s="2">
        <v>2961.76</v>
      </c>
      <c r="D1813" s="2">
        <v>2942.25</v>
      </c>
      <c r="E1813" s="2">
        <v>3438569097704</v>
      </c>
      <c r="F1813" s="2">
        <v>268993360</v>
      </c>
      <c r="G1813">
        <v>1553.75</v>
      </c>
      <c r="H1813">
        <v>1560.25</v>
      </c>
      <c r="I1813">
        <v>1547.6</v>
      </c>
      <c r="J1813">
        <v>4509785192</v>
      </c>
      <c r="K1813">
        <v>0</v>
      </c>
      <c r="L1813" s="2">
        <f>VLOOKUP(A1813,[1]aaabonddata!$A:$B,2,0)</f>
        <v>1.99</v>
      </c>
    </row>
    <row r="1814" spans="1:12" x14ac:dyDescent="0.2">
      <c r="A1814" s="3">
        <v>41402</v>
      </c>
      <c r="B1814" s="2">
        <v>2968.24</v>
      </c>
      <c r="C1814" s="2">
        <v>2969.66</v>
      </c>
      <c r="D1814" s="2">
        <v>2946.79</v>
      </c>
      <c r="E1814" s="2">
        <v>3456452550623</v>
      </c>
      <c r="F1814" s="2">
        <v>56917678</v>
      </c>
      <c r="G1814">
        <v>1564.35</v>
      </c>
      <c r="H1814">
        <v>1565.51</v>
      </c>
      <c r="I1814">
        <v>1548.68</v>
      </c>
      <c r="J1814">
        <v>4540538855</v>
      </c>
      <c r="K1814">
        <v>284495</v>
      </c>
      <c r="L1814" s="2">
        <f>VLOOKUP(A1814,[1]aaabonddata!$A:$B,2,0)</f>
        <v>1.98</v>
      </c>
    </row>
    <row r="1815" spans="1:12" x14ac:dyDescent="0.2">
      <c r="A1815" s="3">
        <v>41403</v>
      </c>
      <c r="B1815" s="2">
        <v>2961.12</v>
      </c>
      <c r="C1815" s="2">
        <v>2980.36</v>
      </c>
      <c r="D1815" s="2">
        <v>2955.7</v>
      </c>
      <c r="E1815" s="2">
        <v>3448160489028</v>
      </c>
      <c r="F1815" s="2">
        <v>2930584804</v>
      </c>
      <c r="G1815">
        <v>1560.32</v>
      </c>
      <c r="H1815">
        <v>1566.73</v>
      </c>
      <c r="I1815">
        <v>1556.02</v>
      </c>
      <c r="J1815">
        <v>4528847411</v>
      </c>
      <c r="K1815">
        <v>1446470</v>
      </c>
      <c r="L1815" s="2">
        <f>VLOOKUP(A1815,[1]aaabonddata!$A:$B,2,0)</f>
        <v>1.99</v>
      </c>
    </row>
    <row r="1816" spans="1:12" x14ac:dyDescent="0.2">
      <c r="A1816" s="3">
        <v>41404</v>
      </c>
      <c r="B1816" s="2">
        <v>2981.02</v>
      </c>
      <c r="C1816" s="2">
        <v>2981.02</v>
      </c>
      <c r="D1816" s="2">
        <v>2962.69</v>
      </c>
      <c r="E1816" s="2">
        <v>3471333780250</v>
      </c>
      <c r="F1816" s="2">
        <v>0</v>
      </c>
      <c r="G1816">
        <v>1572.35</v>
      </c>
      <c r="H1816">
        <v>1572.35</v>
      </c>
      <c r="I1816">
        <v>1563.1</v>
      </c>
      <c r="J1816">
        <v>4563754206</v>
      </c>
      <c r="K1816">
        <v>0</v>
      </c>
      <c r="L1816" s="2">
        <f>VLOOKUP(A1816,[1]aaabonddata!$A:$B,2,0)</f>
        <v>2.0499999999999998</v>
      </c>
    </row>
    <row r="1817" spans="1:12" x14ac:dyDescent="0.2">
      <c r="A1817" s="3">
        <v>41407</v>
      </c>
      <c r="B1817" s="2">
        <v>2982.09</v>
      </c>
      <c r="C1817" s="2">
        <v>2989.7</v>
      </c>
      <c r="D1817" s="2">
        <v>2971.73</v>
      </c>
      <c r="E1817" s="2">
        <v>3472580152968</v>
      </c>
      <c r="F1817" s="2">
        <v>201757717</v>
      </c>
      <c r="G1817">
        <v>1559.13</v>
      </c>
      <c r="H1817">
        <v>1567.06</v>
      </c>
      <c r="I1817">
        <v>1557.12</v>
      </c>
      <c r="J1817">
        <v>4525386535</v>
      </c>
      <c r="K1817">
        <v>1725329</v>
      </c>
      <c r="L1817" s="2">
        <f>VLOOKUP(A1817,[1]aaabonddata!$A:$B,2,0)</f>
        <v>2.0499999999999998</v>
      </c>
    </row>
    <row r="1818" spans="1:12" x14ac:dyDescent="0.2">
      <c r="A1818" s="3">
        <v>41408</v>
      </c>
      <c r="B1818" s="2">
        <v>2996.05</v>
      </c>
      <c r="C1818" s="2">
        <v>3005.02</v>
      </c>
      <c r="D1818" s="2">
        <v>2981.89</v>
      </c>
      <c r="E1818" s="2">
        <v>3488832978982</v>
      </c>
      <c r="F1818" s="2">
        <v>2278298438</v>
      </c>
      <c r="G1818">
        <v>1567.9</v>
      </c>
      <c r="H1818">
        <v>1570.3</v>
      </c>
      <c r="I1818">
        <v>1559.62</v>
      </c>
      <c r="J1818">
        <v>4550851195</v>
      </c>
      <c r="K1818">
        <v>819380</v>
      </c>
      <c r="L1818" s="2">
        <f>VLOOKUP(A1818,[1]aaabonddata!$A:$B,2,0)</f>
        <v>2.0699999999999998</v>
      </c>
    </row>
    <row r="1819" spans="1:12" x14ac:dyDescent="0.2">
      <c r="A1819" s="3">
        <v>41409</v>
      </c>
      <c r="B1819" s="2">
        <v>3002.62</v>
      </c>
      <c r="C1819" s="2">
        <v>3004.52</v>
      </c>
      <c r="D1819" s="2">
        <v>2982.77</v>
      </c>
      <c r="E1819" s="2">
        <v>3496489969611</v>
      </c>
      <c r="F1819" s="2">
        <v>266207964</v>
      </c>
      <c r="G1819">
        <v>1579.39</v>
      </c>
      <c r="H1819">
        <v>1580.92</v>
      </c>
      <c r="I1819">
        <v>1563.98</v>
      </c>
      <c r="J1819">
        <v>4584181862</v>
      </c>
      <c r="K1819">
        <v>689107</v>
      </c>
      <c r="L1819" s="2">
        <f>VLOOKUP(A1819,[1]aaabonddata!$A:$B,2,0)</f>
        <v>2.06</v>
      </c>
    </row>
    <row r="1820" spans="1:12" x14ac:dyDescent="0.2">
      <c r="A1820" s="3">
        <v>41410</v>
      </c>
      <c r="B1820" s="2">
        <v>2999.34</v>
      </c>
      <c r="C1820" s="2">
        <v>3019.04</v>
      </c>
      <c r="D1820" s="2">
        <v>2997.47</v>
      </c>
      <c r="E1820" s="2">
        <v>3492670979441</v>
      </c>
      <c r="F1820" s="2">
        <v>0</v>
      </c>
      <c r="G1820">
        <v>1581.35</v>
      </c>
      <c r="H1820">
        <v>1594.89</v>
      </c>
      <c r="I1820">
        <v>1580.42</v>
      </c>
      <c r="J1820">
        <v>4589872420</v>
      </c>
      <c r="K1820">
        <v>0</v>
      </c>
      <c r="L1820" s="2">
        <f>VLOOKUP(A1820,[1]aaabonddata!$A:$B,2,0)</f>
        <v>2.02</v>
      </c>
    </row>
    <row r="1821" spans="1:12" x14ac:dyDescent="0.2">
      <c r="A1821" s="3">
        <v>41411</v>
      </c>
      <c r="B1821" s="2">
        <v>3028.96</v>
      </c>
      <c r="C1821" s="2">
        <v>3028.96</v>
      </c>
      <c r="D1821" s="2">
        <v>3005.25</v>
      </c>
      <c r="E1821" s="2">
        <v>3527155958166</v>
      </c>
      <c r="F1821" s="2">
        <v>69060683</v>
      </c>
      <c r="G1821">
        <v>1594.49</v>
      </c>
      <c r="H1821">
        <v>1594.5</v>
      </c>
      <c r="I1821">
        <v>1579.2</v>
      </c>
      <c r="J1821">
        <v>4628031102</v>
      </c>
      <c r="K1821">
        <v>974098</v>
      </c>
      <c r="L1821" s="2">
        <f>VLOOKUP(A1821,[1]aaabonddata!$A:$B,2,0)</f>
        <v>2.0699999999999998</v>
      </c>
    </row>
    <row r="1822" spans="1:12" x14ac:dyDescent="0.2">
      <c r="A1822" s="3">
        <v>41414</v>
      </c>
      <c r="B1822" s="2">
        <v>3020.97</v>
      </c>
      <c r="C1822" s="2">
        <v>3032.86</v>
      </c>
      <c r="D1822" s="2">
        <v>3011.95</v>
      </c>
      <c r="E1822" s="2">
        <v>3517857932239</v>
      </c>
      <c r="F1822" s="2">
        <v>70194754</v>
      </c>
      <c r="G1822">
        <v>1587.7</v>
      </c>
      <c r="H1822">
        <v>1594.12</v>
      </c>
      <c r="I1822">
        <v>1583.79</v>
      </c>
      <c r="J1822">
        <v>4608302205</v>
      </c>
      <c r="K1822">
        <v>730594</v>
      </c>
      <c r="L1822" s="2">
        <f>VLOOKUP(A1822,[1]aaabonddata!$A:$B,2,0)</f>
        <v>2.0699999999999998</v>
      </c>
    </row>
    <row r="1823" spans="1:12" x14ac:dyDescent="0.2">
      <c r="A1823" s="3">
        <v>41415</v>
      </c>
      <c r="B1823" s="2">
        <v>3026.45</v>
      </c>
      <c r="C1823" s="2">
        <v>3036.71</v>
      </c>
      <c r="D1823" s="2">
        <v>3011.51</v>
      </c>
      <c r="E1823" s="2">
        <v>3524238194056</v>
      </c>
      <c r="F1823" s="2">
        <v>404873584</v>
      </c>
      <c r="G1823">
        <v>1588.99</v>
      </c>
      <c r="H1823">
        <v>1591.69</v>
      </c>
      <c r="I1823">
        <v>1582.82</v>
      </c>
      <c r="J1823">
        <v>4612061199</v>
      </c>
      <c r="K1823">
        <v>2327649</v>
      </c>
      <c r="L1823" s="2">
        <f>VLOOKUP(A1823,[1]aaabonddata!$A:$B,2,0)</f>
        <v>2.06</v>
      </c>
    </row>
    <row r="1824" spans="1:12" x14ac:dyDescent="0.2">
      <c r="A1824" s="3">
        <v>41416</v>
      </c>
      <c r="B1824" s="2">
        <v>2999.13</v>
      </c>
      <c r="C1824" s="2">
        <v>3053.51</v>
      </c>
      <c r="D1824" s="2">
        <v>2984.84</v>
      </c>
      <c r="E1824" s="2">
        <v>3492420241684</v>
      </c>
      <c r="F1824" s="2">
        <v>0</v>
      </c>
      <c r="G1824">
        <v>1566.88</v>
      </c>
      <c r="H1824">
        <v>1599.23</v>
      </c>
      <c r="I1824">
        <v>1559.8</v>
      </c>
      <c r="J1824">
        <v>4547892568</v>
      </c>
      <c r="K1824">
        <v>0</v>
      </c>
      <c r="L1824" s="2">
        <f>VLOOKUP(A1824,[1]aaabonddata!$A:$B,2,0)</f>
        <v>2.1</v>
      </c>
    </row>
    <row r="1825" spans="1:12" x14ac:dyDescent="0.2">
      <c r="A1825" s="3">
        <v>41417</v>
      </c>
      <c r="B1825" s="2">
        <v>2991.45</v>
      </c>
      <c r="C1825" s="2">
        <v>3002.55</v>
      </c>
      <c r="D1825" s="2">
        <v>2966.65</v>
      </c>
      <c r="E1825" s="2">
        <v>3483481487133</v>
      </c>
      <c r="F1825" s="2">
        <v>0</v>
      </c>
      <c r="G1825">
        <v>1563.1</v>
      </c>
      <c r="H1825">
        <v>1568.07</v>
      </c>
      <c r="I1825">
        <v>1548.63</v>
      </c>
      <c r="J1825">
        <v>4536920899</v>
      </c>
      <c r="K1825">
        <v>0</v>
      </c>
      <c r="L1825" s="2">
        <f>VLOOKUP(A1825,[1]aaabonddata!$A:$B,2,0)</f>
        <v>2.1</v>
      </c>
    </row>
    <row r="1826" spans="1:12" x14ac:dyDescent="0.2">
      <c r="A1826" s="3">
        <v>41418</v>
      </c>
      <c r="B1826" s="2">
        <v>2991.02</v>
      </c>
      <c r="C1826" s="2">
        <v>2991.26</v>
      </c>
      <c r="D1826" s="2">
        <v>2965.3</v>
      </c>
      <c r="E1826" s="2">
        <v>3482983819378</v>
      </c>
      <c r="F1826" s="2">
        <v>0</v>
      </c>
      <c r="G1826">
        <v>1560.84</v>
      </c>
      <c r="H1826">
        <v>1561.79</v>
      </c>
      <c r="I1826">
        <v>1545</v>
      </c>
      <c r="J1826">
        <v>4530364921</v>
      </c>
      <c r="K1826">
        <v>0</v>
      </c>
      <c r="L1826" s="2">
        <f>VLOOKUP(A1826,[1]aaabonddata!$A:$B,2,0)</f>
        <v>2.09</v>
      </c>
    </row>
    <row r="1827" spans="1:12" x14ac:dyDescent="0.2">
      <c r="A1827" s="3">
        <v>41422</v>
      </c>
      <c r="B1827" s="2">
        <v>3011.94</v>
      </c>
      <c r="C1827" s="2">
        <v>3037</v>
      </c>
      <c r="D1827" s="2">
        <v>3002.22</v>
      </c>
      <c r="E1827" s="2">
        <v>3507339228855</v>
      </c>
      <c r="F1827" s="2">
        <v>15936464</v>
      </c>
      <c r="G1827">
        <v>1571.61</v>
      </c>
      <c r="H1827">
        <v>1582.81</v>
      </c>
      <c r="I1827">
        <v>1567.4</v>
      </c>
      <c r="J1827">
        <v>4561598424</v>
      </c>
      <c r="K1827">
        <v>0</v>
      </c>
      <c r="L1827" s="2">
        <f>VLOOKUP(A1827,[1]aaabonddata!$A:$B,2,0)</f>
        <v>2.16</v>
      </c>
    </row>
    <row r="1828" spans="1:12" x14ac:dyDescent="0.2">
      <c r="A1828" s="3">
        <v>41423</v>
      </c>
      <c r="B1828" s="2">
        <v>2994.82</v>
      </c>
      <c r="C1828" s="2">
        <v>3006.9</v>
      </c>
      <c r="D1828" s="2">
        <v>2979.9</v>
      </c>
      <c r="E1828" s="2">
        <v>3487404924859</v>
      </c>
      <c r="F1828" s="2">
        <v>195369274</v>
      </c>
      <c r="G1828">
        <v>1569.79</v>
      </c>
      <c r="H1828">
        <v>1575.61</v>
      </c>
      <c r="I1828">
        <v>1558.09</v>
      </c>
      <c r="J1828">
        <v>4556317574</v>
      </c>
      <c r="K1828">
        <v>1063493</v>
      </c>
      <c r="L1828" s="2">
        <f>VLOOKUP(A1828,[1]aaabonddata!$A:$B,2,0)</f>
        <v>2.16</v>
      </c>
    </row>
    <row r="1829" spans="1:12" x14ac:dyDescent="0.2">
      <c r="A1829" s="3">
        <v>41424</v>
      </c>
      <c r="B1829" s="2">
        <v>3011.83</v>
      </c>
      <c r="C1829" s="2">
        <v>3026.36</v>
      </c>
      <c r="D1829" s="2">
        <v>2998.77</v>
      </c>
      <c r="E1829" s="2">
        <v>3507214528146</v>
      </c>
      <c r="F1829" s="2">
        <v>61949248</v>
      </c>
      <c r="G1829">
        <v>1590.4</v>
      </c>
      <c r="H1829">
        <v>1596.49</v>
      </c>
      <c r="I1829">
        <v>1572.67</v>
      </c>
      <c r="J1829">
        <v>4616156861</v>
      </c>
      <c r="K1829">
        <v>0</v>
      </c>
      <c r="L1829" s="2">
        <f>VLOOKUP(A1829,[1]aaabonddata!$A:$B,2,0)</f>
        <v>2.16</v>
      </c>
    </row>
    <row r="1830" spans="1:12" x14ac:dyDescent="0.2">
      <c r="A1830" s="3">
        <v>41425</v>
      </c>
      <c r="B1830" s="2">
        <v>2981.76</v>
      </c>
      <c r="C1830" s="2">
        <v>3023.11</v>
      </c>
      <c r="D1830" s="2">
        <v>2981.76</v>
      </c>
      <c r="E1830" s="2">
        <v>3472192133956</v>
      </c>
      <c r="F1830" s="2">
        <v>0</v>
      </c>
      <c r="G1830">
        <v>1575.16</v>
      </c>
      <c r="H1830">
        <v>1593.61</v>
      </c>
      <c r="I1830">
        <v>1575.11</v>
      </c>
      <c r="J1830">
        <v>4571930483</v>
      </c>
      <c r="K1830">
        <v>0</v>
      </c>
      <c r="L1830" s="2">
        <f>VLOOKUP(A1830,[1]aaabonddata!$A:$B,2,0)</f>
        <v>2.2999999999999998</v>
      </c>
    </row>
    <row r="1831" spans="1:12" x14ac:dyDescent="0.2">
      <c r="A1831" s="3">
        <v>41428</v>
      </c>
      <c r="B1831" s="2">
        <v>2990.79</v>
      </c>
      <c r="C1831" s="2">
        <v>2990.8</v>
      </c>
      <c r="D1831" s="2">
        <v>2950.87</v>
      </c>
      <c r="E1831" s="2">
        <v>3482709069139</v>
      </c>
      <c r="F1831" s="2">
        <v>601345464</v>
      </c>
      <c r="G1831">
        <v>1576.36</v>
      </c>
      <c r="H1831">
        <v>1581.56</v>
      </c>
      <c r="I1831">
        <v>1560.6</v>
      </c>
      <c r="J1831">
        <v>4575391481</v>
      </c>
      <c r="K1831">
        <v>538627</v>
      </c>
      <c r="L1831" s="2">
        <f>VLOOKUP(A1831,[1]aaabonddata!$A:$B,2,0)</f>
        <v>2.29</v>
      </c>
    </row>
    <row r="1832" spans="1:12" x14ac:dyDescent="0.2">
      <c r="A1832" s="3">
        <v>41429</v>
      </c>
      <c r="B1832" s="2">
        <v>2973.69</v>
      </c>
      <c r="C1832" s="2">
        <v>3007.3</v>
      </c>
      <c r="D1832" s="2">
        <v>2962.22</v>
      </c>
      <c r="E1832" s="2">
        <v>3462804022331</v>
      </c>
      <c r="F1832" s="2">
        <v>0</v>
      </c>
      <c r="G1832">
        <v>1573.27</v>
      </c>
      <c r="H1832">
        <v>1589.93</v>
      </c>
      <c r="I1832">
        <v>1569.06</v>
      </c>
      <c r="J1832">
        <v>4566415888</v>
      </c>
      <c r="K1832">
        <v>0</v>
      </c>
      <c r="L1832" s="2">
        <f>VLOOKUP(A1832,[1]aaabonddata!$A:$B,2,0)</f>
        <v>2.2999999999999998</v>
      </c>
    </row>
    <row r="1833" spans="1:12" x14ac:dyDescent="0.2">
      <c r="A1833" s="3">
        <v>41430</v>
      </c>
      <c r="B1833" s="2">
        <v>2937.14</v>
      </c>
      <c r="C1833" s="2">
        <v>2975.83</v>
      </c>
      <c r="D1833" s="2">
        <v>2933.22</v>
      </c>
      <c r="E1833" s="2">
        <v>3420521898568</v>
      </c>
      <c r="F1833" s="2">
        <v>56452854</v>
      </c>
      <c r="G1833">
        <v>1556.71</v>
      </c>
      <c r="H1833">
        <v>1573.19</v>
      </c>
      <c r="I1833">
        <v>1553.68</v>
      </c>
      <c r="J1833">
        <v>4518362109</v>
      </c>
      <c r="K1833">
        <v>0</v>
      </c>
      <c r="L1833" s="2">
        <f>VLOOKUP(A1833,[1]aaabonddata!$A:$B,2,0)</f>
        <v>2.29</v>
      </c>
    </row>
    <row r="1834" spans="1:12" x14ac:dyDescent="0.2">
      <c r="A1834" s="3">
        <v>41431</v>
      </c>
      <c r="B1834" s="2">
        <v>2950.3</v>
      </c>
      <c r="C1834" s="2">
        <v>2950.3</v>
      </c>
      <c r="D1834" s="2">
        <v>2911.94</v>
      </c>
      <c r="E1834" s="2">
        <v>3437737783656</v>
      </c>
      <c r="F1834" s="2">
        <v>0</v>
      </c>
      <c r="G1834">
        <v>1564.45</v>
      </c>
      <c r="H1834">
        <v>1564.45</v>
      </c>
      <c r="I1834">
        <v>1546.34</v>
      </c>
      <c r="J1834">
        <v>4540831437</v>
      </c>
      <c r="K1834">
        <v>0</v>
      </c>
      <c r="L1834" s="2">
        <f>VLOOKUP(A1834,[1]aaabonddata!$A:$B,2,0)</f>
        <v>2.2799999999999998</v>
      </c>
    </row>
    <row r="1835" spans="1:12" x14ac:dyDescent="0.2">
      <c r="A1835" s="3">
        <v>41432</v>
      </c>
      <c r="B1835" s="2">
        <v>2990.87</v>
      </c>
      <c r="C1835" s="2">
        <v>2993.13</v>
      </c>
      <c r="D1835" s="2">
        <v>2955.1</v>
      </c>
      <c r="E1835" s="2">
        <v>3485005487186</v>
      </c>
      <c r="F1835" s="2">
        <v>37804713</v>
      </c>
      <c r="G1835">
        <v>1583.27</v>
      </c>
      <c r="H1835">
        <v>1584.17</v>
      </c>
      <c r="I1835">
        <v>1563.29</v>
      </c>
      <c r="J1835">
        <v>4595457579</v>
      </c>
      <c r="K1835">
        <v>0</v>
      </c>
      <c r="L1835" s="2">
        <f>VLOOKUP(A1835,[1]aaabonddata!$A:$B,2,0)</f>
        <v>2.35</v>
      </c>
    </row>
    <row r="1836" spans="1:12" x14ac:dyDescent="0.2">
      <c r="A1836" s="3">
        <v>41435</v>
      </c>
      <c r="B1836" s="2">
        <v>2990.49</v>
      </c>
      <c r="C1836" s="2">
        <v>3004.67</v>
      </c>
      <c r="D1836" s="2">
        <v>2985.5</v>
      </c>
      <c r="E1836" s="2">
        <v>3484564748799</v>
      </c>
      <c r="F1836" s="2">
        <v>0</v>
      </c>
      <c r="G1836">
        <v>1581.86</v>
      </c>
      <c r="H1836">
        <v>1586.58</v>
      </c>
      <c r="I1836">
        <v>1578.04</v>
      </c>
      <c r="J1836">
        <v>4591362861</v>
      </c>
      <c r="K1836">
        <v>0</v>
      </c>
      <c r="L1836" s="2">
        <f>VLOOKUP(A1836,[1]aaabonddata!$A:$B,2,0)</f>
        <v>2.38</v>
      </c>
    </row>
    <row r="1837" spans="1:12" x14ac:dyDescent="0.2">
      <c r="A1837" s="3">
        <v>41436</v>
      </c>
      <c r="B1837" s="2">
        <v>2959.84</v>
      </c>
      <c r="C1837" s="2">
        <v>2987.85</v>
      </c>
      <c r="D1837" s="2">
        <v>2952.07</v>
      </c>
      <c r="E1837" s="2">
        <v>3448854269245</v>
      </c>
      <c r="F1837" s="2">
        <v>0</v>
      </c>
      <c r="G1837">
        <v>1564.02</v>
      </c>
      <c r="H1837">
        <v>1582.11</v>
      </c>
      <c r="I1837">
        <v>1563.85</v>
      </c>
      <c r="J1837">
        <v>4539587843</v>
      </c>
      <c r="K1837">
        <v>0</v>
      </c>
      <c r="L1837" s="2">
        <f>VLOOKUP(A1837,[1]aaabonddata!$A:$B,2,0)</f>
        <v>2.38</v>
      </c>
    </row>
    <row r="1838" spans="1:12" x14ac:dyDescent="0.2">
      <c r="A1838" s="3">
        <v>41437</v>
      </c>
      <c r="B1838" s="2">
        <v>2926.14</v>
      </c>
      <c r="C1838" s="2">
        <v>2978.76</v>
      </c>
      <c r="D1838" s="2">
        <v>2921.88</v>
      </c>
      <c r="E1838" s="2">
        <v>3409578740939</v>
      </c>
      <c r="F1838" s="2">
        <v>1377048612</v>
      </c>
      <c r="G1838">
        <v>1547.32</v>
      </c>
      <c r="H1838">
        <v>1576.06</v>
      </c>
      <c r="I1838">
        <v>1544.18</v>
      </c>
      <c r="J1838">
        <v>4491101605</v>
      </c>
      <c r="K1838">
        <v>0</v>
      </c>
      <c r="L1838" s="2">
        <f>VLOOKUP(A1838,[1]aaabonddata!$A:$B,2,0)</f>
        <v>2.4</v>
      </c>
    </row>
    <row r="1839" spans="1:12" x14ac:dyDescent="0.2">
      <c r="A1839" s="3">
        <v>41438</v>
      </c>
      <c r="B1839" s="2">
        <v>2962.9</v>
      </c>
      <c r="C1839" s="2">
        <v>2968.98</v>
      </c>
      <c r="D1839" s="2">
        <v>2914.2</v>
      </c>
      <c r="E1839" s="2">
        <v>3452416176225</v>
      </c>
      <c r="F1839" s="2">
        <v>51712780</v>
      </c>
      <c r="G1839">
        <v>1568.58</v>
      </c>
      <c r="H1839">
        <v>1571.45</v>
      </c>
      <c r="I1839">
        <v>1539.98</v>
      </c>
      <c r="J1839">
        <v>4552806695</v>
      </c>
      <c r="K1839">
        <v>583171</v>
      </c>
      <c r="L1839" s="2">
        <f>VLOOKUP(A1839,[1]aaabonddata!$A:$B,2,0)</f>
        <v>2.37</v>
      </c>
    </row>
    <row r="1840" spans="1:12" x14ac:dyDescent="0.2">
      <c r="A1840" s="3">
        <v>41439</v>
      </c>
      <c r="B1840" s="2">
        <v>2943.86</v>
      </c>
      <c r="C1840" s="2">
        <v>2966.13</v>
      </c>
      <c r="D1840" s="2">
        <v>2939.68</v>
      </c>
      <c r="E1840" s="2">
        <v>3430231347619</v>
      </c>
      <c r="F1840" s="2">
        <v>88016334</v>
      </c>
      <c r="G1840">
        <v>1556.85</v>
      </c>
      <c r="H1840">
        <v>1572.27</v>
      </c>
      <c r="I1840">
        <v>1554.79</v>
      </c>
      <c r="J1840">
        <v>4518779011</v>
      </c>
      <c r="K1840">
        <v>1302084</v>
      </c>
      <c r="L1840" s="2">
        <f>VLOOKUP(A1840,[1]aaabonddata!$A:$B,2,0)</f>
        <v>2.3199999999999998</v>
      </c>
    </row>
    <row r="1841" spans="1:12" x14ac:dyDescent="0.2">
      <c r="A1841" s="3">
        <v>41442</v>
      </c>
      <c r="B1841" s="2">
        <v>2971.26</v>
      </c>
      <c r="C1841" s="2">
        <v>2988.59</v>
      </c>
      <c r="D1841" s="2">
        <v>2956.92</v>
      </c>
      <c r="E1841" s="2">
        <v>3462153718535</v>
      </c>
      <c r="F1841" s="2">
        <v>103378311</v>
      </c>
      <c r="G1841">
        <v>1576.45</v>
      </c>
      <c r="H1841">
        <v>1584.4</v>
      </c>
      <c r="I1841">
        <v>1568.33</v>
      </c>
      <c r="J1841">
        <v>4575669464</v>
      </c>
      <c r="K1841">
        <v>611247</v>
      </c>
      <c r="L1841" s="2">
        <f>VLOOKUP(A1841,[1]aaabonddata!$A:$B,2,0)</f>
        <v>2.34</v>
      </c>
    </row>
    <row r="1842" spans="1:12" x14ac:dyDescent="0.2">
      <c r="A1842" s="3">
        <v>41443</v>
      </c>
      <c r="B1842" s="2">
        <v>2996.09</v>
      </c>
      <c r="C1842" s="2">
        <v>3001.89</v>
      </c>
      <c r="D1842" s="2">
        <v>2974.61</v>
      </c>
      <c r="E1842" s="2">
        <v>3491087483970</v>
      </c>
      <c r="F1842" s="2">
        <v>0</v>
      </c>
      <c r="G1842">
        <v>1590.19</v>
      </c>
      <c r="H1842">
        <v>1592.76</v>
      </c>
      <c r="I1842">
        <v>1577.86</v>
      </c>
      <c r="J1842">
        <v>4615554519</v>
      </c>
      <c r="K1842">
        <v>0</v>
      </c>
      <c r="L1842" s="2">
        <f>VLOOKUP(A1842,[1]aaabonddata!$A:$B,2,0)</f>
        <v>2.34</v>
      </c>
    </row>
    <row r="1843" spans="1:12" x14ac:dyDescent="0.2">
      <c r="A1843" s="3">
        <v>41444</v>
      </c>
      <c r="B1843" s="2">
        <v>2959.5</v>
      </c>
      <c r="C1843" s="2">
        <v>3000.22</v>
      </c>
      <c r="D1843" s="2">
        <v>2959.5</v>
      </c>
      <c r="E1843" s="2">
        <v>3448456521194</v>
      </c>
      <c r="F1843" s="2">
        <v>0</v>
      </c>
      <c r="G1843">
        <v>1576.87</v>
      </c>
      <c r="H1843">
        <v>1595.4</v>
      </c>
      <c r="I1843">
        <v>1576.69</v>
      </c>
      <c r="J1843">
        <v>4576879302</v>
      </c>
      <c r="K1843">
        <v>0</v>
      </c>
      <c r="L1843" s="2">
        <f>VLOOKUP(A1843,[1]aaabonddata!$A:$B,2,0)</f>
        <v>2.44</v>
      </c>
    </row>
    <row r="1844" spans="1:12" x14ac:dyDescent="0.2">
      <c r="A1844" s="3">
        <v>41445</v>
      </c>
      <c r="B1844" s="2">
        <v>2890.33</v>
      </c>
      <c r="C1844" s="2">
        <v>2938.1</v>
      </c>
      <c r="D1844" s="2">
        <v>2882.45</v>
      </c>
      <c r="E1844" s="2">
        <v>3367857606262</v>
      </c>
      <c r="F1844" s="2">
        <v>0</v>
      </c>
      <c r="G1844">
        <v>1539.15</v>
      </c>
      <c r="H1844">
        <v>1561.39</v>
      </c>
      <c r="I1844">
        <v>1535.13</v>
      </c>
      <c r="J1844">
        <v>4467388223</v>
      </c>
      <c r="K1844">
        <v>0</v>
      </c>
      <c r="L1844" s="2">
        <f>VLOOKUP(A1844,[1]aaabonddata!$A:$B,2,0)</f>
        <v>2.5299999999999998</v>
      </c>
    </row>
    <row r="1845" spans="1:12" x14ac:dyDescent="0.2">
      <c r="A1845" s="3">
        <v>41446</v>
      </c>
      <c r="B1845" s="2">
        <v>2877.94</v>
      </c>
      <c r="C1845" s="2">
        <v>2898.4</v>
      </c>
      <c r="D1845" s="2">
        <v>2853.69</v>
      </c>
      <c r="E1845" s="2">
        <v>3353423931858</v>
      </c>
      <c r="F1845" s="2">
        <v>0</v>
      </c>
      <c r="G1845">
        <v>1536.38</v>
      </c>
      <c r="H1845">
        <v>1546.26</v>
      </c>
      <c r="I1845">
        <v>1524.15</v>
      </c>
      <c r="J1845">
        <v>4459364691</v>
      </c>
      <c r="K1845">
        <v>0</v>
      </c>
      <c r="L1845" s="2">
        <f>VLOOKUP(A1845,[1]aaabonddata!$A:$B,2,0)</f>
        <v>2.59</v>
      </c>
    </row>
    <row r="1846" spans="1:12" x14ac:dyDescent="0.2">
      <c r="A1846" s="3">
        <v>41449</v>
      </c>
      <c r="B1846" s="2">
        <v>2848.2</v>
      </c>
      <c r="C1846" s="2">
        <v>2869.92</v>
      </c>
      <c r="D1846" s="2">
        <v>2825.18</v>
      </c>
      <c r="E1846" s="2">
        <v>3318605616246</v>
      </c>
      <c r="F1846" s="2">
        <v>0</v>
      </c>
      <c r="G1846">
        <v>1512.21</v>
      </c>
      <c r="H1846">
        <v>1526.15</v>
      </c>
      <c r="I1846">
        <v>1502.49</v>
      </c>
      <c r="J1846">
        <v>4330782735</v>
      </c>
      <c r="K1846">
        <v>0</v>
      </c>
      <c r="L1846" s="2">
        <f>VLOOKUP(A1846,[1]aaabonddata!$A:$B,2,0)</f>
        <v>2.63</v>
      </c>
    </row>
    <row r="1847" spans="1:12" x14ac:dyDescent="0.2">
      <c r="A1847" s="3">
        <v>41450</v>
      </c>
      <c r="B1847" s="2">
        <v>2866.5</v>
      </c>
      <c r="C1847" s="2">
        <v>2880.93</v>
      </c>
      <c r="D1847" s="2">
        <v>2851.99</v>
      </c>
      <c r="E1847" s="2">
        <v>3339926471847</v>
      </c>
      <c r="F1847" s="2">
        <v>0</v>
      </c>
      <c r="G1847">
        <v>1531.52</v>
      </c>
      <c r="H1847">
        <v>1535.6</v>
      </c>
      <c r="I1847">
        <v>1516.7</v>
      </c>
      <c r="J1847">
        <v>4386087615</v>
      </c>
      <c r="K1847">
        <v>0</v>
      </c>
      <c r="L1847" s="2">
        <f>VLOOKUP(A1847,[1]aaabonddata!$A:$B,2,0)</f>
        <v>2.65</v>
      </c>
    </row>
    <row r="1848" spans="1:12" x14ac:dyDescent="0.2">
      <c r="A1848" s="3">
        <v>41451</v>
      </c>
      <c r="B1848" s="2">
        <v>2893.85</v>
      </c>
      <c r="C1848" s="2">
        <v>2899.58</v>
      </c>
      <c r="D1848" s="2">
        <v>2883.96</v>
      </c>
      <c r="E1848" s="2">
        <v>3371802191294</v>
      </c>
      <c r="F1848" s="2">
        <v>444956158</v>
      </c>
      <c r="G1848">
        <v>1545.31</v>
      </c>
      <c r="H1848">
        <v>1548.52</v>
      </c>
      <c r="I1848">
        <v>1538.91</v>
      </c>
      <c r="J1848">
        <v>4425552926</v>
      </c>
      <c r="K1848">
        <v>415283</v>
      </c>
      <c r="L1848" s="2">
        <f>VLOOKUP(A1848,[1]aaabonddata!$A:$B,2,0)</f>
        <v>2.61</v>
      </c>
    </row>
    <row r="1849" spans="1:12" x14ac:dyDescent="0.2">
      <c r="A1849" s="3">
        <v>41452</v>
      </c>
      <c r="B1849" s="2">
        <v>2906.84</v>
      </c>
      <c r="C1849" s="2">
        <v>2924.34</v>
      </c>
      <c r="D1849" s="2">
        <v>2905.3</v>
      </c>
      <c r="E1849" s="2">
        <v>3386933465461</v>
      </c>
      <c r="F1849" s="2">
        <v>371756469</v>
      </c>
      <c r="G1849">
        <v>1557.61</v>
      </c>
      <c r="H1849">
        <v>1565.05</v>
      </c>
      <c r="I1849">
        <v>1554.77</v>
      </c>
      <c r="J1849">
        <v>4460796030</v>
      </c>
      <c r="K1849">
        <v>599251</v>
      </c>
      <c r="L1849" s="2">
        <f>VLOOKUP(A1849,[1]aaabonddata!$A:$B,2,0)</f>
        <v>2.56</v>
      </c>
    </row>
    <row r="1850" spans="1:12" x14ac:dyDescent="0.2">
      <c r="A1850" s="3">
        <v>41453</v>
      </c>
      <c r="B1850" s="2">
        <v>2909.6</v>
      </c>
      <c r="C1850" s="2">
        <v>2927.49</v>
      </c>
      <c r="D1850" s="2">
        <v>2891.57</v>
      </c>
      <c r="E1850" s="2">
        <v>3390148137241</v>
      </c>
      <c r="F1850" s="2">
        <v>0</v>
      </c>
      <c r="G1850">
        <v>1552.82</v>
      </c>
      <c r="H1850">
        <v>1562.05</v>
      </c>
      <c r="I1850">
        <v>1544.31</v>
      </c>
      <c r="J1850">
        <v>4447087545</v>
      </c>
      <c r="K1850">
        <v>0</v>
      </c>
      <c r="L1850" s="2">
        <f>VLOOKUP(A1850,[1]aaabonddata!$A:$B,2,0)</f>
        <v>2.5499999999999998</v>
      </c>
    </row>
    <row r="1851" spans="1:12" x14ac:dyDescent="0.2">
      <c r="A1851" s="3">
        <v>41456</v>
      </c>
      <c r="B1851" s="2">
        <v>2927.35</v>
      </c>
      <c r="C1851" s="2">
        <v>2951</v>
      </c>
      <c r="D1851" s="2">
        <v>2924.26</v>
      </c>
      <c r="E1851" s="2">
        <v>3405011292816</v>
      </c>
      <c r="F1851" s="2">
        <v>1323786900</v>
      </c>
      <c r="G1851">
        <v>1558.29</v>
      </c>
      <c r="H1851">
        <v>1570.49</v>
      </c>
      <c r="I1851">
        <v>1556.96</v>
      </c>
      <c r="J1851">
        <v>4462739016</v>
      </c>
      <c r="K1851">
        <v>694444</v>
      </c>
      <c r="L1851" s="2">
        <f>VLOOKUP(A1851,[1]aaabonddata!$A:$B,2,0)</f>
        <v>2.69</v>
      </c>
    </row>
    <row r="1852" spans="1:12" x14ac:dyDescent="0.2">
      <c r="A1852" s="3">
        <v>41457</v>
      </c>
      <c r="B1852" s="2">
        <v>2929.63</v>
      </c>
      <c r="C1852" s="2">
        <v>2945.93</v>
      </c>
      <c r="D1852" s="2">
        <v>2913.48</v>
      </c>
      <c r="E1852" s="2">
        <v>3407672242690</v>
      </c>
      <c r="F1852" s="2">
        <v>37089406</v>
      </c>
      <c r="G1852">
        <v>1553.54</v>
      </c>
      <c r="H1852">
        <v>1565.73</v>
      </c>
      <c r="I1852">
        <v>1544.69</v>
      </c>
      <c r="J1852">
        <v>4449129271</v>
      </c>
      <c r="K1852">
        <v>0</v>
      </c>
      <c r="L1852" s="2">
        <f>VLOOKUP(A1852,[1]aaabonddata!$A:$B,2,0)</f>
        <v>2.68</v>
      </c>
    </row>
    <row r="1853" spans="1:12" x14ac:dyDescent="0.2">
      <c r="A1853" s="3">
        <v>41458</v>
      </c>
      <c r="B1853" s="2">
        <v>2941.41</v>
      </c>
      <c r="C1853" s="2">
        <v>2953.85</v>
      </c>
      <c r="D1853" s="2">
        <v>2916.27</v>
      </c>
      <c r="E1853" s="2">
        <v>3426719959758</v>
      </c>
      <c r="F1853" s="2">
        <v>0</v>
      </c>
      <c r="G1853">
        <v>1558.41</v>
      </c>
      <c r="H1853">
        <v>1565.85</v>
      </c>
      <c r="I1853">
        <v>1544.5</v>
      </c>
      <c r="J1853">
        <v>4463085346</v>
      </c>
      <c r="K1853">
        <v>0</v>
      </c>
      <c r="L1853" s="2">
        <f>VLOOKUP(A1853,[1]aaabonddata!$A:$B,2,0)</f>
        <v>2.7</v>
      </c>
    </row>
    <row r="1854" spans="1:12" x14ac:dyDescent="0.2">
      <c r="A1854" s="3">
        <v>41460</v>
      </c>
      <c r="B1854" s="2">
        <v>2963.22</v>
      </c>
      <c r="C1854" s="2">
        <v>2963.82</v>
      </c>
      <c r="D1854" s="2">
        <v>2934.22</v>
      </c>
      <c r="E1854" s="2">
        <v>3452127315207</v>
      </c>
      <c r="F1854" s="2">
        <v>0</v>
      </c>
      <c r="G1854">
        <v>1574.32</v>
      </c>
      <c r="H1854">
        <v>1574.57</v>
      </c>
      <c r="I1854">
        <v>1557.41</v>
      </c>
      <c r="J1854">
        <v>4508643612</v>
      </c>
      <c r="K1854">
        <v>0</v>
      </c>
      <c r="L1854" s="2">
        <f>VLOOKUP(A1854,[1]aaabonddata!$A:$B,2,0)</f>
        <v>2.84</v>
      </c>
    </row>
    <row r="1855" spans="1:12" x14ac:dyDescent="0.2">
      <c r="A1855" s="3">
        <v>41463</v>
      </c>
      <c r="B1855" s="2">
        <v>2966.13</v>
      </c>
      <c r="C1855" s="2">
        <v>2978.82</v>
      </c>
      <c r="D1855" s="2">
        <v>2955.37</v>
      </c>
      <c r="E1855" s="2">
        <v>3455522974444</v>
      </c>
      <c r="F1855" s="2">
        <v>50477294</v>
      </c>
      <c r="G1855">
        <v>1565.56</v>
      </c>
      <c r="H1855">
        <v>1581.63</v>
      </c>
      <c r="I1855">
        <v>1561.84</v>
      </c>
      <c r="J1855">
        <v>4483550771</v>
      </c>
      <c r="K1855">
        <v>293660</v>
      </c>
      <c r="L1855" s="2">
        <f>VLOOKUP(A1855,[1]aaabonddata!$A:$B,2,0)</f>
        <v>2.77</v>
      </c>
    </row>
    <row r="1856" spans="1:12" x14ac:dyDescent="0.2">
      <c r="A1856" s="3">
        <v>41464</v>
      </c>
      <c r="B1856" s="2">
        <v>2984.32</v>
      </c>
      <c r="C1856" s="2">
        <v>2989.93</v>
      </c>
      <c r="D1856" s="2">
        <v>2966.68</v>
      </c>
      <c r="E1856" s="2">
        <v>3476712386576</v>
      </c>
      <c r="F1856" s="2">
        <v>54061073</v>
      </c>
      <c r="G1856">
        <v>1577.69</v>
      </c>
      <c r="H1856">
        <v>1579.85</v>
      </c>
      <c r="I1856">
        <v>1569.1</v>
      </c>
      <c r="J1856">
        <v>4518307493</v>
      </c>
      <c r="K1856">
        <v>395049</v>
      </c>
      <c r="L1856" s="2">
        <f>VLOOKUP(A1856,[1]aaabonddata!$A:$B,2,0)</f>
        <v>2.76</v>
      </c>
    </row>
    <row r="1857" spans="1:12" x14ac:dyDescent="0.2">
      <c r="A1857" s="3">
        <v>41465</v>
      </c>
      <c r="B1857" s="2">
        <v>3000.66</v>
      </c>
      <c r="C1857" s="2">
        <v>3004.28</v>
      </c>
      <c r="D1857" s="2">
        <v>2981.09</v>
      </c>
      <c r="E1857" s="2">
        <v>3495741941757</v>
      </c>
      <c r="F1857" s="2">
        <v>563797200</v>
      </c>
      <c r="G1857">
        <v>1591.1</v>
      </c>
      <c r="H1857">
        <v>1591.34</v>
      </c>
      <c r="I1857">
        <v>1576.72</v>
      </c>
      <c r="J1857">
        <v>4556699314</v>
      </c>
      <c r="K1857">
        <v>398142</v>
      </c>
      <c r="L1857" s="2">
        <f>VLOOKUP(A1857,[1]aaabonddata!$A:$B,2,0)</f>
        <v>2.79</v>
      </c>
    </row>
    <row r="1858" spans="1:12" x14ac:dyDescent="0.2">
      <c r="A1858" s="3">
        <v>41466</v>
      </c>
      <c r="B1858" s="2">
        <v>3059.46</v>
      </c>
      <c r="C1858" s="2">
        <v>3060.67</v>
      </c>
      <c r="D1858" s="2">
        <v>3030.39</v>
      </c>
      <c r="E1858" s="2">
        <v>3564242071573</v>
      </c>
      <c r="F1858" s="2">
        <v>0</v>
      </c>
      <c r="G1858">
        <v>1621.62</v>
      </c>
      <c r="H1858">
        <v>1622.28</v>
      </c>
      <c r="I1858">
        <v>1607.26</v>
      </c>
      <c r="J1858">
        <v>4644120394</v>
      </c>
      <c r="K1858">
        <v>0</v>
      </c>
      <c r="L1858" s="2">
        <f>VLOOKUP(A1858,[1]aaabonddata!$A:$B,2,0)</f>
        <v>2.71</v>
      </c>
    </row>
    <row r="1859" spans="1:12" x14ac:dyDescent="0.2">
      <c r="A1859" s="3">
        <v>41467</v>
      </c>
      <c r="B1859" s="2">
        <v>3079.07</v>
      </c>
      <c r="C1859" s="2">
        <v>3079.07</v>
      </c>
      <c r="D1859" s="2">
        <v>3054.03</v>
      </c>
      <c r="E1859" s="2">
        <v>3587096722966</v>
      </c>
      <c r="F1859" s="2">
        <v>0</v>
      </c>
      <c r="G1859">
        <v>1632.92</v>
      </c>
      <c r="H1859">
        <v>1632.92</v>
      </c>
      <c r="I1859">
        <v>1625.01</v>
      </c>
      <c r="J1859">
        <v>4676482358</v>
      </c>
      <c r="K1859">
        <v>0</v>
      </c>
      <c r="L1859" s="2">
        <f>VLOOKUP(A1859,[1]aaabonddata!$A:$B,2,0)</f>
        <v>2.74</v>
      </c>
    </row>
    <row r="1860" spans="1:12" x14ac:dyDescent="0.2">
      <c r="A1860" s="3">
        <v>41470</v>
      </c>
      <c r="B1860" s="2">
        <v>3079.85</v>
      </c>
      <c r="C1860" s="2">
        <v>3082.25</v>
      </c>
      <c r="D1860" s="2">
        <v>3068.03</v>
      </c>
      <c r="E1860" s="2">
        <v>3456157061490</v>
      </c>
      <c r="F1860" s="2">
        <v>0</v>
      </c>
      <c r="G1860">
        <v>1635.57</v>
      </c>
      <c r="H1860">
        <v>1637.09</v>
      </c>
      <c r="I1860">
        <v>1629.18</v>
      </c>
      <c r="J1860">
        <v>4580221944</v>
      </c>
      <c r="K1860">
        <v>0</v>
      </c>
      <c r="L1860" s="2">
        <f>VLOOKUP(A1860,[1]aaabonddata!$A:$B,2,0)</f>
        <v>2.7</v>
      </c>
    </row>
    <row r="1861" spans="1:12" x14ac:dyDescent="0.2">
      <c r="A1861" s="3">
        <v>41471</v>
      </c>
      <c r="B1861" s="2">
        <v>3077.47</v>
      </c>
      <c r="C1861" s="2">
        <v>3085.2</v>
      </c>
      <c r="D1861" s="2">
        <v>3069.17</v>
      </c>
      <c r="E1861" s="2">
        <v>3453482337489</v>
      </c>
      <c r="F1861" s="2">
        <v>0</v>
      </c>
      <c r="G1861">
        <v>1636.17</v>
      </c>
      <c r="H1861">
        <v>1642.43</v>
      </c>
      <c r="I1861">
        <v>1632.88</v>
      </c>
      <c r="J1861">
        <v>4581894040</v>
      </c>
      <c r="K1861">
        <v>0</v>
      </c>
      <c r="L1861" s="2">
        <f>VLOOKUP(A1861,[1]aaabonddata!$A:$B,2,0)</f>
        <v>2.68</v>
      </c>
    </row>
    <row r="1862" spans="1:12" x14ac:dyDescent="0.2">
      <c r="A1862" s="3">
        <v>41472</v>
      </c>
      <c r="B1862" s="2">
        <v>3085.28</v>
      </c>
      <c r="C1862" s="2">
        <v>3090.89</v>
      </c>
      <c r="D1862" s="2">
        <v>3075.96</v>
      </c>
      <c r="E1862" s="2">
        <v>3462245813743</v>
      </c>
      <c r="F1862" s="2">
        <v>0</v>
      </c>
      <c r="G1862">
        <v>1644.87</v>
      </c>
      <c r="H1862">
        <v>1647.35</v>
      </c>
      <c r="I1862">
        <v>1636.96</v>
      </c>
      <c r="J1862">
        <v>4606264151</v>
      </c>
      <c r="K1862">
        <v>0</v>
      </c>
      <c r="L1862" s="2">
        <f>VLOOKUP(A1862,[1]aaabonddata!$A:$B,2,0)</f>
        <v>2.65</v>
      </c>
    </row>
    <row r="1863" spans="1:12" x14ac:dyDescent="0.2">
      <c r="A1863" s="3">
        <v>41473</v>
      </c>
      <c r="B1863" s="2">
        <v>3077.82</v>
      </c>
      <c r="C1863" s="2">
        <v>3091.21</v>
      </c>
      <c r="D1863" s="2">
        <v>3071.89</v>
      </c>
      <c r="E1863" s="2">
        <v>3453873614819</v>
      </c>
      <c r="F1863" s="2">
        <v>0</v>
      </c>
      <c r="G1863">
        <v>1649.43</v>
      </c>
      <c r="H1863">
        <v>1655.62</v>
      </c>
      <c r="I1863">
        <v>1645.89</v>
      </c>
      <c r="J1863">
        <v>4619030607</v>
      </c>
      <c r="K1863">
        <v>0</v>
      </c>
      <c r="L1863" s="2">
        <f>VLOOKUP(A1863,[1]aaabonddata!$A:$B,2,0)</f>
        <v>2.67</v>
      </c>
    </row>
    <row r="1864" spans="1:12" x14ac:dyDescent="0.2">
      <c r="A1864" s="3">
        <v>41474</v>
      </c>
      <c r="B1864" s="2">
        <v>3044.93</v>
      </c>
      <c r="C1864" s="2">
        <v>3049.75</v>
      </c>
      <c r="D1864" s="2">
        <v>3035.99</v>
      </c>
      <c r="E1864" s="2">
        <v>3416963983760</v>
      </c>
      <c r="F1864" s="2">
        <v>0</v>
      </c>
      <c r="G1864">
        <v>1639.99</v>
      </c>
      <c r="H1864">
        <v>1645.27</v>
      </c>
      <c r="I1864">
        <v>1634.76</v>
      </c>
      <c r="J1864">
        <v>4592582143</v>
      </c>
      <c r="K1864">
        <v>0</v>
      </c>
      <c r="L1864" s="2">
        <f>VLOOKUP(A1864,[1]aaabonddata!$A:$B,2,0)</f>
        <v>2.63</v>
      </c>
    </row>
    <row r="1865" spans="1:12" x14ac:dyDescent="0.2">
      <c r="A1865" s="3">
        <v>41477</v>
      </c>
      <c r="B1865" s="2">
        <v>3055.23</v>
      </c>
      <c r="C1865" s="2">
        <v>3061.55</v>
      </c>
      <c r="D1865" s="2">
        <v>3044.76</v>
      </c>
      <c r="E1865" s="2">
        <v>3428522401356</v>
      </c>
      <c r="F1865" s="2">
        <v>0</v>
      </c>
      <c r="G1865">
        <v>1639.51</v>
      </c>
      <c r="H1865">
        <v>1645.02</v>
      </c>
      <c r="I1865">
        <v>1635.15</v>
      </c>
      <c r="J1865">
        <v>4591232164</v>
      </c>
      <c r="K1865">
        <v>0</v>
      </c>
      <c r="L1865" s="2">
        <f>VLOOKUP(A1865,[1]aaabonddata!$A:$B,2,0)</f>
        <v>2.62</v>
      </c>
    </row>
    <row r="1866" spans="1:12" x14ac:dyDescent="0.2">
      <c r="A1866" s="3">
        <v>41478</v>
      </c>
      <c r="B1866" s="2">
        <v>3031.4</v>
      </c>
      <c r="C1866" s="2">
        <v>3059.37</v>
      </c>
      <c r="D1866" s="2">
        <v>3029.07</v>
      </c>
      <c r="E1866" s="2">
        <v>3401785169566</v>
      </c>
      <c r="F1866" s="2">
        <v>0</v>
      </c>
      <c r="G1866">
        <v>1630.2</v>
      </c>
      <c r="H1866">
        <v>1645.68</v>
      </c>
      <c r="I1866">
        <v>1628.77</v>
      </c>
      <c r="J1866">
        <v>4565183997</v>
      </c>
      <c r="K1866">
        <v>0</v>
      </c>
      <c r="L1866" s="2">
        <f>VLOOKUP(A1866,[1]aaabonddata!$A:$B,2,0)</f>
        <v>2.64</v>
      </c>
    </row>
    <row r="1867" spans="1:12" x14ac:dyDescent="0.2">
      <c r="A1867" s="3">
        <v>41479</v>
      </c>
      <c r="B1867" s="2">
        <v>3041.16</v>
      </c>
      <c r="C1867" s="2">
        <v>3060.63</v>
      </c>
      <c r="D1867" s="2">
        <v>3034.62</v>
      </c>
      <c r="E1867" s="2">
        <v>3412733389362</v>
      </c>
      <c r="F1867" s="2">
        <v>74171732</v>
      </c>
      <c r="G1867">
        <v>1623.22</v>
      </c>
      <c r="H1867">
        <v>1639.58</v>
      </c>
      <c r="I1867">
        <v>1620.13</v>
      </c>
      <c r="J1867">
        <v>4545636288</v>
      </c>
      <c r="K1867">
        <v>0</v>
      </c>
      <c r="L1867" s="2">
        <f>VLOOKUP(A1867,[1]aaabonddata!$A:$B,2,0)</f>
        <v>2.69</v>
      </c>
    </row>
    <row r="1868" spans="1:12" x14ac:dyDescent="0.2">
      <c r="A1868" s="3">
        <v>41480</v>
      </c>
      <c r="B1868" s="2">
        <v>3061.67</v>
      </c>
      <c r="C1868" s="2">
        <v>3063.76</v>
      </c>
      <c r="D1868" s="2">
        <v>3040.25</v>
      </c>
      <c r="E1868" s="2">
        <v>3442151112287</v>
      </c>
      <c r="F1868" s="2">
        <v>0</v>
      </c>
      <c r="G1868">
        <v>1645.95</v>
      </c>
      <c r="H1868">
        <v>1647.49</v>
      </c>
      <c r="I1868">
        <v>1632.65</v>
      </c>
      <c r="J1868">
        <v>4506298189</v>
      </c>
      <c r="K1868">
        <v>0</v>
      </c>
      <c r="L1868" s="2">
        <f>VLOOKUP(A1868,[1]aaabonddata!$A:$B,2,0)</f>
        <v>2.69</v>
      </c>
    </row>
    <row r="1869" spans="1:12" x14ac:dyDescent="0.2">
      <c r="A1869" s="3">
        <v>41481</v>
      </c>
      <c r="B1869" s="2">
        <v>3076.23</v>
      </c>
      <c r="C1869" s="2">
        <v>3076.23</v>
      </c>
      <c r="D1869" s="2">
        <v>3044.38</v>
      </c>
      <c r="E1869" s="2">
        <v>3458516350524</v>
      </c>
      <c r="F1869" s="2">
        <v>0</v>
      </c>
      <c r="G1869">
        <v>1639.72</v>
      </c>
      <c r="H1869">
        <v>1639.72</v>
      </c>
      <c r="I1869">
        <v>1626.49</v>
      </c>
      <c r="J1869">
        <v>4489246912</v>
      </c>
      <c r="K1869">
        <v>0</v>
      </c>
      <c r="L1869" s="2">
        <f>VLOOKUP(A1869,[1]aaabonddata!$A:$B,2,0)</f>
        <v>2.65</v>
      </c>
    </row>
    <row r="1870" spans="1:12" x14ac:dyDescent="0.2">
      <c r="A1870" s="3">
        <v>41484</v>
      </c>
      <c r="B1870" s="2">
        <v>3068.95</v>
      </c>
      <c r="C1870" s="2">
        <v>3083.34</v>
      </c>
      <c r="D1870" s="2">
        <v>3062.91</v>
      </c>
      <c r="E1870" s="2">
        <v>3450337374699</v>
      </c>
      <c r="F1870" s="2">
        <v>310563229</v>
      </c>
      <c r="G1870">
        <v>1633.62</v>
      </c>
      <c r="H1870">
        <v>1643.62</v>
      </c>
      <c r="I1870">
        <v>1630.35</v>
      </c>
      <c r="J1870">
        <v>4472546815</v>
      </c>
      <c r="K1870">
        <v>800915</v>
      </c>
      <c r="L1870" s="2">
        <f>VLOOKUP(A1870,[1]aaabonddata!$A:$B,2,0)</f>
        <v>2.68</v>
      </c>
    </row>
    <row r="1871" spans="1:12" x14ac:dyDescent="0.2">
      <c r="A1871" s="3">
        <v>41485</v>
      </c>
      <c r="B1871" s="2">
        <v>3085.33</v>
      </c>
      <c r="C1871" s="2">
        <v>3099.38</v>
      </c>
      <c r="D1871" s="2">
        <v>3076.39</v>
      </c>
      <c r="E1871" s="2">
        <v>3468751343587</v>
      </c>
      <c r="F1871" s="2">
        <v>127364297</v>
      </c>
      <c r="G1871">
        <v>1651.34</v>
      </c>
      <c r="H1871">
        <v>1654.48</v>
      </c>
      <c r="I1871">
        <v>1638.04</v>
      </c>
      <c r="J1871">
        <v>4521045089</v>
      </c>
      <c r="K1871">
        <v>0</v>
      </c>
      <c r="L1871" s="2">
        <f>VLOOKUP(A1871,[1]aaabonddata!$A:$B,2,0)</f>
        <v>2.68</v>
      </c>
    </row>
    <row r="1872" spans="1:12" x14ac:dyDescent="0.2">
      <c r="A1872" s="3">
        <v>41486</v>
      </c>
      <c r="B1872" s="2">
        <v>3090.19</v>
      </c>
      <c r="C1872" s="2">
        <v>3110.01</v>
      </c>
      <c r="D1872" s="2">
        <v>3087.47</v>
      </c>
      <c r="E1872" s="2">
        <v>3474208088366</v>
      </c>
      <c r="F1872" s="2">
        <v>0</v>
      </c>
      <c r="G1872">
        <v>1660.98</v>
      </c>
      <c r="H1872">
        <v>1670.36</v>
      </c>
      <c r="I1872">
        <v>1656.27</v>
      </c>
      <c r="J1872">
        <v>4547435537</v>
      </c>
      <c r="K1872">
        <v>0</v>
      </c>
      <c r="L1872" s="2">
        <f>VLOOKUP(A1872,[1]aaabonddata!$A:$B,2,0)</f>
        <v>2.75</v>
      </c>
    </row>
    <row r="1873" spans="1:12" x14ac:dyDescent="0.2">
      <c r="A1873" s="3">
        <v>41487</v>
      </c>
      <c r="B1873" s="2">
        <v>3126.3</v>
      </c>
      <c r="C1873" s="2">
        <v>3128.67</v>
      </c>
      <c r="D1873" s="2">
        <v>3111.28</v>
      </c>
      <c r="E1873" s="2">
        <v>3514811575973</v>
      </c>
      <c r="F1873" s="2">
        <v>0</v>
      </c>
      <c r="G1873">
        <v>1686.14</v>
      </c>
      <c r="H1873">
        <v>1687.32</v>
      </c>
      <c r="I1873">
        <v>1675.35</v>
      </c>
      <c r="J1873">
        <v>4616335680</v>
      </c>
      <c r="K1873">
        <v>0</v>
      </c>
      <c r="L1873" s="2">
        <f>VLOOKUP(A1873,[1]aaabonddata!$A:$B,2,0)</f>
        <v>2.84</v>
      </c>
    </row>
    <row r="1874" spans="1:12" x14ac:dyDescent="0.2">
      <c r="A1874" s="3">
        <v>41488</v>
      </c>
      <c r="B1874" s="2">
        <v>3143.52</v>
      </c>
      <c r="C1874" s="2">
        <v>3143.52</v>
      </c>
      <c r="D1874" s="2">
        <v>3118.04</v>
      </c>
      <c r="E1874" s="2">
        <v>3534171210215</v>
      </c>
      <c r="F1874" s="2">
        <v>0</v>
      </c>
      <c r="G1874">
        <v>1689.79</v>
      </c>
      <c r="H1874">
        <v>1689.79</v>
      </c>
      <c r="I1874">
        <v>1677.37</v>
      </c>
      <c r="J1874">
        <v>4626320885</v>
      </c>
      <c r="K1874">
        <v>0</v>
      </c>
      <c r="L1874" s="2">
        <f>VLOOKUP(A1874,[1]aaabonddata!$A:$B,2,0)</f>
        <v>2.75</v>
      </c>
    </row>
    <row r="1875" spans="1:12" x14ac:dyDescent="0.2">
      <c r="A1875" s="3">
        <v>41491</v>
      </c>
      <c r="B1875" s="2">
        <v>3143.19</v>
      </c>
      <c r="C1875" s="2">
        <v>3145.25</v>
      </c>
      <c r="D1875" s="2">
        <v>3133.52</v>
      </c>
      <c r="E1875" s="2">
        <v>3533796226090</v>
      </c>
      <c r="F1875" s="2">
        <v>1320690776</v>
      </c>
      <c r="G1875">
        <v>1688.57</v>
      </c>
      <c r="H1875">
        <v>1691.87</v>
      </c>
      <c r="I1875">
        <v>1683.61</v>
      </c>
      <c r="J1875">
        <v>4622989617</v>
      </c>
      <c r="K1875">
        <v>2470302</v>
      </c>
      <c r="L1875" s="2">
        <f>VLOOKUP(A1875,[1]aaabonddata!$A:$B,2,0)</f>
        <v>2.77</v>
      </c>
    </row>
    <row r="1876" spans="1:12" x14ac:dyDescent="0.2">
      <c r="A1876" s="3">
        <v>41492</v>
      </c>
      <c r="B1876" s="2">
        <v>3122.2</v>
      </c>
      <c r="C1876" s="2">
        <v>3141.05</v>
      </c>
      <c r="D1876" s="2">
        <v>3111.5</v>
      </c>
      <c r="E1876" s="2">
        <v>3510199784588</v>
      </c>
      <c r="F1876" s="2">
        <v>157227000</v>
      </c>
      <c r="G1876">
        <v>1679.89</v>
      </c>
      <c r="H1876">
        <v>1688.96</v>
      </c>
      <c r="I1876">
        <v>1675.23</v>
      </c>
      <c r="J1876">
        <v>4599219712</v>
      </c>
      <c r="K1876">
        <v>0</v>
      </c>
      <c r="L1876" s="2">
        <f>VLOOKUP(A1876,[1]aaabonddata!$A:$B,2,0)</f>
        <v>2.77</v>
      </c>
    </row>
    <row r="1877" spans="1:12" x14ac:dyDescent="0.2">
      <c r="A1877" s="3">
        <v>41493</v>
      </c>
      <c r="B1877" s="2">
        <v>3118.69</v>
      </c>
      <c r="C1877" s="2">
        <v>3123.92</v>
      </c>
      <c r="D1877" s="2">
        <v>3096.41</v>
      </c>
      <c r="E1877" s="2">
        <v>3506260153533</v>
      </c>
      <c r="F1877" s="2">
        <v>135275132</v>
      </c>
      <c r="G1877">
        <v>1675.58</v>
      </c>
      <c r="H1877">
        <v>1679.44</v>
      </c>
      <c r="I1877">
        <v>1664.96</v>
      </c>
      <c r="J1877">
        <v>4587426810</v>
      </c>
      <c r="K1877">
        <v>0</v>
      </c>
      <c r="L1877" s="2">
        <f>VLOOKUP(A1877,[1]aaabonddata!$A:$B,2,0)</f>
        <v>2.74</v>
      </c>
    </row>
    <row r="1878" spans="1:12" x14ac:dyDescent="0.2">
      <c r="A1878" s="3">
        <v>41494</v>
      </c>
      <c r="B1878" s="2">
        <v>3130.12</v>
      </c>
      <c r="C1878" s="2">
        <v>3137.67</v>
      </c>
      <c r="D1878" s="2">
        <v>3111.36</v>
      </c>
      <c r="E1878" s="2">
        <v>3519111058907</v>
      </c>
      <c r="F1878" s="2">
        <v>3066655153</v>
      </c>
      <c r="G1878">
        <v>1685.13</v>
      </c>
      <c r="H1878">
        <v>1688.36</v>
      </c>
      <c r="I1878">
        <v>1675.16</v>
      </c>
      <c r="J1878">
        <v>4613554460</v>
      </c>
      <c r="K1878">
        <v>1588299</v>
      </c>
      <c r="L1878" s="2">
        <f>VLOOKUP(A1878,[1]aaabonddata!$A:$B,2,0)</f>
        <v>2.74</v>
      </c>
    </row>
    <row r="1879" spans="1:12" x14ac:dyDescent="0.2">
      <c r="A1879" s="3">
        <v>41495</v>
      </c>
      <c r="B1879" s="2">
        <v>3118.57</v>
      </c>
      <c r="C1879" s="2">
        <v>3136.7</v>
      </c>
      <c r="D1879" s="2">
        <v>3109.86</v>
      </c>
      <c r="E1879" s="2">
        <v>3506122334405</v>
      </c>
      <c r="F1879" s="2">
        <v>0</v>
      </c>
      <c r="G1879">
        <v>1682.21</v>
      </c>
      <c r="H1879">
        <v>1689.13</v>
      </c>
      <c r="I1879">
        <v>1677.4</v>
      </c>
      <c r="J1879">
        <v>4605562151</v>
      </c>
      <c r="K1879">
        <v>0</v>
      </c>
      <c r="L1879" s="2">
        <f>VLOOKUP(A1879,[1]aaabonddata!$A:$B,2,0)</f>
        <v>2.73</v>
      </c>
    </row>
    <row r="1880" spans="1:12" x14ac:dyDescent="0.2">
      <c r="A1880" s="3">
        <v>41498</v>
      </c>
      <c r="B1880" s="2">
        <v>3125.92</v>
      </c>
      <c r="C1880" s="2">
        <v>3130.61</v>
      </c>
      <c r="D1880" s="2">
        <v>3106.25</v>
      </c>
      <c r="E1880" s="2">
        <v>3514388948134</v>
      </c>
      <c r="F1880" s="2">
        <v>0</v>
      </c>
      <c r="G1880">
        <v>1689.25</v>
      </c>
      <c r="H1880">
        <v>1692.29</v>
      </c>
      <c r="I1880">
        <v>1677.18</v>
      </c>
      <c r="J1880">
        <v>4624836003</v>
      </c>
      <c r="K1880">
        <v>0</v>
      </c>
      <c r="L1880" s="2">
        <f>VLOOKUP(A1880,[1]aaabonddata!$A:$B,2,0)</f>
        <v>2.75</v>
      </c>
    </row>
    <row r="1881" spans="1:12" x14ac:dyDescent="0.2">
      <c r="A1881" s="3">
        <v>41499</v>
      </c>
      <c r="B1881" s="2">
        <v>3141.06</v>
      </c>
      <c r="C1881" s="2">
        <v>3149.24</v>
      </c>
      <c r="D1881" s="2">
        <v>3106.27</v>
      </c>
      <c r="E1881" s="2">
        <v>3531410096969</v>
      </c>
      <c r="F1881" s="2">
        <v>1920754516</v>
      </c>
      <c r="G1881">
        <v>1697.98</v>
      </c>
      <c r="H1881">
        <v>1701.02</v>
      </c>
      <c r="I1881">
        <v>1678.65</v>
      </c>
      <c r="J1881">
        <v>4648742273</v>
      </c>
      <c r="K1881">
        <v>691938</v>
      </c>
      <c r="L1881" s="2">
        <f>VLOOKUP(A1881,[1]aaabonddata!$A:$B,2,0)</f>
        <v>2.83</v>
      </c>
    </row>
    <row r="1882" spans="1:12" x14ac:dyDescent="0.2">
      <c r="A1882" s="3">
        <v>41500</v>
      </c>
      <c r="B1882" s="2">
        <v>3129.45</v>
      </c>
      <c r="C1882" s="2">
        <v>3144.43</v>
      </c>
      <c r="D1882" s="2">
        <v>3125.41</v>
      </c>
      <c r="E1882" s="2">
        <v>3518348288370</v>
      </c>
      <c r="F1882" s="2">
        <v>558527740</v>
      </c>
      <c r="G1882">
        <v>1688.3</v>
      </c>
      <c r="H1882">
        <v>1696.18</v>
      </c>
      <c r="I1882">
        <v>1686.16</v>
      </c>
      <c r="J1882">
        <v>4622227184</v>
      </c>
      <c r="K1882">
        <v>1536886</v>
      </c>
      <c r="L1882" s="2">
        <f>VLOOKUP(A1882,[1]aaabonddata!$A:$B,2,0)</f>
        <v>2.82</v>
      </c>
    </row>
    <row r="1883" spans="1:12" x14ac:dyDescent="0.2">
      <c r="A1883" s="3">
        <v>41501</v>
      </c>
      <c r="B1883" s="2">
        <v>3076.23</v>
      </c>
      <c r="C1883" s="2">
        <v>3092.27</v>
      </c>
      <c r="D1883" s="2">
        <v>3068.08</v>
      </c>
      <c r="E1883" s="2">
        <v>3458519597200</v>
      </c>
      <c r="F1883" s="2">
        <v>0</v>
      </c>
      <c r="G1883">
        <v>1652.43</v>
      </c>
      <c r="H1883">
        <v>1664.56</v>
      </c>
      <c r="I1883">
        <v>1649.92</v>
      </c>
      <c r="J1883">
        <v>4524039309</v>
      </c>
      <c r="K1883">
        <v>0</v>
      </c>
      <c r="L1883" s="2">
        <f>VLOOKUP(A1883,[1]aaabonddata!$A:$B,2,0)</f>
        <v>2.86</v>
      </c>
    </row>
    <row r="1884" spans="1:12" x14ac:dyDescent="0.2">
      <c r="A1884" s="3">
        <v>41502</v>
      </c>
      <c r="B1884" s="2">
        <v>3073.91</v>
      </c>
      <c r="C1884" s="2">
        <v>3090.69</v>
      </c>
      <c r="D1884" s="2">
        <v>3070.43</v>
      </c>
      <c r="E1884" s="2">
        <v>3455914982913</v>
      </c>
      <c r="F1884" s="2">
        <v>0</v>
      </c>
      <c r="G1884">
        <v>1650.8</v>
      </c>
      <c r="H1884">
        <v>1659.85</v>
      </c>
      <c r="I1884">
        <v>1650.65</v>
      </c>
      <c r="J1884">
        <v>4519561883</v>
      </c>
      <c r="K1884">
        <v>0</v>
      </c>
      <c r="L1884" s="2">
        <f>VLOOKUP(A1884,[1]aaabonddata!$A:$B,2,0)</f>
        <v>2.91</v>
      </c>
    </row>
    <row r="1885" spans="1:12" x14ac:dyDescent="0.2">
      <c r="A1885" s="3">
        <v>41505</v>
      </c>
      <c r="B1885" s="2">
        <v>3069.76</v>
      </c>
      <c r="C1885" s="2">
        <v>3101.02</v>
      </c>
      <c r="D1885" s="2">
        <v>3069.47</v>
      </c>
      <c r="E1885" s="2">
        <v>3451243895573</v>
      </c>
      <c r="F1885" s="2">
        <v>69787899</v>
      </c>
      <c r="G1885">
        <v>1643.23</v>
      </c>
      <c r="H1885">
        <v>1659.46</v>
      </c>
      <c r="I1885">
        <v>1642.58</v>
      </c>
      <c r="J1885">
        <v>4498852175</v>
      </c>
      <c r="K1885">
        <v>963265</v>
      </c>
      <c r="L1885" s="2">
        <f>VLOOKUP(A1885,[1]aaabonddata!$A:$B,2,0)</f>
        <v>2.95</v>
      </c>
    </row>
    <row r="1886" spans="1:12" x14ac:dyDescent="0.2">
      <c r="A1886" s="3">
        <v>41506</v>
      </c>
      <c r="B1886" s="2">
        <v>3082.17</v>
      </c>
      <c r="C1886" s="2">
        <v>3096.42</v>
      </c>
      <c r="D1886" s="2">
        <v>3073.05</v>
      </c>
      <c r="E1886" s="2">
        <v>3465195772070</v>
      </c>
      <c r="F1886" s="2">
        <v>352478500</v>
      </c>
      <c r="G1886">
        <v>1649.53</v>
      </c>
      <c r="H1886">
        <v>1655.14</v>
      </c>
      <c r="I1886">
        <v>1642.36</v>
      </c>
      <c r="J1886">
        <v>4516105017</v>
      </c>
      <c r="K1886">
        <v>3024011</v>
      </c>
      <c r="L1886" s="2">
        <f>VLOOKUP(A1886,[1]aaabonddata!$A:$B,2,0)</f>
        <v>2.9</v>
      </c>
    </row>
    <row r="1887" spans="1:12" x14ac:dyDescent="0.2">
      <c r="A1887" s="3">
        <v>41507</v>
      </c>
      <c r="B1887" s="2">
        <v>3071.47</v>
      </c>
      <c r="C1887" s="2">
        <v>3098.62</v>
      </c>
      <c r="D1887" s="2">
        <v>3061.42</v>
      </c>
      <c r="E1887" s="2">
        <v>3453163318546</v>
      </c>
      <c r="F1887" s="2">
        <v>0</v>
      </c>
      <c r="G1887">
        <v>1646.5</v>
      </c>
      <c r="H1887">
        <v>1658.96</v>
      </c>
      <c r="I1887">
        <v>1640.1</v>
      </c>
      <c r="J1887">
        <v>4507800068</v>
      </c>
      <c r="K1887">
        <v>0</v>
      </c>
      <c r="L1887" s="2">
        <f>VLOOKUP(A1887,[1]aaabonddata!$A:$B,2,0)</f>
        <v>2.94</v>
      </c>
    </row>
    <row r="1888" spans="1:12" x14ac:dyDescent="0.2">
      <c r="A1888" s="3">
        <v>41508</v>
      </c>
      <c r="B1888" s="2">
        <v>3101.82</v>
      </c>
      <c r="C1888" s="2">
        <v>3103.64</v>
      </c>
      <c r="D1888" s="2">
        <v>3085.42</v>
      </c>
      <c r="E1888" s="2">
        <v>3486926273480</v>
      </c>
      <c r="F1888" s="2">
        <v>104495244</v>
      </c>
      <c r="G1888">
        <v>1663.66</v>
      </c>
      <c r="H1888">
        <v>1664.93</v>
      </c>
      <c r="I1888">
        <v>1651.65</v>
      </c>
      <c r="J1888">
        <v>4554794294</v>
      </c>
      <c r="K1888">
        <v>674764</v>
      </c>
      <c r="L1888" s="2">
        <f>VLOOKUP(A1888,[1]aaabonddata!$A:$B,2,0)</f>
        <v>2.98</v>
      </c>
    </row>
    <row r="1889" spans="1:12" x14ac:dyDescent="0.2">
      <c r="A1889" s="3">
        <v>41509</v>
      </c>
      <c r="B1889" s="2">
        <v>3124.27</v>
      </c>
      <c r="C1889" s="2">
        <v>3127.05</v>
      </c>
      <c r="D1889" s="2">
        <v>3112.87</v>
      </c>
      <c r="E1889" s="2">
        <v>3512161283040</v>
      </c>
      <c r="F1889" s="2">
        <v>0</v>
      </c>
      <c r="G1889">
        <v>1672.96</v>
      </c>
      <c r="H1889">
        <v>1675.4</v>
      </c>
      <c r="I1889">
        <v>1666.3</v>
      </c>
      <c r="J1889">
        <v>4580245359</v>
      </c>
      <c r="K1889">
        <v>0</v>
      </c>
      <c r="L1889" s="2">
        <f>VLOOKUP(A1889,[1]aaabonddata!$A:$B,2,0)</f>
        <v>2.92</v>
      </c>
    </row>
    <row r="1890" spans="1:12" x14ac:dyDescent="0.2">
      <c r="A1890" s="3">
        <v>41512</v>
      </c>
      <c r="B1890" s="2">
        <v>3122.67</v>
      </c>
      <c r="C1890" s="2">
        <v>3147.87</v>
      </c>
      <c r="D1890" s="2">
        <v>3118.52</v>
      </c>
      <c r="E1890" s="2">
        <v>3510369333401</v>
      </c>
      <c r="F1890" s="2">
        <v>142694499</v>
      </c>
      <c r="G1890">
        <v>1667.07</v>
      </c>
      <c r="H1890">
        <v>1678.1</v>
      </c>
      <c r="I1890">
        <v>1664.63</v>
      </c>
      <c r="J1890">
        <v>4564125634</v>
      </c>
      <c r="K1890">
        <v>0</v>
      </c>
      <c r="L1890" s="2">
        <f>VLOOKUP(A1890,[1]aaabonddata!$A:$B,2,0)</f>
        <v>2.9</v>
      </c>
    </row>
    <row r="1891" spans="1:12" x14ac:dyDescent="0.2">
      <c r="A1891" s="3">
        <v>41513</v>
      </c>
      <c r="B1891" s="2">
        <v>3059.58</v>
      </c>
      <c r="C1891" s="2">
        <v>3102.27</v>
      </c>
      <c r="D1891" s="2">
        <v>3053.26</v>
      </c>
      <c r="E1891" s="2">
        <v>3439441029209</v>
      </c>
      <c r="F1891" s="2">
        <v>0</v>
      </c>
      <c r="G1891">
        <v>1631.12</v>
      </c>
      <c r="H1891">
        <v>1651.27</v>
      </c>
      <c r="I1891">
        <v>1628.07</v>
      </c>
      <c r="J1891">
        <v>4465688423</v>
      </c>
      <c r="K1891">
        <v>0</v>
      </c>
      <c r="L1891" s="2">
        <f>VLOOKUP(A1891,[1]aaabonddata!$A:$B,2,0)</f>
        <v>2.83</v>
      </c>
    </row>
    <row r="1892" spans="1:12" x14ac:dyDescent="0.2">
      <c r="A1892" s="3">
        <v>41514</v>
      </c>
      <c r="B1892" s="2">
        <v>3072.17</v>
      </c>
      <c r="C1892" s="2">
        <v>3085.68</v>
      </c>
      <c r="D1892" s="2">
        <v>3060.54</v>
      </c>
      <c r="E1892" s="2">
        <v>3453601438031</v>
      </c>
      <c r="F1892" s="2">
        <v>187958173</v>
      </c>
      <c r="G1892">
        <v>1640.91</v>
      </c>
      <c r="H1892">
        <v>1647.09</v>
      </c>
      <c r="I1892">
        <v>1634.27</v>
      </c>
      <c r="J1892">
        <v>4492484726</v>
      </c>
      <c r="K1892">
        <v>1083472</v>
      </c>
      <c r="L1892" s="2">
        <f>VLOOKUP(A1892,[1]aaabonddata!$A:$B,2,0)</f>
        <v>2.88</v>
      </c>
    </row>
    <row r="1893" spans="1:12" x14ac:dyDescent="0.2">
      <c r="A1893" s="3">
        <v>41515</v>
      </c>
      <c r="B1893" s="2">
        <v>3093.36</v>
      </c>
      <c r="C1893" s="2">
        <v>3109.07</v>
      </c>
      <c r="D1893" s="2">
        <v>3065.87</v>
      </c>
      <c r="E1893" s="2">
        <v>3477417665620</v>
      </c>
      <c r="F1893" s="2">
        <v>0</v>
      </c>
      <c r="G1893">
        <v>1653.04</v>
      </c>
      <c r="H1893">
        <v>1658.63</v>
      </c>
      <c r="I1893">
        <v>1635.62</v>
      </c>
      <c r="J1893">
        <v>4525710045</v>
      </c>
      <c r="K1893">
        <v>0</v>
      </c>
      <c r="L1893" s="2">
        <f>VLOOKUP(A1893,[1]aaabonddata!$A:$B,2,0)</f>
        <v>2.86</v>
      </c>
    </row>
    <row r="1894" spans="1:12" x14ac:dyDescent="0.2">
      <c r="A1894" s="3">
        <v>41516</v>
      </c>
      <c r="B1894" s="2">
        <v>3073.81</v>
      </c>
      <c r="C1894" s="2">
        <v>3095.44</v>
      </c>
      <c r="D1894" s="2">
        <v>3063.07</v>
      </c>
      <c r="E1894" s="2">
        <v>3455442946011</v>
      </c>
      <c r="F1894" s="2">
        <v>604742401</v>
      </c>
      <c r="G1894">
        <v>1643.54</v>
      </c>
      <c r="H1894">
        <v>1656.19</v>
      </c>
      <c r="I1894">
        <v>1638.49</v>
      </c>
      <c r="J1894">
        <v>4499698641</v>
      </c>
      <c r="K1894">
        <v>576796</v>
      </c>
      <c r="L1894" s="2" t="e">
        <f>VLOOKUP(A1894,[1]aaabonddata!$A:$B,2,0)</f>
        <v>#N/A</v>
      </c>
    </row>
    <row r="1895" spans="1:12" x14ac:dyDescent="0.2">
      <c r="A1895" s="3">
        <v>41520</v>
      </c>
      <c r="B1895" s="2">
        <v>3091.76</v>
      </c>
      <c r="C1895" s="2">
        <v>3112.42</v>
      </c>
      <c r="D1895" s="2">
        <v>3077.13</v>
      </c>
      <c r="E1895" s="2">
        <v>3475617065344</v>
      </c>
      <c r="F1895" s="2">
        <v>0</v>
      </c>
      <c r="G1895">
        <v>1658.46</v>
      </c>
      <c r="H1895">
        <v>1672.58</v>
      </c>
      <c r="I1895">
        <v>1650.89</v>
      </c>
      <c r="J1895">
        <v>4540552577</v>
      </c>
      <c r="K1895">
        <v>0</v>
      </c>
      <c r="L1895" s="2">
        <f>VLOOKUP(A1895,[1]aaabonddata!$A:$B,2,0)</f>
        <v>2.93</v>
      </c>
    </row>
    <row r="1896" spans="1:12" x14ac:dyDescent="0.2">
      <c r="A1896" s="3">
        <v>41521</v>
      </c>
      <c r="B1896" s="2">
        <v>3124.54</v>
      </c>
      <c r="C1896" s="2">
        <v>3128.8</v>
      </c>
      <c r="D1896" s="2">
        <v>3092.96</v>
      </c>
      <c r="E1896" s="2">
        <v>3512469068659</v>
      </c>
      <c r="F1896" s="2">
        <v>93562796</v>
      </c>
      <c r="G1896">
        <v>1679.26</v>
      </c>
      <c r="H1896">
        <v>1682.58</v>
      </c>
      <c r="I1896">
        <v>1658.11</v>
      </c>
      <c r="J1896">
        <v>4597493878</v>
      </c>
      <c r="K1896">
        <v>0</v>
      </c>
      <c r="L1896" s="2">
        <f>VLOOKUP(A1896,[1]aaabonddata!$A:$B,2,0)</f>
        <v>2.97</v>
      </c>
    </row>
    <row r="1897" spans="1:12" x14ac:dyDescent="0.2">
      <c r="A1897" s="3">
        <v>41522</v>
      </c>
      <c r="B1897" s="2">
        <v>3129.94</v>
      </c>
      <c r="C1897" s="2">
        <v>3138.06</v>
      </c>
      <c r="D1897" s="2">
        <v>3125.38</v>
      </c>
      <c r="E1897" s="2">
        <v>3518537017261</v>
      </c>
      <c r="F1897" s="2">
        <v>0</v>
      </c>
      <c r="G1897">
        <v>1684.75</v>
      </c>
      <c r="H1897">
        <v>1687.52</v>
      </c>
      <c r="I1897">
        <v>1678.96</v>
      </c>
      <c r="J1897">
        <v>4612515371</v>
      </c>
      <c r="K1897">
        <v>0</v>
      </c>
      <c r="L1897" s="2">
        <f>VLOOKUP(A1897,[1]aaabonddata!$A:$B,2,0)</f>
        <v>3.06</v>
      </c>
    </row>
    <row r="1898" spans="1:12" x14ac:dyDescent="0.2">
      <c r="A1898" s="3">
        <v>41523</v>
      </c>
      <c r="B1898" s="2">
        <v>3133.38</v>
      </c>
      <c r="C1898" s="2">
        <v>3148.99</v>
      </c>
      <c r="D1898" s="2">
        <v>3098.02</v>
      </c>
      <c r="E1898" s="2">
        <v>3522401749178</v>
      </c>
      <c r="F1898" s="2">
        <v>0</v>
      </c>
      <c r="G1898">
        <v>1686.36</v>
      </c>
      <c r="H1898">
        <v>1695.22</v>
      </c>
      <c r="I1898">
        <v>1667.19</v>
      </c>
      <c r="J1898">
        <v>4616927106</v>
      </c>
      <c r="K1898">
        <v>0</v>
      </c>
      <c r="L1898" s="2">
        <f>VLOOKUP(A1898,[1]aaabonddata!$A:$B,2,0)</f>
        <v>3.02</v>
      </c>
    </row>
    <row r="1899" spans="1:12" x14ac:dyDescent="0.2">
      <c r="A1899" s="3">
        <v>41526</v>
      </c>
      <c r="B1899" s="2">
        <v>3169.93</v>
      </c>
      <c r="C1899" s="2">
        <v>3174.87</v>
      </c>
      <c r="D1899" s="2">
        <v>3146.02</v>
      </c>
      <c r="E1899" s="2">
        <v>3563491563356</v>
      </c>
      <c r="F1899" s="2">
        <v>189502757</v>
      </c>
      <c r="G1899">
        <v>1704.74</v>
      </c>
      <c r="H1899">
        <v>1709.84</v>
      </c>
      <c r="I1899">
        <v>1691.58</v>
      </c>
      <c r="J1899">
        <v>4667257632</v>
      </c>
      <c r="K1899">
        <v>0</v>
      </c>
      <c r="L1899" s="2">
        <f>VLOOKUP(A1899,[1]aaabonddata!$A:$B,2,0)</f>
        <v>2.98</v>
      </c>
    </row>
    <row r="1900" spans="1:12" x14ac:dyDescent="0.2">
      <c r="A1900" s="3">
        <v>41527</v>
      </c>
      <c r="B1900" s="2">
        <v>3185.07</v>
      </c>
      <c r="C1900" s="2">
        <v>3189.24</v>
      </c>
      <c r="D1900" s="2">
        <v>3173.11</v>
      </c>
      <c r="E1900" s="2">
        <v>3580512225853</v>
      </c>
      <c r="F1900" s="2">
        <v>0</v>
      </c>
      <c r="G1900">
        <v>1724.46</v>
      </c>
      <c r="H1900">
        <v>1725.43</v>
      </c>
      <c r="I1900">
        <v>1714.75</v>
      </c>
      <c r="J1900">
        <v>4721231702</v>
      </c>
      <c r="K1900">
        <v>0</v>
      </c>
      <c r="L1900" s="2">
        <f>VLOOKUP(A1900,[1]aaabonddata!$A:$B,2,0)</f>
        <v>3.02</v>
      </c>
    </row>
    <row r="1901" spans="1:12" x14ac:dyDescent="0.2">
      <c r="A1901" s="3">
        <v>41528</v>
      </c>
      <c r="B1901" s="2">
        <v>3179.86</v>
      </c>
      <c r="C1901" s="2">
        <v>3180.37</v>
      </c>
      <c r="D1901" s="2">
        <v>3159.31</v>
      </c>
      <c r="E1901" s="2">
        <v>3574660151767</v>
      </c>
      <c r="F1901" s="2">
        <v>341201476</v>
      </c>
      <c r="G1901">
        <v>1731.44</v>
      </c>
      <c r="H1901">
        <v>1733.2</v>
      </c>
      <c r="I1901">
        <v>1718.7</v>
      </c>
      <c r="J1901">
        <v>4740358428</v>
      </c>
      <c r="K1901">
        <v>0</v>
      </c>
      <c r="L1901" s="2">
        <f>VLOOKUP(A1901,[1]aaabonddata!$A:$B,2,0)</f>
        <v>2.99</v>
      </c>
    </row>
    <row r="1902" spans="1:12" x14ac:dyDescent="0.2">
      <c r="A1902" s="3">
        <v>41529</v>
      </c>
      <c r="B1902" s="2">
        <v>3175.57</v>
      </c>
      <c r="C1902" s="2">
        <v>3186.3</v>
      </c>
      <c r="D1902" s="2">
        <v>3170.14</v>
      </c>
      <c r="E1902" s="2">
        <v>3569830012462</v>
      </c>
      <c r="F1902" s="2">
        <v>88287818</v>
      </c>
      <c r="G1902">
        <v>1723.55</v>
      </c>
      <c r="H1902">
        <v>1733.55</v>
      </c>
      <c r="I1902">
        <v>1721.71</v>
      </c>
      <c r="J1902">
        <v>4718741233</v>
      </c>
      <c r="K1902">
        <v>1296830</v>
      </c>
      <c r="L1902" s="2">
        <f>VLOOKUP(A1902,[1]aaabonddata!$A:$B,2,0)</f>
        <v>2.98</v>
      </c>
    </row>
    <row r="1903" spans="1:12" x14ac:dyDescent="0.2">
      <c r="A1903" s="3">
        <v>41530</v>
      </c>
      <c r="B1903" s="2">
        <v>3178.27</v>
      </c>
      <c r="C1903" s="2">
        <v>3182.11</v>
      </c>
      <c r="D1903" s="2">
        <v>3161.65</v>
      </c>
      <c r="E1903" s="2">
        <v>3572874835364</v>
      </c>
      <c r="F1903" s="2">
        <v>0</v>
      </c>
      <c r="G1903">
        <v>1725.88</v>
      </c>
      <c r="H1903">
        <v>1728.27</v>
      </c>
      <c r="I1903">
        <v>1716.01</v>
      </c>
      <c r="J1903">
        <v>4725130649</v>
      </c>
      <c r="K1903">
        <v>0</v>
      </c>
      <c r="L1903" s="2">
        <f>VLOOKUP(A1903,[1]aaabonddata!$A:$B,2,0)</f>
        <v>2.98</v>
      </c>
    </row>
    <row r="1904" spans="1:12" x14ac:dyDescent="0.2">
      <c r="A1904" s="3">
        <v>41533</v>
      </c>
      <c r="B1904" s="2">
        <v>3168.69</v>
      </c>
      <c r="C1904" s="2">
        <v>3204.59</v>
      </c>
      <c r="D1904" s="2">
        <v>3163.13</v>
      </c>
      <c r="E1904" s="2">
        <v>3562097800346</v>
      </c>
      <c r="F1904" s="2">
        <v>0</v>
      </c>
      <c r="G1904">
        <v>1728.25</v>
      </c>
      <c r="H1904">
        <v>1742.85</v>
      </c>
      <c r="I1904">
        <v>1725.81</v>
      </c>
      <c r="J1904">
        <v>4731623788</v>
      </c>
      <c r="K1904">
        <v>0</v>
      </c>
      <c r="L1904" s="2">
        <f>VLOOKUP(A1904,[1]aaabonddata!$A:$B,2,0)</f>
        <v>2.96</v>
      </c>
    </row>
    <row r="1905" spans="1:12" x14ac:dyDescent="0.2">
      <c r="A1905" s="3">
        <v>41534</v>
      </c>
      <c r="B1905" s="2">
        <v>3190.83</v>
      </c>
      <c r="C1905" s="2">
        <v>3195.15</v>
      </c>
      <c r="D1905" s="2">
        <v>3176.58</v>
      </c>
      <c r="E1905" s="2">
        <v>3586990167050</v>
      </c>
      <c r="F1905" s="2">
        <v>56645686</v>
      </c>
      <c r="G1905">
        <v>1743.35</v>
      </c>
      <c r="H1905">
        <v>1745.29</v>
      </c>
      <c r="I1905">
        <v>1731.29</v>
      </c>
      <c r="J1905">
        <v>4772944560</v>
      </c>
      <c r="K1905">
        <v>615796</v>
      </c>
      <c r="L1905" s="2">
        <f>VLOOKUP(A1905,[1]aaabonddata!$A:$B,2,0)</f>
        <v>2.95</v>
      </c>
    </row>
    <row r="1906" spans="1:12" x14ac:dyDescent="0.2">
      <c r="A1906" s="3">
        <v>41535</v>
      </c>
      <c r="B1906" s="2">
        <v>3231.31</v>
      </c>
      <c r="C1906" s="2">
        <v>3235.72</v>
      </c>
      <c r="D1906" s="2">
        <v>3190.01</v>
      </c>
      <c r="E1906" s="2">
        <v>3632492472078</v>
      </c>
      <c r="F1906" s="2">
        <v>0</v>
      </c>
      <c r="G1906">
        <v>1758.22</v>
      </c>
      <c r="H1906">
        <v>1758.39</v>
      </c>
      <c r="I1906">
        <v>1740.96</v>
      </c>
      <c r="J1906">
        <v>4813667156</v>
      </c>
      <c r="K1906">
        <v>0</v>
      </c>
      <c r="L1906" s="2">
        <f>VLOOKUP(A1906,[1]aaabonddata!$A:$B,2,0)</f>
        <v>2.84</v>
      </c>
    </row>
    <row r="1907" spans="1:12" x14ac:dyDescent="0.2">
      <c r="A1907" s="3">
        <v>41536</v>
      </c>
      <c r="B1907" s="2">
        <v>3237.61</v>
      </c>
      <c r="C1907" s="2">
        <v>3245.12</v>
      </c>
      <c r="D1907" s="2">
        <v>3231.68</v>
      </c>
      <c r="E1907" s="2">
        <v>3639577683784</v>
      </c>
      <c r="F1907" s="2">
        <v>0</v>
      </c>
      <c r="G1907">
        <v>1762.43</v>
      </c>
      <c r="H1907">
        <v>1765.76</v>
      </c>
      <c r="I1907">
        <v>1756.68</v>
      </c>
      <c r="J1907">
        <v>4825182500</v>
      </c>
      <c r="K1907">
        <v>0</v>
      </c>
      <c r="L1907" s="2">
        <f>VLOOKUP(A1907,[1]aaabonddata!$A:$B,2,0)</f>
        <v>2.86</v>
      </c>
    </row>
    <row r="1908" spans="1:12" x14ac:dyDescent="0.2">
      <c r="A1908" s="3">
        <v>41537</v>
      </c>
      <c r="B1908" s="2">
        <v>3224.73</v>
      </c>
      <c r="C1908" s="2">
        <v>3248.52</v>
      </c>
      <c r="D1908" s="2">
        <v>3224.73</v>
      </c>
      <c r="E1908" s="2">
        <v>3625101216123</v>
      </c>
      <c r="F1908" s="2">
        <v>0</v>
      </c>
      <c r="G1908">
        <v>1755.43</v>
      </c>
      <c r="H1908">
        <v>1768.29</v>
      </c>
      <c r="I1908">
        <v>1753.11</v>
      </c>
      <c r="J1908">
        <v>4806016017</v>
      </c>
      <c r="K1908">
        <v>0</v>
      </c>
      <c r="L1908" s="2">
        <f>VLOOKUP(A1908,[1]aaabonddata!$A:$B,2,0)</f>
        <v>2.84</v>
      </c>
    </row>
    <row r="1909" spans="1:12" x14ac:dyDescent="0.2">
      <c r="A1909" s="3">
        <v>41540</v>
      </c>
      <c r="B1909" s="2">
        <v>3219.34</v>
      </c>
      <c r="C1909" s="2">
        <v>3243.43</v>
      </c>
      <c r="D1909" s="2">
        <v>3205.5</v>
      </c>
      <c r="E1909" s="2">
        <v>3609637107705</v>
      </c>
      <c r="F1909" s="2">
        <v>0</v>
      </c>
      <c r="G1909">
        <v>1745.2</v>
      </c>
      <c r="H1909">
        <v>1759.96</v>
      </c>
      <c r="I1909">
        <v>1737.17</v>
      </c>
      <c r="J1909">
        <v>4175526687</v>
      </c>
      <c r="K1909">
        <v>0</v>
      </c>
      <c r="L1909" s="2">
        <f>VLOOKUP(A1909,[1]aaabonddata!$A:$B,2,0)</f>
        <v>2.83</v>
      </c>
    </row>
    <row r="1910" spans="1:12" x14ac:dyDescent="0.2">
      <c r="A1910" s="3">
        <v>41541</v>
      </c>
      <c r="B1910" s="2">
        <v>3218.66</v>
      </c>
      <c r="C1910" s="2">
        <v>3236.84</v>
      </c>
      <c r="D1910" s="2">
        <v>3209.39</v>
      </c>
      <c r="E1910" s="2">
        <v>3608871281945</v>
      </c>
      <c r="F1910" s="2">
        <v>0</v>
      </c>
      <c r="G1910">
        <v>1749.91</v>
      </c>
      <c r="H1910">
        <v>1758.87</v>
      </c>
      <c r="I1910">
        <v>1740.27</v>
      </c>
      <c r="J1910">
        <v>4186807603</v>
      </c>
      <c r="K1910">
        <v>0</v>
      </c>
      <c r="L1910" s="2">
        <f>VLOOKUP(A1910,[1]aaabonddata!$A:$B,2,0)</f>
        <v>2.79</v>
      </c>
    </row>
    <row r="1911" spans="1:12" x14ac:dyDescent="0.2">
      <c r="A1911" s="3">
        <v>41542</v>
      </c>
      <c r="B1911" s="2">
        <v>3208.55</v>
      </c>
      <c r="C1911" s="2">
        <v>3226.62</v>
      </c>
      <c r="D1911" s="2">
        <v>3202.75</v>
      </c>
      <c r="E1911" s="2">
        <v>3597536220021</v>
      </c>
      <c r="F1911" s="2">
        <v>125403567</v>
      </c>
      <c r="G1911">
        <v>1754.32</v>
      </c>
      <c r="H1911">
        <v>1762.23</v>
      </c>
      <c r="I1911">
        <v>1744.39</v>
      </c>
      <c r="J1911">
        <v>4197352849</v>
      </c>
      <c r="K1911">
        <v>0</v>
      </c>
      <c r="L1911" s="2">
        <f>VLOOKUP(A1911,[1]aaabonddata!$A:$B,2,0)</f>
        <v>2.75</v>
      </c>
    </row>
    <row r="1912" spans="1:12" x14ac:dyDescent="0.2">
      <c r="A1912" s="3">
        <v>41543</v>
      </c>
      <c r="B1912" s="2">
        <v>3234.04</v>
      </c>
      <c r="C1912" s="2">
        <v>3240.99</v>
      </c>
      <c r="D1912" s="2">
        <v>3221.17</v>
      </c>
      <c r="E1912" s="2">
        <v>3626113462591</v>
      </c>
      <c r="F1912" s="2">
        <v>308542204</v>
      </c>
      <c r="G1912">
        <v>1759.83</v>
      </c>
      <c r="H1912">
        <v>1766.37</v>
      </c>
      <c r="I1912">
        <v>1753.77</v>
      </c>
      <c r="J1912">
        <v>4210542670</v>
      </c>
      <c r="K1912">
        <v>392588</v>
      </c>
      <c r="L1912" s="2">
        <f>VLOOKUP(A1912,[1]aaabonddata!$A:$B,2,0)</f>
        <v>2.77</v>
      </c>
    </row>
    <row r="1913" spans="1:12" x14ac:dyDescent="0.2">
      <c r="A1913" s="3">
        <v>41544</v>
      </c>
      <c r="B1913" s="2">
        <v>3230.3</v>
      </c>
      <c r="C1913" s="2">
        <v>3235.29</v>
      </c>
      <c r="D1913" s="2">
        <v>3210.8</v>
      </c>
      <c r="E1913" s="2">
        <v>3621929547045</v>
      </c>
      <c r="F1913" s="2">
        <v>140669542</v>
      </c>
      <c r="G1913">
        <v>1754.56</v>
      </c>
      <c r="H1913">
        <v>1759.14</v>
      </c>
      <c r="I1913">
        <v>1746.55</v>
      </c>
      <c r="J1913">
        <v>4197939865</v>
      </c>
      <c r="K1913">
        <v>575954</v>
      </c>
      <c r="L1913" s="2">
        <f>VLOOKUP(A1913,[1]aaabonddata!$A:$B,2,0)</f>
        <v>2.76</v>
      </c>
    </row>
    <row r="1914" spans="1:12" x14ac:dyDescent="0.2">
      <c r="A1914" s="3">
        <v>41547</v>
      </c>
      <c r="B1914" s="2">
        <v>3218.2</v>
      </c>
      <c r="C1914" s="2">
        <v>3229.45</v>
      </c>
      <c r="D1914" s="2">
        <v>3186.86</v>
      </c>
      <c r="E1914" s="2">
        <v>3608354824442</v>
      </c>
      <c r="F1914" s="2">
        <v>416052977</v>
      </c>
      <c r="G1914">
        <v>1750.28</v>
      </c>
      <c r="H1914">
        <v>1754.98</v>
      </c>
      <c r="I1914">
        <v>1730.23</v>
      </c>
      <c r="J1914">
        <v>4187698513</v>
      </c>
      <c r="K1914">
        <v>0</v>
      </c>
      <c r="L1914" s="2">
        <f>VLOOKUP(A1914,[1]aaabonddata!$A:$B,2,0)</f>
        <v>2.76</v>
      </c>
    </row>
    <row r="1915" spans="1:12" x14ac:dyDescent="0.2">
      <c r="A1915" s="3">
        <v>41548</v>
      </c>
      <c r="B1915" s="2">
        <v>3253.05</v>
      </c>
      <c r="C1915" s="2">
        <v>3254.33</v>
      </c>
      <c r="D1915" s="2">
        <v>3220.92</v>
      </c>
      <c r="E1915" s="2">
        <v>3647426948450</v>
      </c>
      <c r="F1915" s="2">
        <v>908537122</v>
      </c>
      <c r="G1915">
        <v>1765.98</v>
      </c>
      <c r="H1915">
        <v>1769.19</v>
      </c>
      <c r="I1915">
        <v>1748.7</v>
      </c>
      <c r="J1915">
        <v>4225249259</v>
      </c>
      <c r="K1915">
        <v>693878</v>
      </c>
      <c r="L1915" s="2">
        <f>VLOOKUP(A1915,[1]aaabonddata!$A:$B,2,0)</f>
        <v>2.79</v>
      </c>
    </row>
    <row r="1916" spans="1:12" x14ac:dyDescent="0.2">
      <c r="A1916" s="3">
        <v>41549</v>
      </c>
      <c r="B1916" s="2">
        <v>3253.25</v>
      </c>
      <c r="C1916" s="2">
        <v>3256.71</v>
      </c>
      <c r="D1916" s="2">
        <v>3228.44</v>
      </c>
      <c r="E1916" s="2">
        <v>3647661795048</v>
      </c>
      <c r="F1916" s="2">
        <v>0</v>
      </c>
      <c r="G1916">
        <v>1766.08</v>
      </c>
      <c r="H1916">
        <v>1767.63</v>
      </c>
      <c r="I1916">
        <v>1754.28</v>
      </c>
      <c r="J1916">
        <v>4225491853</v>
      </c>
      <c r="K1916">
        <v>0</v>
      </c>
      <c r="L1916" s="2">
        <f>VLOOKUP(A1916,[1]aaabonddata!$A:$B,2,0)</f>
        <v>2.77</v>
      </c>
    </row>
    <row r="1917" spans="1:12" x14ac:dyDescent="0.2">
      <c r="A1917" s="3">
        <v>41550</v>
      </c>
      <c r="B1917" s="2">
        <v>3213.83</v>
      </c>
      <c r="C1917" s="2">
        <v>3254.91</v>
      </c>
      <c r="D1917" s="2">
        <v>3197.36</v>
      </c>
      <c r="E1917" s="2">
        <v>3603460216975</v>
      </c>
      <c r="F1917" s="2">
        <v>0</v>
      </c>
      <c r="G1917">
        <v>1748.5</v>
      </c>
      <c r="H1917">
        <v>1767.83</v>
      </c>
      <c r="I1917">
        <v>1734.66</v>
      </c>
      <c r="J1917">
        <v>4183424526</v>
      </c>
      <c r="K1917">
        <v>0</v>
      </c>
      <c r="L1917" s="2">
        <f>VLOOKUP(A1917,[1]aaabonddata!$A:$B,2,0)</f>
        <v>2.76</v>
      </c>
    </row>
    <row r="1918" spans="1:12" x14ac:dyDescent="0.2">
      <c r="A1918" s="3">
        <v>41551</v>
      </c>
      <c r="B1918" s="2">
        <v>3242.57</v>
      </c>
      <c r="C1918" s="2">
        <v>3246.16</v>
      </c>
      <c r="D1918" s="2">
        <v>3212.01</v>
      </c>
      <c r="E1918" s="2">
        <v>3635686612523</v>
      </c>
      <c r="F1918" s="2">
        <v>0</v>
      </c>
      <c r="G1918">
        <v>1769.73</v>
      </c>
      <c r="H1918">
        <v>1772.5</v>
      </c>
      <c r="I1918">
        <v>1748.36</v>
      </c>
      <c r="J1918">
        <v>4234229433</v>
      </c>
      <c r="K1918">
        <v>0</v>
      </c>
      <c r="L1918" s="2">
        <f>VLOOKUP(A1918,[1]aaabonddata!$A:$B,2,0)</f>
        <v>2.79</v>
      </c>
    </row>
    <row r="1919" spans="1:12" x14ac:dyDescent="0.2">
      <c r="A1919" s="3">
        <v>41554</v>
      </c>
      <c r="B1919" s="2">
        <v>3215.69</v>
      </c>
      <c r="C1919" s="2">
        <v>3240.11</v>
      </c>
      <c r="D1919" s="2">
        <v>3213.01</v>
      </c>
      <c r="E1919" s="2">
        <v>3605547099704</v>
      </c>
      <c r="F1919" s="2">
        <v>0</v>
      </c>
      <c r="G1919">
        <v>1758.37</v>
      </c>
      <c r="H1919">
        <v>1769.34</v>
      </c>
      <c r="I1919">
        <v>1752.71</v>
      </c>
      <c r="J1919">
        <v>4207039208</v>
      </c>
      <c r="K1919">
        <v>0</v>
      </c>
      <c r="L1919" s="2">
        <f>VLOOKUP(A1919,[1]aaabonddata!$A:$B,2,0)</f>
        <v>2.78</v>
      </c>
    </row>
    <row r="1920" spans="1:12" x14ac:dyDescent="0.2">
      <c r="A1920" s="3">
        <v>41555</v>
      </c>
      <c r="B1920" s="2">
        <v>3153.87</v>
      </c>
      <c r="C1920" s="2">
        <v>3217.15</v>
      </c>
      <c r="D1920" s="2">
        <v>3152.26</v>
      </c>
      <c r="E1920" s="2">
        <v>3536226645427</v>
      </c>
      <c r="F1920" s="2">
        <v>56415799</v>
      </c>
      <c r="G1920">
        <v>1725.54</v>
      </c>
      <c r="H1920">
        <v>1762.76</v>
      </c>
      <c r="I1920">
        <v>1722.74</v>
      </c>
      <c r="J1920">
        <v>4128509430</v>
      </c>
      <c r="K1920">
        <v>284559</v>
      </c>
      <c r="L1920" s="2">
        <f>VLOOKUP(A1920,[1]aaabonddata!$A:$B,2,0)</f>
        <v>2.79</v>
      </c>
    </row>
    <row r="1921" spans="1:12" x14ac:dyDescent="0.2">
      <c r="A1921" s="3">
        <v>41556</v>
      </c>
      <c r="B1921" s="2">
        <v>3142.54</v>
      </c>
      <c r="C1921" s="2">
        <v>3161.76</v>
      </c>
      <c r="D1921" s="2">
        <v>3117.69</v>
      </c>
      <c r="E1921" s="2">
        <v>3523519411358</v>
      </c>
      <c r="F1921" s="2">
        <v>312669872</v>
      </c>
      <c r="G1921">
        <v>1719.49</v>
      </c>
      <c r="H1921">
        <v>1733.69</v>
      </c>
      <c r="I1921">
        <v>1703.43</v>
      </c>
      <c r="J1921">
        <v>4114014367</v>
      </c>
      <c r="K1921">
        <v>0</v>
      </c>
      <c r="L1921" s="2">
        <f>VLOOKUP(A1921,[1]aaabonddata!$A:$B,2,0)</f>
        <v>2.8</v>
      </c>
    </row>
    <row r="1922" spans="1:12" x14ac:dyDescent="0.2">
      <c r="A1922" s="3">
        <v>41557</v>
      </c>
      <c r="B1922" s="2">
        <v>3210.84</v>
      </c>
      <c r="C1922" s="2">
        <v>3216.03</v>
      </c>
      <c r="D1922" s="2">
        <v>3178.67</v>
      </c>
      <c r="E1922" s="2">
        <v>3600108309927</v>
      </c>
      <c r="F1922" s="2">
        <v>0</v>
      </c>
      <c r="G1922">
        <v>1752.5</v>
      </c>
      <c r="H1922">
        <v>1755.01</v>
      </c>
      <c r="I1922">
        <v>1730.28</v>
      </c>
      <c r="J1922">
        <v>4192992171</v>
      </c>
      <c r="K1922">
        <v>0</v>
      </c>
      <c r="L1922" s="2">
        <f>VLOOKUP(A1922,[1]aaabonddata!$A:$B,2,0)</f>
        <v>2.81</v>
      </c>
    </row>
    <row r="1923" spans="1:12" x14ac:dyDescent="0.2">
      <c r="A1923" s="3">
        <v>41558</v>
      </c>
      <c r="B1923" s="2">
        <v>3233.83</v>
      </c>
      <c r="C1923" s="2">
        <v>3237.01</v>
      </c>
      <c r="D1923" s="2">
        <v>3201.93</v>
      </c>
      <c r="E1923" s="2">
        <v>3625878107851</v>
      </c>
      <c r="F1923" s="2">
        <v>0</v>
      </c>
      <c r="G1923">
        <v>1762.88</v>
      </c>
      <c r="H1923">
        <v>1767.04</v>
      </c>
      <c r="I1923">
        <v>1745.83</v>
      </c>
      <c r="J1923">
        <v>4217842741</v>
      </c>
      <c r="K1923">
        <v>0</v>
      </c>
      <c r="L1923" s="2">
        <f>VLOOKUP(A1923,[1]aaabonddata!$A:$B,2,0)</f>
        <v>2.79</v>
      </c>
    </row>
    <row r="1924" spans="1:12" x14ac:dyDescent="0.2">
      <c r="A1924" s="3">
        <v>41561</v>
      </c>
      <c r="B1924" s="2">
        <v>3256.02</v>
      </c>
      <c r="C1924" s="2">
        <v>3257.19</v>
      </c>
      <c r="D1924" s="2">
        <v>3212.05</v>
      </c>
      <c r="E1924" s="2">
        <v>3650763696993</v>
      </c>
      <c r="F1924" s="2">
        <v>0</v>
      </c>
      <c r="G1924">
        <v>1773.87</v>
      </c>
      <c r="H1924">
        <v>1775.19</v>
      </c>
      <c r="I1924">
        <v>1748.59</v>
      </c>
      <c r="J1924">
        <v>4244125237</v>
      </c>
      <c r="K1924">
        <v>0</v>
      </c>
      <c r="L1924" s="2">
        <f>VLOOKUP(A1924,[1]aaabonddata!$A:$B,2,0)</f>
        <v>2.79</v>
      </c>
    </row>
    <row r="1925" spans="1:12" x14ac:dyDescent="0.2">
      <c r="A1925" s="3">
        <v>41562</v>
      </c>
      <c r="B1925" s="2">
        <v>3244.66</v>
      </c>
      <c r="C1925" s="2">
        <v>3269.97</v>
      </c>
      <c r="D1925" s="2">
        <v>3241.35</v>
      </c>
      <c r="E1925" s="2">
        <v>3638028327828</v>
      </c>
      <c r="F1925" s="2">
        <v>0</v>
      </c>
      <c r="G1925">
        <v>1754.96</v>
      </c>
      <c r="H1925">
        <v>1771.69</v>
      </c>
      <c r="I1925">
        <v>1752.34</v>
      </c>
      <c r="J1925">
        <v>4198890028</v>
      </c>
      <c r="K1925">
        <v>0</v>
      </c>
      <c r="L1925" s="2">
        <f>VLOOKUP(A1925,[1]aaabonddata!$A:$B,2,0)</f>
        <v>2.81</v>
      </c>
    </row>
    <row r="1926" spans="1:12" x14ac:dyDescent="0.2">
      <c r="A1926" s="3">
        <v>41563</v>
      </c>
      <c r="B1926" s="2">
        <v>3281.67</v>
      </c>
      <c r="C1926" s="2">
        <v>3283.18</v>
      </c>
      <c r="D1926" s="2">
        <v>3258.8</v>
      </c>
      <c r="E1926" s="2">
        <v>3679519947700</v>
      </c>
      <c r="F1926" s="2">
        <v>0</v>
      </c>
      <c r="G1926">
        <v>1767.94</v>
      </c>
      <c r="H1926">
        <v>1772</v>
      </c>
      <c r="I1926">
        <v>1760.24</v>
      </c>
      <c r="J1926">
        <v>4229934552</v>
      </c>
      <c r="K1926">
        <v>0</v>
      </c>
      <c r="L1926" s="2">
        <f>VLOOKUP(A1926,[1]aaabonddata!$A:$B,2,0)</f>
        <v>2.77</v>
      </c>
    </row>
    <row r="1927" spans="1:12" x14ac:dyDescent="0.2">
      <c r="A1927" s="3">
        <v>41564</v>
      </c>
      <c r="B1927" s="2">
        <v>3301.28</v>
      </c>
      <c r="C1927" s="2">
        <v>3301.6</v>
      </c>
      <c r="D1927" s="2">
        <v>3264.23</v>
      </c>
      <c r="E1927" s="2">
        <v>3701507508024</v>
      </c>
      <c r="F1927" s="2">
        <v>51014129</v>
      </c>
      <c r="G1927">
        <v>1778.08</v>
      </c>
      <c r="H1927">
        <v>1778.49</v>
      </c>
      <c r="I1927">
        <v>1756.43</v>
      </c>
      <c r="J1927">
        <v>4254198244</v>
      </c>
      <c r="K1927">
        <v>347463</v>
      </c>
      <c r="L1927" s="2">
        <f>VLOOKUP(A1927,[1]aaabonddata!$A:$B,2,0)</f>
        <v>2.71</v>
      </c>
    </row>
    <row r="1928" spans="1:12" x14ac:dyDescent="0.2">
      <c r="A1928" s="3">
        <v>41565</v>
      </c>
      <c r="B1928" s="2">
        <v>3353.88</v>
      </c>
      <c r="C1928" s="2">
        <v>3355.63</v>
      </c>
      <c r="D1928" s="2">
        <v>3321.78</v>
      </c>
      <c r="E1928" s="2">
        <v>3760481724434</v>
      </c>
      <c r="F1928" s="2">
        <v>0</v>
      </c>
      <c r="G1928">
        <v>1799.71</v>
      </c>
      <c r="H1928">
        <v>1800.48</v>
      </c>
      <c r="I1928">
        <v>1782.42</v>
      </c>
      <c r="J1928">
        <v>4305956785</v>
      </c>
      <c r="K1928">
        <v>0</v>
      </c>
      <c r="L1928" s="2">
        <f>VLOOKUP(A1928,[1]aaabonddata!$A:$B,2,0)</f>
        <v>2.72</v>
      </c>
    </row>
    <row r="1929" spans="1:12" x14ac:dyDescent="0.2">
      <c r="A1929" s="3">
        <v>41568</v>
      </c>
      <c r="B1929" s="2">
        <v>3361.18</v>
      </c>
      <c r="C1929" s="2">
        <v>3369.74</v>
      </c>
      <c r="D1929" s="2">
        <v>3351.05</v>
      </c>
      <c r="E1929" s="2">
        <v>3768670533923</v>
      </c>
      <c r="F1929" s="2">
        <v>0</v>
      </c>
      <c r="G1929">
        <v>1805.33</v>
      </c>
      <c r="H1929">
        <v>1810.1</v>
      </c>
      <c r="I1929">
        <v>1800.92</v>
      </c>
      <c r="J1929">
        <v>4319408965</v>
      </c>
      <c r="K1929">
        <v>0</v>
      </c>
      <c r="L1929" s="2">
        <f>VLOOKUP(A1929,[1]aaabonddata!$A:$B,2,0)</f>
        <v>2.74</v>
      </c>
    </row>
    <row r="1930" spans="1:12" x14ac:dyDescent="0.2">
      <c r="A1930" s="3">
        <v>41569</v>
      </c>
      <c r="B1930" s="2">
        <v>3366.93</v>
      </c>
      <c r="C1930" s="2">
        <v>3384.35</v>
      </c>
      <c r="D1930" s="2">
        <v>3344.18</v>
      </c>
      <c r="E1930" s="2">
        <v>3775117682449</v>
      </c>
      <c r="F1930" s="2">
        <v>0</v>
      </c>
      <c r="G1930">
        <v>1799.39</v>
      </c>
      <c r="H1930">
        <v>1810.75</v>
      </c>
      <c r="I1930">
        <v>1791.5</v>
      </c>
      <c r="J1930">
        <v>4305188930</v>
      </c>
      <c r="K1930">
        <v>0</v>
      </c>
      <c r="L1930" s="2">
        <f>VLOOKUP(A1930,[1]aaabonddata!$A:$B,2,0)</f>
        <v>2.67</v>
      </c>
    </row>
    <row r="1931" spans="1:12" x14ac:dyDescent="0.2">
      <c r="A1931" s="3">
        <v>41570</v>
      </c>
      <c r="B1931" s="2">
        <v>3346.05</v>
      </c>
      <c r="C1931" s="2">
        <v>3355.47</v>
      </c>
      <c r="D1931" s="2">
        <v>3330.2</v>
      </c>
      <c r="E1931" s="2">
        <v>3751707111248</v>
      </c>
      <c r="F1931" s="2">
        <v>74217092</v>
      </c>
      <c r="G1931">
        <v>1764.45</v>
      </c>
      <c r="H1931">
        <v>1779.2</v>
      </c>
      <c r="I1931">
        <v>1757.82</v>
      </c>
      <c r="J1931">
        <v>4221600977</v>
      </c>
      <c r="K1931">
        <v>0</v>
      </c>
      <c r="L1931" s="2">
        <f>VLOOKUP(A1931,[1]aaabonddata!$A:$B,2,0)</f>
        <v>2.66</v>
      </c>
    </row>
    <row r="1932" spans="1:12" x14ac:dyDescent="0.2">
      <c r="A1932" s="3">
        <v>41571</v>
      </c>
      <c r="B1932" s="2">
        <v>3362.37</v>
      </c>
      <c r="C1932" s="2">
        <v>3367.39</v>
      </c>
      <c r="D1932" s="2">
        <v>3344.06</v>
      </c>
      <c r="E1932" s="2">
        <v>3770010446231</v>
      </c>
      <c r="F1932" s="2">
        <v>0</v>
      </c>
      <c r="G1932">
        <v>1767.71</v>
      </c>
      <c r="H1932">
        <v>1771.47</v>
      </c>
      <c r="I1932">
        <v>1760.99</v>
      </c>
      <c r="J1932">
        <v>4229394090</v>
      </c>
      <c r="K1932">
        <v>0</v>
      </c>
      <c r="L1932" s="2">
        <f>VLOOKUP(A1932,[1]aaabonddata!$A:$B,2,0)</f>
        <v>2.69</v>
      </c>
    </row>
    <row r="1933" spans="1:12" x14ac:dyDescent="0.2">
      <c r="A1933" s="3">
        <v>41572</v>
      </c>
      <c r="B1933" s="2">
        <v>3383.83</v>
      </c>
      <c r="C1933" s="2">
        <v>3400.04</v>
      </c>
      <c r="D1933" s="2">
        <v>3368.58</v>
      </c>
      <c r="E1933" s="2">
        <v>3794064480375</v>
      </c>
      <c r="F1933" s="2">
        <v>0</v>
      </c>
      <c r="G1933">
        <v>1769.76</v>
      </c>
      <c r="H1933">
        <v>1780.52</v>
      </c>
      <c r="I1933">
        <v>1766.59</v>
      </c>
      <c r="J1933">
        <v>4234309468</v>
      </c>
      <c r="K1933">
        <v>0</v>
      </c>
      <c r="L1933" s="2">
        <f>VLOOKUP(A1933,[1]aaabonddata!$A:$B,2,0)</f>
        <v>2.67</v>
      </c>
    </row>
    <row r="1934" spans="1:12" x14ac:dyDescent="0.2">
      <c r="A1934" s="3">
        <v>41575</v>
      </c>
      <c r="B1934" s="2">
        <v>3382.68</v>
      </c>
      <c r="C1934" s="2">
        <v>3390.47</v>
      </c>
      <c r="D1934" s="2">
        <v>3370.4</v>
      </c>
      <c r="E1934" s="2">
        <v>3792772946967</v>
      </c>
      <c r="F1934" s="2">
        <v>0</v>
      </c>
      <c r="G1934">
        <v>1773.16</v>
      </c>
      <c r="H1934">
        <v>1774.86</v>
      </c>
      <c r="I1934">
        <v>1764.87</v>
      </c>
      <c r="J1934">
        <v>4242441859</v>
      </c>
      <c r="K1934">
        <v>0</v>
      </c>
      <c r="L1934" s="2">
        <f>VLOOKUP(A1934,[1]aaabonddata!$A:$B,2,0)</f>
        <v>2.68</v>
      </c>
    </row>
    <row r="1935" spans="1:12" x14ac:dyDescent="0.2">
      <c r="A1935" s="3">
        <v>41576</v>
      </c>
      <c r="B1935" s="2">
        <v>3391.75</v>
      </c>
      <c r="C1935" s="2">
        <v>3399.09</v>
      </c>
      <c r="D1935" s="2">
        <v>3375.57</v>
      </c>
      <c r="E1935" s="2">
        <v>3801885259235</v>
      </c>
      <c r="F1935" s="2">
        <v>330351841</v>
      </c>
      <c r="G1935">
        <v>1788.44</v>
      </c>
      <c r="H1935">
        <v>1788.46</v>
      </c>
      <c r="I1935">
        <v>1779.45</v>
      </c>
      <c r="J1935">
        <v>4178634751</v>
      </c>
      <c r="K1935">
        <v>740558</v>
      </c>
      <c r="L1935" s="2">
        <f>VLOOKUP(A1935,[1]aaabonddata!$A:$B,2,0)</f>
        <v>2.67</v>
      </c>
    </row>
    <row r="1936" spans="1:12" x14ac:dyDescent="0.2">
      <c r="A1936" s="3">
        <v>41577</v>
      </c>
      <c r="B1936" s="2">
        <v>3385.38</v>
      </c>
      <c r="C1936" s="2">
        <v>3408.28</v>
      </c>
      <c r="D1936" s="2">
        <v>3372.23</v>
      </c>
      <c r="E1936" s="2">
        <v>3787727148103</v>
      </c>
      <c r="F1936" s="2">
        <v>127936164</v>
      </c>
      <c r="G1936">
        <v>1780.98</v>
      </c>
      <c r="H1936">
        <v>1798.68</v>
      </c>
      <c r="I1936">
        <v>1774.35</v>
      </c>
      <c r="J1936">
        <v>4161213485</v>
      </c>
      <c r="K1936">
        <v>0</v>
      </c>
      <c r="L1936" s="2">
        <f>VLOOKUP(A1936,[1]aaabonddata!$A:$B,2,0)</f>
        <v>2.67</v>
      </c>
    </row>
    <row r="1937" spans="1:12" x14ac:dyDescent="0.2">
      <c r="A1937" s="3">
        <v>41578</v>
      </c>
      <c r="B1937" s="2">
        <v>3377.73</v>
      </c>
      <c r="C1937" s="2">
        <v>3400.4</v>
      </c>
      <c r="D1937" s="2">
        <v>3367.76</v>
      </c>
      <c r="E1937" s="2">
        <v>3779171217177</v>
      </c>
      <c r="F1937" s="2">
        <v>54087657</v>
      </c>
      <c r="G1937">
        <v>1775.28</v>
      </c>
      <c r="H1937">
        <v>1793.92</v>
      </c>
      <c r="I1937">
        <v>1775.28</v>
      </c>
      <c r="J1937">
        <v>4147899974</v>
      </c>
      <c r="K1937">
        <v>377834</v>
      </c>
      <c r="L1937" s="2">
        <f>VLOOKUP(A1937,[1]aaabonddata!$A:$B,2,0)</f>
        <v>2.74</v>
      </c>
    </row>
    <row r="1938" spans="1:12" x14ac:dyDescent="0.2">
      <c r="A1938" s="3">
        <v>41579</v>
      </c>
      <c r="B1938" s="2">
        <v>3379.76</v>
      </c>
      <c r="C1938" s="2">
        <v>3394.91</v>
      </c>
      <c r="D1938" s="2">
        <v>3364.65</v>
      </c>
      <c r="E1938" s="2">
        <v>3781446064210</v>
      </c>
      <c r="F1938" s="2">
        <v>0</v>
      </c>
      <c r="G1938">
        <v>1775.24</v>
      </c>
      <c r="H1938">
        <v>1785.21</v>
      </c>
      <c r="I1938">
        <v>1765.74</v>
      </c>
      <c r="J1938">
        <v>4147800495</v>
      </c>
      <c r="K1938">
        <v>0</v>
      </c>
      <c r="L1938" s="2">
        <f>VLOOKUP(A1938,[1]aaabonddata!$A:$B,2,0)</f>
        <v>2.79</v>
      </c>
    </row>
    <row r="1939" spans="1:12" x14ac:dyDescent="0.2">
      <c r="A1939" s="3">
        <v>41582</v>
      </c>
      <c r="B1939" s="2">
        <v>3384.75</v>
      </c>
      <c r="C1939" s="2">
        <v>3390.18</v>
      </c>
      <c r="D1939" s="2">
        <v>3374.38</v>
      </c>
      <c r="E1939" s="2">
        <v>3787020253102</v>
      </c>
      <c r="F1939" s="2">
        <v>66574395</v>
      </c>
      <c r="G1939">
        <v>1779.57</v>
      </c>
      <c r="H1939">
        <v>1783.32</v>
      </c>
      <c r="I1939">
        <v>1773.26</v>
      </c>
      <c r="J1939">
        <v>4157903043</v>
      </c>
      <c r="K1939">
        <v>530560</v>
      </c>
      <c r="L1939" s="2">
        <f>VLOOKUP(A1939,[1]aaabonddata!$A:$B,2,0)</f>
        <v>2.78</v>
      </c>
    </row>
    <row r="1940" spans="1:12" x14ac:dyDescent="0.2">
      <c r="A1940" s="3">
        <v>41583</v>
      </c>
      <c r="B1940" s="2">
        <v>3388.82</v>
      </c>
      <c r="C1940" s="2">
        <v>3395.93</v>
      </c>
      <c r="D1940" s="2">
        <v>3361.91</v>
      </c>
      <c r="E1940" s="2">
        <v>3791581248981</v>
      </c>
      <c r="F1940" s="2">
        <v>1222052388</v>
      </c>
      <c r="G1940">
        <v>1777.44</v>
      </c>
      <c r="H1940">
        <v>1781.47</v>
      </c>
      <c r="I1940">
        <v>1764.7</v>
      </c>
      <c r="J1940">
        <v>4152939825</v>
      </c>
      <c r="K1940">
        <v>945776</v>
      </c>
      <c r="L1940" s="2">
        <f>VLOOKUP(A1940,[1]aaabonddata!$A:$B,2,0)</f>
        <v>2.81</v>
      </c>
    </row>
    <row r="1941" spans="1:12" x14ac:dyDescent="0.2">
      <c r="A1941" s="3">
        <v>41584</v>
      </c>
      <c r="B1941" s="2">
        <v>3385.38</v>
      </c>
      <c r="C1941" s="2">
        <v>3401.27</v>
      </c>
      <c r="D1941" s="2">
        <v>3374.28</v>
      </c>
      <c r="E1941" s="2">
        <v>3787728555366</v>
      </c>
      <c r="F1941" s="2">
        <v>2770915850</v>
      </c>
      <c r="G1941">
        <v>1786.43</v>
      </c>
      <c r="H1941">
        <v>1787.54</v>
      </c>
      <c r="I1941">
        <v>1776.73</v>
      </c>
      <c r="J1941">
        <v>4173940927</v>
      </c>
      <c r="K1941">
        <v>653133</v>
      </c>
      <c r="L1941" s="2">
        <f>VLOOKUP(A1941,[1]aaabonddata!$A:$B,2,0)</f>
        <v>2.79</v>
      </c>
    </row>
    <row r="1942" spans="1:12" x14ac:dyDescent="0.2">
      <c r="A1942" s="3">
        <v>41585</v>
      </c>
      <c r="B1942" s="2">
        <v>3321.41</v>
      </c>
      <c r="C1942" s="2">
        <v>3389.2</v>
      </c>
      <c r="D1942" s="2">
        <v>3318.39</v>
      </c>
      <c r="E1942" s="2">
        <v>3716157500198</v>
      </c>
      <c r="F1942" s="2">
        <v>201352114</v>
      </c>
      <c r="G1942">
        <v>1758.21</v>
      </c>
      <c r="H1942">
        <v>1790.78</v>
      </c>
      <c r="I1942">
        <v>1756.15</v>
      </c>
      <c r="J1942">
        <v>4108013462</v>
      </c>
      <c r="K1942">
        <v>1437583</v>
      </c>
      <c r="L1942" s="2">
        <f>VLOOKUP(A1942,[1]aaabonddata!$A:$B,2,0)</f>
        <v>2.77</v>
      </c>
    </row>
    <row r="1943" spans="1:12" x14ac:dyDescent="0.2">
      <c r="A1943" s="3">
        <v>41586</v>
      </c>
      <c r="B1943" s="2">
        <v>3366.84</v>
      </c>
      <c r="C1943" s="2">
        <v>3366.84</v>
      </c>
      <c r="D1943" s="2">
        <v>3324.7</v>
      </c>
      <c r="E1943" s="2">
        <v>3766987228313</v>
      </c>
      <c r="F1943" s="2">
        <v>0</v>
      </c>
      <c r="G1943">
        <v>1781.43</v>
      </c>
      <c r="H1943">
        <v>1781.43</v>
      </c>
      <c r="I1943">
        <v>1759.08</v>
      </c>
      <c r="J1943">
        <v>4162252039</v>
      </c>
      <c r="K1943">
        <v>0</v>
      </c>
      <c r="L1943" s="2">
        <f>VLOOKUP(A1943,[1]aaabonddata!$A:$B,2,0)</f>
        <v>2.85</v>
      </c>
    </row>
    <row r="1944" spans="1:12" x14ac:dyDescent="0.2">
      <c r="A1944" s="3">
        <v>41589</v>
      </c>
      <c r="B1944" s="2">
        <v>3362.98</v>
      </c>
      <c r="C1944" s="2">
        <v>3369.89</v>
      </c>
      <c r="D1944" s="2">
        <v>3350.74</v>
      </c>
      <c r="E1944" s="2">
        <v>3762661385580</v>
      </c>
      <c r="F1944" s="2">
        <v>0</v>
      </c>
      <c r="G1944">
        <v>1782</v>
      </c>
      <c r="H1944">
        <v>1784.46</v>
      </c>
      <c r="I1944">
        <v>1771.53</v>
      </c>
      <c r="J1944">
        <v>4163591196</v>
      </c>
      <c r="K1944">
        <v>0</v>
      </c>
      <c r="L1944" s="2">
        <f>VLOOKUP(A1944,[1]aaabonddata!$A:$B,2,0)</f>
        <v>2.85</v>
      </c>
    </row>
    <row r="1945" spans="1:12" x14ac:dyDescent="0.2">
      <c r="A1945" s="3">
        <v>41590</v>
      </c>
      <c r="B1945" s="2">
        <v>3365.23</v>
      </c>
      <c r="C1945" s="2">
        <v>3370.36</v>
      </c>
      <c r="D1945" s="2">
        <v>3348.85</v>
      </c>
      <c r="E1945" s="2">
        <v>3765178744972</v>
      </c>
      <c r="F1945" s="2">
        <v>549441418</v>
      </c>
      <c r="G1945">
        <v>1791.1</v>
      </c>
      <c r="H1945">
        <v>1792.49</v>
      </c>
      <c r="I1945">
        <v>1777.08</v>
      </c>
      <c r="J1945">
        <v>4184844354</v>
      </c>
      <c r="K1945">
        <v>0</v>
      </c>
      <c r="L1945" s="2">
        <f>VLOOKUP(A1945,[1]aaabonddata!$A:$B,2,0)</f>
        <v>2.87</v>
      </c>
    </row>
    <row r="1946" spans="1:12" x14ac:dyDescent="0.2">
      <c r="A1946" s="3">
        <v>41591</v>
      </c>
      <c r="B1946" s="2">
        <v>3405.56</v>
      </c>
      <c r="C1946" s="2">
        <v>3405.6</v>
      </c>
      <c r="D1946" s="2">
        <v>3346.41</v>
      </c>
      <c r="E1946" s="2">
        <v>3810312607987</v>
      </c>
      <c r="F1946" s="2">
        <v>266797729</v>
      </c>
      <c r="G1946">
        <v>1811.59</v>
      </c>
      <c r="H1946">
        <v>1811.64</v>
      </c>
      <c r="I1946">
        <v>1781.66</v>
      </c>
      <c r="J1946">
        <v>4232727528</v>
      </c>
      <c r="K1946">
        <v>648379</v>
      </c>
      <c r="L1946" s="2">
        <f>VLOOKUP(A1946,[1]aaabonddata!$A:$B,2,0)</f>
        <v>2.84</v>
      </c>
    </row>
    <row r="1947" spans="1:12" x14ac:dyDescent="0.2">
      <c r="A1947" s="3">
        <v>41592</v>
      </c>
      <c r="B1947" s="2">
        <v>3415.14</v>
      </c>
      <c r="C1947" s="2">
        <v>3418.56</v>
      </c>
      <c r="D1947" s="2">
        <v>3390.38</v>
      </c>
      <c r="E1947" s="2">
        <v>3821023040780</v>
      </c>
      <c r="F1947" s="2">
        <v>818021591</v>
      </c>
      <c r="G1947">
        <v>1809.44</v>
      </c>
      <c r="H1947">
        <v>1810.71</v>
      </c>
      <c r="I1947">
        <v>1799.2</v>
      </c>
      <c r="J1947">
        <v>4227698640</v>
      </c>
      <c r="K1947">
        <v>734694</v>
      </c>
      <c r="L1947" s="2">
        <f>VLOOKUP(A1947,[1]aaabonddata!$A:$B,2,0)</f>
        <v>2.79</v>
      </c>
    </row>
    <row r="1948" spans="1:12" x14ac:dyDescent="0.2">
      <c r="A1948" s="3">
        <v>41593</v>
      </c>
      <c r="B1948" s="2">
        <v>3422.58</v>
      </c>
      <c r="C1948" s="2">
        <v>3422.58</v>
      </c>
      <c r="D1948" s="2">
        <v>3409.01</v>
      </c>
      <c r="E1948" s="2">
        <v>3829348828285</v>
      </c>
      <c r="F1948" s="2">
        <v>0</v>
      </c>
      <c r="G1948">
        <v>1820.77</v>
      </c>
      <c r="H1948">
        <v>1821.11</v>
      </c>
      <c r="I1948">
        <v>1807.52</v>
      </c>
      <c r="J1948">
        <v>4254165644</v>
      </c>
      <c r="K1948">
        <v>0</v>
      </c>
      <c r="L1948" s="2">
        <f>VLOOKUP(A1948,[1]aaabonddata!$A:$B,2,0)</f>
        <v>2.8</v>
      </c>
    </row>
    <row r="1949" spans="1:12" x14ac:dyDescent="0.2">
      <c r="A1949" s="3">
        <v>41596</v>
      </c>
      <c r="B1949" s="2">
        <v>3388.87</v>
      </c>
      <c r="C1949" s="2">
        <v>3429.2</v>
      </c>
      <c r="D1949" s="2">
        <v>3383.44</v>
      </c>
      <c r="E1949" s="2">
        <v>3802425763820</v>
      </c>
      <c r="F1949" s="2">
        <v>0</v>
      </c>
      <c r="G1949">
        <v>1801.26</v>
      </c>
      <c r="H1949">
        <v>1822.67</v>
      </c>
      <c r="I1949">
        <v>1798.35</v>
      </c>
      <c r="J1949">
        <v>4208584531</v>
      </c>
      <c r="K1949">
        <v>0</v>
      </c>
      <c r="L1949" s="2">
        <f>VLOOKUP(A1949,[1]aaabonddata!$A:$B,2,0)</f>
        <v>2.77</v>
      </c>
    </row>
    <row r="1950" spans="1:12" x14ac:dyDescent="0.2">
      <c r="A1950" s="3">
        <v>41597</v>
      </c>
      <c r="B1950" s="2">
        <v>3378.13</v>
      </c>
      <c r="C1950" s="2">
        <v>3400.64</v>
      </c>
      <c r="D1950" s="2">
        <v>3371.6</v>
      </c>
      <c r="E1950" s="2">
        <v>3790377548137</v>
      </c>
      <c r="F1950" s="2">
        <v>2831894742</v>
      </c>
      <c r="G1950">
        <v>1783.77</v>
      </c>
      <c r="H1950">
        <v>1800.61</v>
      </c>
      <c r="I1950">
        <v>1780.24</v>
      </c>
      <c r="J1950">
        <v>4167726332</v>
      </c>
      <c r="K1950">
        <v>4595375</v>
      </c>
      <c r="L1950" s="2">
        <f>VLOOKUP(A1950,[1]aaabonddata!$A:$B,2,0)</f>
        <v>2.8</v>
      </c>
    </row>
    <row r="1951" spans="1:12" x14ac:dyDescent="0.2">
      <c r="A1951" s="3">
        <v>41598</v>
      </c>
      <c r="B1951" s="2">
        <v>3367.17</v>
      </c>
      <c r="C1951" s="2">
        <v>3397.69</v>
      </c>
      <c r="D1951" s="2">
        <v>3359.31</v>
      </c>
      <c r="E1951" s="2">
        <v>3778072757317</v>
      </c>
      <c r="F1951" s="2">
        <v>565959307</v>
      </c>
      <c r="G1951">
        <v>1777.65</v>
      </c>
      <c r="H1951">
        <v>1794.07</v>
      </c>
      <c r="I1951">
        <v>1773.88</v>
      </c>
      <c r="J1951">
        <v>4153425833</v>
      </c>
      <c r="K1951">
        <v>0</v>
      </c>
      <c r="L1951" s="2">
        <f>VLOOKUP(A1951,[1]aaabonddata!$A:$B,2,0)</f>
        <v>2.84</v>
      </c>
    </row>
    <row r="1952" spans="1:12" x14ac:dyDescent="0.2">
      <c r="A1952" s="3">
        <v>41599</v>
      </c>
      <c r="B1952" s="2">
        <v>3402.73</v>
      </c>
      <c r="C1952" s="2">
        <v>3404.95</v>
      </c>
      <c r="D1952" s="2">
        <v>3380.65</v>
      </c>
      <c r="E1952" s="2">
        <v>3817981037673</v>
      </c>
      <c r="F1952" s="2">
        <v>163099823</v>
      </c>
      <c r="G1952">
        <v>1800.46</v>
      </c>
      <c r="H1952">
        <v>1801.97</v>
      </c>
      <c r="I1952">
        <v>1783.54</v>
      </c>
      <c r="J1952">
        <v>4206725103</v>
      </c>
      <c r="K1952">
        <v>999237</v>
      </c>
      <c r="L1952" s="2">
        <f>VLOOKUP(A1952,[1]aaabonddata!$A:$B,2,0)</f>
        <v>2.83</v>
      </c>
    </row>
    <row r="1953" spans="1:12" x14ac:dyDescent="0.2">
      <c r="A1953" s="3">
        <v>41600</v>
      </c>
      <c r="B1953" s="2">
        <v>3422.02</v>
      </c>
      <c r="C1953" s="2">
        <v>3422.13</v>
      </c>
      <c r="D1953" s="2">
        <v>3406.4</v>
      </c>
      <c r="E1953" s="2">
        <v>3839615281802</v>
      </c>
      <c r="F1953" s="2">
        <v>0</v>
      </c>
      <c r="G1953">
        <v>1801.94</v>
      </c>
      <c r="H1953">
        <v>1802.06</v>
      </c>
      <c r="I1953">
        <v>1795.87</v>
      </c>
      <c r="J1953">
        <v>4210183517</v>
      </c>
      <c r="K1953">
        <v>0</v>
      </c>
      <c r="L1953" s="2">
        <f>VLOOKUP(A1953,[1]aaabonddata!$A:$B,2,0)</f>
        <v>2.8</v>
      </c>
    </row>
    <row r="1954" spans="1:12" x14ac:dyDescent="0.2">
      <c r="A1954" s="3">
        <v>41603</v>
      </c>
      <c r="B1954" s="2">
        <v>3427.49</v>
      </c>
      <c r="C1954" s="2">
        <v>3437.49</v>
      </c>
      <c r="D1954" s="2">
        <v>3420.36</v>
      </c>
      <c r="E1954" s="2">
        <v>3845755737556</v>
      </c>
      <c r="F1954" s="2">
        <v>124040235</v>
      </c>
      <c r="G1954">
        <v>1798.16</v>
      </c>
      <c r="H1954">
        <v>1805.79</v>
      </c>
      <c r="I1954">
        <v>1791.75</v>
      </c>
      <c r="J1954">
        <v>4201339680</v>
      </c>
      <c r="K1954">
        <v>0</v>
      </c>
      <c r="L1954" s="2">
        <f>VLOOKUP(A1954,[1]aaabonddata!$A:$B,2,0)</f>
        <v>2.78</v>
      </c>
    </row>
    <row r="1955" spans="1:12" x14ac:dyDescent="0.2">
      <c r="A1955" s="3">
        <v>41604</v>
      </c>
      <c r="B1955" s="2">
        <v>3445.76</v>
      </c>
      <c r="C1955" s="2">
        <v>3455.54</v>
      </c>
      <c r="D1955" s="2">
        <v>3422.47</v>
      </c>
      <c r="E1955" s="2">
        <v>3866261017006</v>
      </c>
      <c r="F1955" s="2">
        <v>25851453</v>
      </c>
      <c r="G1955">
        <v>1802.34</v>
      </c>
      <c r="H1955">
        <v>1805.94</v>
      </c>
      <c r="I1955">
        <v>1790.05</v>
      </c>
      <c r="J1955">
        <v>4211111605</v>
      </c>
      <c r="K1955">
        <v>0</v>
      </c>
      <c r="L1955" s="2">
        <f>VLOOKUP(A1955,[1]aaabonddata!$A:$B,2,0)</f>
        <v>2.76</v>
      </c>
    </row>
    <row r="1956" spans="1:12" x14ac:dyDescent="0.2">
      <c r="A1956" s="3">
        <v>41605</v>
      </c>
      <c r="B1956" s="2">
        <v>3470.48</v>
      </c>
      <c r="C1956" s="2">
        <v>3471.65</v>
      </c>
      <c r="D1956" s="2">
        <v>3451.96</v>
      </c>
      <c r="E1956" s="2">
        <v>3893989747013</v>
      </c>
      <c r="F1956" s="2">
        <v>662319642</v>
      </c>
      <c r="G1956">
        <v>1810.92</v>
      </c>
      <c r="H1956">
        <v>1811.5</v>
      </c>
      <c r="I1956">
        <v>1798.93</v>
      </c>
      <c r="J1956">
        <v>4231170698</v>
      </c>
      <c r="K1956">
        <v>507246</v>
      </c>
      <c r="L1956" s="2">
        <f>VLOOKUP(A1956,[1]aaabonddata!$A:$B,2,0)</f>
        <v>2.78</v>
      </c>
    </row>
    <row r="1957" spans="1:12" x14ac:dyDescent="0.2">
      <c r="A1957" s="3">
        <v>41607</v>
      </c>
      <c r="B1957" s="2">
        <v>3487.82</v>
      </c>
      <c r="C1957" s="2">
        <v>3495.97</v>
      </c>
      <c r="D1957" s="2">
        <v>3481.31</v>
      </c>
      <c r="E1957" s="2">
        <v>3913449883769</v>
      </c>
      <c r="F1957" s="2">
        <v>0</v>
      </c>
      <c r="G1957">
        <v>1812.47</v>
      </c>
      <c r="H1957">
        <v>1817.15</v>
      </c>
      <c r="I1957">
        <v>1810.54</v>
      </c>
      <c r="J1957">
        <v>4234788942</v>
      </c>
      <c r="K1957">
        <v>0</v>
      </c>
      <c r="L1957" s="2">
        <f>VLOOKUP(A1957,[1]aaabonddata!$A:$B,2,0)</f>
        <v>2.78</v>
      </c>
    </row>
    <row r="1958" spans="1:12" x14ac:dyDescent="0.2">
      <c r="A1958" s="3">
        <v>41610</v>
      </c>
      <c r="B1958" s="2">
        <v>3481.15</v>
      </c>
      <c r="C1958" s="2">
        <v>3501.07</v>
      </c>
      <c r="D1958" s="2">
        <v>3476.68</v>
      </c>
      <c r="E1958" s="2">
        <v>3905966223982</v>
      </c>
      <c r="F1958" s="2">
        <v>0</v>
      </c>
      <c r="G1958">
        <v>1810.8</v>
      </c>
      <c r="H1958">
        <v>1817.8</v>
      </c>
      <c r="I1958">
        <v>1808.74</v>
      </c>
      <c r="J1958">
        <v>4230875760</v>
      </c>
      <c r="K1958">
        <v>0</v>
      </c>
      <c r="L1958" s="2">
        <f>VLOOKUP(A1958,[1]aaabonddata!$A:$B,2,0)</f>
        <v>2.84</v>
      </c>
    </row>
    <row r="1959" spans="1:12" x14ac:dyDescent="0.2">
      <c r="A1959" s="3">
        <v>41611</v>
      </c>
      <c r="B1959" s="2">
        <v>3479.34</v>
      </c>
      <c r="C1959" s="2">
        <v>3487.02</v>
      </c>
      <c r="D1959" s="2">
        <v>3465.35</v>
      </c>
      <c r="E1959" s="2">
        <v>3903929891156</v>
      </c>
      <c r="F1959" s="2">
        <v>0</v>
      </c>
      <c r="G1959">
        <v>1813.02</v>
      </c>
      <c r="H1959">
        <v>1816.87</v>
      </c>
      <c r="I1959">
        <v>1805.02</v>
      </c>
      <c r="J1959">
        <v>4236060508</v>
      </c>
      <c r="K1959">
        <v>0</v>
      </c>
      <c r="L1959" s="2">
        <f>VLOOKUP(A1959,[1]aaabonddata!$A:$B,2,0)</f>
        <v>2.82</v>
      </c>
    </row>
    <row r="1960" spans="1:12" x14ac:dyDescent="0.2">
      <c r="A1960" s="3">
        <v>41612</v>
      </c>
      <c r="B1960" s="2">
        <v>3483.01</v>
      </c>
      <c r="C1960" s="2">
        <v>3493.1</v>
      </c>
      <c r="D1960" s="2">
        <v>3453.22</v>
      </c>
      <c r="E1960" s="2">
        <v>3908047962359</v>
      </c>
      <c r="F1960" s="2">
        <v>105635530</v>
      </c>
      <c r="G1960">
        <v>1817.38</v>
      </c>
      <c r="H1960">
        <v>1822.22</v>
      </c>
      <c r="I1960">
        <v>1803.09</v>
      </c>
      <c r="J1960">
        <v>4246256697</v>
      </c>
      <c r="K1960">
        <v>708924</v>
      </c>
      <c r="L1960" s="2">
        <f>VLOOKUP(A1960,[1]aaabonddata!$A:$B,2,0)</f>
        <v>2.87</v>
      </c>
    </row>
    <row r="1961" spans="1:12" x14ac:dyDescent="0.2">
      <c r="A1961" s="3">
        <v>41613</v>
      </c>
      <c r="B1961" s="2">
        <v>3477.73</v>
      </c>
      <c r="C1961" s="2">
        <v>3489.08</v>
      </c>
      <c r="D1961" s="2">
        <v>3468.84</v>
      </c>
      <c r="E1961" s="2">
        <v>3902124741707</v>
      </c>
      <c r="F1961" s="2">
        <v>0</v>
      </c>
      <c r="G1961">
        <v>1817.3</v>
      </c>
      <c r="H1961">
        <v>1823.49</v>
      </c>
      <c r="I1961">
        <v>1813.37</v>
      </c>
      <c r="J1961">
        <v>4246075383</v>
      </c>
      <c r="K1961">
        <v>0</v>
      </c>
      <c r="L1961" s="2">
        <f>VLOOKUP(A1961,[1]aaabonddata!$A:$B,2,0)</f>
        <v>2.88</v>
      </c>
    </row>
    <row r="1962" spans="1:12" x14ac:dyDescent="0.2">
      <c r="A1962" s="3">
        <v>41614</v>
      </c>
      <c r="B1962" s="2">
        <v>3504.26</v>
      </c>
      <c r="C1962" s="2">
        <v>3511.1</v>
      </c>
      <c r="D1962" s="2">
        <v>3485.74</v>
      </c>
      <c r="E1962" s="2">
        <v>3931893165307</v>
      </c>
      <c r="F1962" s="2">
        <v>0</v>
      </c>
      <c r="G1962">
        <v>1837.12</v>
      </c>
      <c r="H1962">
        <v>1839</v>
      </c>
      <c r="I1962">
        <v>1827.8</v>
      </c>
      <c r="J1962">
        <v>4292367537</v>
      </c>
      <c r="K1962">
        <v>0</v>
      </c>
      <c r="L1962" s="2">
        <f>VLOOKUP(A1962,[1]aaabonddata!$A:$B,2,0)</f>
        <v>2.88</v>
      </c>
    </row>
    <row r="1963" spans="1:12" x14ac:dyDescent="0.2">
      <c r="A1963" s="3">
        <v>41617</v>
      </c>
      <c r="B1963" s="2">
        <v>3516.17</v>
      </c>
      <c r="C1963" s="2">
        <v>3524.01</v>
      </c>
      <c r="D1963" s="2">
        <v>3511.28</v>
      </c>
      <c r="E1963" s="2">
        <v>3945261397558</v>
      </c>
      <c r="F1963" s="2">
        <v>37175191</v>
      </c>
      <c r="G1963">
        <v>1839.42</v>
      </c>
      <c r="H1963">
        <v>1844.96</v>
      </c>
      <c r="I1963">
        <v>1835.41</v>
      </c>
      <c r="J1963">
        <v>4297748042</v>
      </c>
      <c r="K1963">
        <v>0</v>
      </c>
      <c r="L1963" s="2">
        <f>VLOOKUP(A1963,[1]aaabonddata!$A:$B,2,0)</f>
        <v>2.87</v>
      </c>
    </row>
    <row r="1964" spans="1:12" x14ac:dyDescent="0.2">
      <c r="A1964" s="3">
        <v>41618</v>
      </c>
      <c r="B1964" s="2">
        <v>3514.2</v>
      </c>
      <c r="C1964" s="2">
        <v>3520.73</v>
      </c>
      <c r="D1964" s="2">
        <v>3507.42</v>
      </c>
      <c r="E1964" s="2">
        <v>3943053556228</v>
      </c>
      <c r="F1964" s="2">
        <v>0</v>
      </c>
      <c r="G1964">
        <v>1843.22</v>
      </c>
      <c r="H1964">
        <v>1846.71</v>
      </c>
      <c r="I1964">
        <v>1834.79</v>
      </c>
      <c r="J1964">
        <v>4306638399</v>
      </c>
      <c r="K1964">
        <v>0</v>
      </c>
      <c r="L1964" s="2">
        <f>VLOOKUP(A1964,[1]aaabonddata!$A:$B,2,0)</f>
        <v>2.83</v>
      </c>
    </row>
    <row r="1965" spans="1:12" x14ac:dyDescent="0.2">
      <c r="A1965" s="3">
        <v>41619</v>
      </c>
      <c r="B1965" s="2">
        <v>3468.99</v>
      </c>
      <c r="C1965" s="2">
        <v>3519.22</v>
      </c>
      <c r="D1965" s="2">
        <v>3464.4</v>
      </c>
      <c r="E1965" s="2">
        <v>3892326252105</v>
      </c>
      <c r="F1965" s="2">
        <v>359488457</v>
      </c>
      <c r="G1965">
        <v>1817.89</v>
      </c>
      <c r="H1965">
        <v>1845.19</v>
      </c>
      <c r="I1965">
        <v>1815.64</v>
      </c>
      <c r="J1965">
        <v>4247435364</v>
      </c>
      <c r="K1965">
        <v>0</v>
      </c>
      <c r="L1965" s="2">
        <f>VLOOKUP(A1965,[1]aaabonddata!$A:$B,2,0)</f>
        <v>2.86</v>
      </c>
    </row>
    <row r="1966" spans="1:12" x14ac:dyDescent="0.2">
      <c r="A1966" s="3">
        <v>41620</v>
      </c>
      <c r="B1966" s="2">
        <v>3460.29</v>
      </c>
      <c r="C1966" s="2">
        <v>3478.94</v>
      </c>
      <c r="D1966" s="2">
        <v>3457.96</v>
      </c>
      <c r="E1966" s="2">
        <v>3882561960294</v>
      </c>
      <c r="F1966" s="2">
        <v>87892826</v>
      </c>
      <c r="G1966">
        <v>1807.9</v>
      </c>
      <c r="H1966">
        <v>1821.27</v>
      </c>
      <c r="I1966">
        <v>1806.18</v>
      </c>
      <c r="J1966">
        <v>4224117190</v>
      </c>
      <c r="K1966">
        <v>1033770</v>
      </c>
      <c r="L1966" s="2">
        <f>VLOOKUP(A1966,[1]aaabonddata!$A:$B,2,0)</f>
        <v>2.87</v>
      </c>
    </row>
    <row r="1967" spans="1:12" x14ac:dyDescent="0.2">
      <c r="A1967" s="3">
        <v>41621</v>
      </c>
      <c r="B1967" s="2">
        <v>3456.4</v>
      </c>
      <c r="C1967" s="2">
        <v>3477.83</v>
      </c>
      <c r="D1967" s="2">
        <v>3449.74</v>
      </c>
      <c r="E1967" s="2">
        <v>3878196327241</v>
      </c>
      <c r="F1967" s="2">
        <v>55770361</v>
      </c>
      <c r="G1967">
        <v>1819.89</v>
      </c>
      <c r="H1967">
        <v>1823.51</v>
      </c>
      <c r="I1967">
        <v>1814.82</v>
      </c>
      <c r="J1967">
        <v>4252121817</v>
      </c>
      <c r="K1967">
        <v>0</v>
      </c>
      <c r="L1967" s="2">
        <f>VLOOKUP(A1967,[1]aaabonddata!$A:$B,2,0)</f>
        <v>2.86</v>
      </c>
    </row>
    <row r="1968" spans="1:12" x14ac:dyDescent="0.2">
      <c r="A1968" s="3">
        <v>41624</v>
      </c>
      <c r="B1968" s="2">
        <v>3475.79</v>
      </c>
      <c r="C1968" s="2">
        <v>3494.41</v>
      </c>
      <c r="D1968" s="2">
        <v>3470.11</v>
      </c>
      <c r="E1968" s="2">
        <v>3899956578003</v>
      </c>
      <c r="F1968" s="2">
        <v>0</v>
      </c>
      <c r="G1968">
        <v>1833.33</v>
      </c>
      <c r="H1968">
        <v>1841.02</v>
      </c>
      <c r="I1968">
        <v>1829.75</v>
      </c>
      <c r="J1968">
        <v>4283526794</v>
      </c>
      <c r="K1968">
        <v>0</v>
      </c>
      <c r="L1968" s="2">
        <f>VLOOKUP(A1968,[1]aaabonddata!$A:$B,2,0)</f>
        <v>2.86</v>
      </c>
    </row>
    <row r="1969" spans="1:12" x14ac:dyDescent="0.2">
      <c r="A1969" s="3">
        <v>41625</v>
      </c>
      <c r="B1969" s="2">
        <v>3469.32</v>
      </c>
      <c r="C1969" s="2">
        <v>3482.34</v>
      </c>
      <c r="D1969" s="2">
        <v>3461.07</v>
      </c>
      <c r="E1969" s="2">
        <v>3892690555429</v>
      </c>
      <c r="F1969" s="2">
        <v>0</v>
      </c>
      <c r="G1969">
        <v>1846.71</v>
      </c>
      <c r="H1969">
        <v>1852.83</v>
      </c>
      <c r="I1969">
        <v>1833.2</v>
      </c>
      <c r="J1969">
        <v>4314781284</v>
      </c>
      <c r="K1969">
        <v>0</v>
      </c>
      <c r="L1969" s="2">
        <f>VLOOKUP(A1969,[1]aaabonddata!$A:$B,2,0)</f>
        <v>2.84</v>
      </c>
    </row>
    <row r="1970" spans="1:12" x14ac:dyDescent="0.2">
      <c r="A1970" s="3">
        <v>41626</v>
      </c>
      <c r="B1970" s="2">
        <v>3509.63</v>
      </c>
      <c r="C1970" s="2">
        <v>3510.52</v>
      </c>
      <c r="D1970" s="2">
        <v>3422.86</v>
      </c>
      <c r="E1970" s="2">
        <v>3937595590746</v>
      </c>
      <c r="F1970" s="2">
        <v>61727921</v>
      </c>
      <c r="G1970">
        <v>1860.97</v>
      </c>
      <c r="H1970">
        <v>1861.39</v>
      </c>
      <c r="I1970">
        <v>1817.99</v>
      </c>
      <c r="J1970">
        <v>4348096053</v>
      </c>
      <c r="K1970">
        <v>599664</v>
      </c>
      <c r="L1970" s="2">
        <f>VLOOKUP(A1970,[1]aaabonddata!$A:$B,2,0)</f>
        <v>2.84</v>
      </c>
    </row>
    <row r="1971" spans="1:12" x14ac:dyDescent="0.2">
      <c r="A1971" s="3">
        <v>41627</v>
      </c>
      <c r="B1971" s="2">
        <v>3498.63</v>
      </c>
      <c r="C1971" s="2">
        <v>3502.23</v>
      </c>
      <c r="D1971" s="2">
        <v>3483.03</v>
      </c>
      <c r="E1971" s="2">
        <v>3925253139706</v>
      </c>
      <c r="F1971" s="2">
        <v>0</v>
      </c>
      <c r="G1971">
        <v>1851.97</v>
      </c>
      <c r="H1971">
        <v>1857.04</v>
      </c>
      <c r="I1971">
        <v>1845.18</v>
      </c>
      <c r="J1971">
        <v>4327073806</v>
      </c>
      <c r="K1971">
        <v>0</v>
      </c>
      <c r="L1971" s="2">
        <f>VLOOKUP(A1971,[1]aaabonddata!$A:$B,2,0)</f>
        <v>2.87</v>
      </c>
    </row>
    <row r="1972" spans="1:12" x14ac:dyDescent="0.2">
      <c r="A1972" s="3">
        <v>41628</v>
      </c>
      <c r="B1972" s="2">
        <v>3531.19</v>
      </c>
      <c r="C1972" s="2">
        <v>3540.97</v>
      </c>
      <c r="D1972" s="2">
        <v>3502.29</v>
      </c>
      <c r="E1972" s="2">
        <v>3961787119278</v>
      </c>
      <c r="F1972" s="2">
        <v>0</v>
      </c>
      <c r="G1972">
        <v>1872.84</v>
      </c>
      <c r="H1972">
        <v>1875.38</v>
      </c>
      <c r="I1972">
        <v>1854.02</v>
      </c>
      <c r="J1972">
        <v>4375825679</v>
      </c>
      <c r="K1972">
        <v>0</v>
      </c>
      <c r="L1972" s="2">
        <f>VLOOKUP(A1972,[1]aaabonddata!$A:$B,2,0)</f>
        <v>2.84</v>
      </c>
    </row>
    <row r="1973" spans="1:12" x14ac:dyDescent="0.2">
      <c r="A1973" s="3">
        <v>41631</v>
      </c>
      <c r="B1973" s="2">
        <v>3569.4</v>
      </c>
      <c r="C1973" s="2">
        <v>3570.28</v>
      </c>
      <c r="D1973" s="2">
        <v>3552.29</v>
      </c>
      <c r="E1973" s="2">
        <v>4014324531207</v>
      </c>
      <c r="F1973" s="2">
        <v>0</v>
      </c>
      <c r="G1973">
        <v>1890.34</v>
      </c>
      <c r="H1973">
        <v>1890.65</v>
      </c>
      <c r="I1973">
        <v>1879.19</v>
      </c>
      <c r="J1973">
        <v>4037376018</v>
      </c>
      <c r="K1973">
        <v>0</v>
      </c>
      <c r="L1973" s="2">
        <f>VLOOKUP(A1973,[1]aaabonddata!$A:$B,2,0)</f>
        <v>2.87</v>
      </c>
    </row>
    <row r="1974" spans="1:12" x14ac:dyDescent="0.2">
      <c r="A1974" s="3">
        <v>41632</v>
      </c>
      <c r="B1974" s="2">
        <v>3572.8</v>
      </c>
      <c r="C1974" s="2">
        <v>3574.51</v>
      </c>
      <c r="D1974" s="2">
        <v>3564.59</v>
      </c>
      <c r="E1974" s="2">
        <v>4018147915541</v>
      </c>
      <c r="F1974" s="2">
        <v>462232448</v>
      </c>
      <c r="G1974">
        <v>1894.05</v>
      </c>
      <c r="H1974">
        <v>1895.25</v>
      </c>
      <c r="I1974">
        <v>1890.48</v>
      </c>
      <c r="J1974">
        <v>4045314466</v>
      </c>
      <c r="K1974">
        <v>362845</v>
      </c>
      <c r="L1974" s="2">
        <f>VLOOKUP(A1974,[1]aaabonddata!$A:$B,2,0)</f>
        <v>2.91</v>
      </c>
    </row>
    <row r="1975" spans="1:12" x14ac:dyDescent="0.2">
      <c r="A1975" s="3">
        <v>41634</v>
      </c>
      <c r="B1975" s="2">
        <v>3584.58</v>
      </c>
      <c r="C1975" s="2">
        <v>3586.72</v>
      </c>
      <c r="D1975" s="2">
        <v>3572.1</v>
      </c>
      <c r="E1975" s="2">
        <v>4031397365458</v>
      </c>
      <c r="F1975" s="2">
        <v>0</v>
      </c>
      <c r="G1975">
        <v>1895.1</v>
      </c>
      <c r="H1975">
        <v>1899.5</v>
      </c>
      <c r="I1975">
        <v>1893.22</v>
      </c>
      <c r="J1975">
        <v>4047562171</v>
      </c>
      <c r="K1975">
        <v>0</v>
      </c>
      <c r="L1975" s="2">
        <f>VLOOKUP(A1975,[1]aaabonddata!$A:$B,2,0)</f>
        <v>2.92</v>
      </c>
    </row>
    <row r="1976" spans="1:12" x14ac:dyDescent="0.2">
      <c r="A1976" s="3">
        <v>41635</v>
      </c>
      <c r="B1976" s="2">
        <v>3574.02</v>
      </c>
      <c r="C1976" s="2">
        <v>3591.31</v>
      </c>
      <c r="D1976" s="2">
        <v>3571.05</v>
      </c>
      <c r="E1976" s="2">
        <v>4019524945922</v>
      </c>
      <c r="F1976" s="2">
        <v>245530254</v>
      </c>
      <c r="G1976">
        <v>1895.45</v>
      </c>
      <c r="H1976">
        <v>1901.74</v>
      </c>
      <c r="I1976">
        <v>1894</v>
      </c>
      <c r="J1976">
        <v>4048304338</v>
      </c>
      <c r="K1976">
        <v>0</v>
      </c>
      <c r="L1976" s="2">
        <f>VLOOKUP(A1976,[1]aaabonddata!$A:$B,2,0)</f>
        <v>2.92</v>
      </c>
    </row>
    <row r="1977" spans="1:12" x14ac:dyDescent="0.2">
      <c r="A1977" s="3">
        <v>41638</v>
      </c>
      <c r="B1977" s="2">
        <v>3570.08</v>
      </c>
      <c r="C1977" s="2">
        <v>3574.2</v>
      </c>
      <c r="D1977" s="2">
        <v>3559.37</v>
      </c>
      <c r="E1977" s="2">
        <v>4015094576039</v>
      </c>
      <c r="F1977" s="2">
        <v>416544184</v>
      </c>
      <c r="G1977">
        <v>1899.7</v>
      </c>
      <c r="H1977">
        <v>1902.81</v>
      </c>
      <c r="I1977">
        <v>1891.3</v>
      </c>
      <c r="J1977">
        <v>4057384855</v>
      </c>
      <c r="K1977">
        <v>0</v>
      </c>
      <c r="L1977" s="2">
        <f>VLOOKUP(A1977,[1]aaabonddata!$A:$B,2,0)</f>
        <v>2.89</v>
      </c>
    </row>
    <row r="1978" spans="1:12" x14ac:dyDescent="0.2">
      <c r="A1978" s="3">
        <v>41639</v>
      </c>
      <c r="B1978" s="2">
        <v>3592</v>
      </c>
      <c r="C1978" s="2">
        <v>3592</v>
      </c>
      <c r="D1978" s="2">
        <v>3575.25</v>
      </c>
      <c r="E1978" s="2">
        <v>4039742064827</v>
      </c>
      <c r="F1978" s="2">
        <v>0</v>
      </c>
      <c r="G1978">
        <v>1910.92</v>
      </c>
      <c r="H1978">
        <v>1911.53</v>
      </c>
      <c r="I1978">
        <v>1901.7</v>
      </c>
      <c r="J1978">
        <v>4081344332</v>
      </c>
      <c r="K1978">
        <v>0</v>
      </c>
      <c r="L1978" s="2">
        <f>VLOOKUP(A1978,[1]aaabonddata!$A:$B,2,0)</f>
        <v>2.94</v>
      </c>
    </row>
    <row r="1979" spans="1:12" x14ac:dyDescent="0.2">
      <c r="A1979" s="3">
        <v>41641</v>
      </c>
      <c r="B1979" s="2">
        <v>3563.57</v>
      </c>
      <c r="C1979" s="2">
        <v>3577.03</v>
      </c>
      <c r="D1979" s="2">
        <v>3553.65</v>
      </c>
      <c r="E1979" s="2">
        <v>4007768895001</v>
      </c>
      <c r="F1979" s="2">
        <v>908924976</v>
      </c>
      <c r="G1979">
        <v>1886.81</v>
      </c>
      <c r="H1979">
        <v>1897.38</v>
      </c>
      <c r="I1979">
        <v>1881.52</v>
      </c>
      <c r="J1979">
        <v>4029845511</v>
      </c>
      <c r="K1979">
        <v>804924</v>
      </c>
      <c r="L1979" s="2">
        <f>VLOOKUP(A1979,[1]aaabonddata!$A:$B,2,0)</f>
        <v>2.92</v>
      </c>
    </row>
    <row r="1980" spans="1:12" x14ac:dyDescent="0.2">
      <c r="A1980" s="3">
        <v>41642</v>
      </c>
      <c r="B1980" s="2">
        <v>3538.73</v>
      </c>
      <c r="C1980" s="2">
        <v>3567.51</v>
      </c>
      <c r="D1980" s="2">
        <v>3537.61</v>
      </c>
      <c r="E1980" s="2">
        <v>3979837253889</v>
      </c>
      <c r="F1980" s="2">
        <v>0</v>
      </c>
      <c r="G1980">
        <v>1883.21</v>
      </c>
      <c r="H1980">
        <v>1891.54</v>
      </c>
      <c r="I1980">
        <v>1876.91</v>
      </c>
      <c r="J1980">
        <v>4022149556</v>
      </c>
      <c r="K1980">
        <v>0</v>
      </c>
      <c r="L1980" s="2">
        <f>VLOOKUP(A1980,[1]aaabonddata!$A:$B,2,0)</f>
        <v>2.93</v>
      </c>
    </row>
    <row r="1981" spans="1:12" x14ac:dyDescent="0.2">
      <c r="A1981" s="3">
        <v>41645</v>
      </c>
      <c r="B1981" s="2">
        <v>3526.96</v>
      </c>
      <c r="C1981" s="2">
        <v>3542.52</v>
      </c>
      <c r="D1981" s="2">
        <v>3512.45</v>
      </c>
      <c r="E1981" s="2">
        <v>3966597236688</v>
      </c>
      <c r="F1981" s="2">
        <v>0</v>
      </c>
      <c r="G1981">
        <v>1876.46</v>
      </c>
      <c r="H1981">
        <v>1886.46</v>
      </c>
      <c r="I1981">
        <v>1872.19</v>
      </c>
      <c r="J1981">
        <v>4007739545</v>
      </c>
      <c r="K1981">
        <v>0</v>
      </c>
      <c r="L1981" s="2">
        <f>VLOOKUP(A1981,[1]aaabonddata!$A:$B,2,0)</f>
        <v>2.9</v>
      </c>
    </row>
    <row r="1982" spans="1:12" x14ac:dyDescent="0.2">
      <c r="A1982" s="3">
        <v>41646</v>
      </c>
      <c r="B1982" s="2">
        <v>3557.85</v>
      </c>
      <c r="C1982" s="2">
        <v>3562.98</v>
      </c>
      <c r="D1982" s="2">
        <v>3535.5</v>
      </c>
      <c r="E1982" s="2">
        <v>4001344592181</v>
      </c>
      <c r="F1982" s="2">
        <v>51122733</v>
      </c>
      <c r="G1982">
        <v>1897.71</v>
      </c>
      <c r="H1982">
        <v>1900.16</v>
      </c>
      <c r="I1982">
        <v>1880.85</v>
      </c>
      <c r="J1982">
        <v>4053131663</v>
      </c>
      <c r="K1982">
        <v>370462</v>
      </c>
      <c r="L1982" s="2">
        <f>VLOOKUP(A1982,[1]aaabonddata!$A:$B,2,0)</f>
        <v>2.89</v>
      </c>
    </row>
    <row r="1983" spans="1:12" x14ac:dyDescent="0.2">
      <c r="A1983" s="3">
        <v>41647</v>
      </c>
      <c r="B1983" s="2">
        <v>3567.54</v>
      </c>
      <c r="C1983" s="2">
        <v>3575.15</v>
      </c>
      <c r="D1983" s="2">
        <v>3551.12</v>
      </c>
      <c r="E1983" s="2">
        <v>4012232824747</v>
      </c>
      <c r="F1983" s="2">
        <v>54131488</v>
      </c>
      <c r="G1983">
        <v>1912.25</v>
      </c>
      <c r="H1983">
        <v>1915.54</v>
      </c>
      <c r="I1983">
        <v>1899.06</v>
      </c>
      <c r="J1983">
        <v>4084176924</v>
      </c>
      <c r="K1983">
        <v>252391</v>
      </c>
      <c r="L1983" s="2">
        <f>VLOOKUP(A1983,[1]aaabonddata!$A:$B,2,0)</f>
        <v>2.91</v>
      </c>
    </row>
    <row r="1984" spans="1:12" x14ac:dyDescent="0.2">
      <c r="A1984" s="3">
        <v>41648</v>
      </c>
      <c r="B1984" s="2">
        <v>3552.58</v>
      </c>
      <c r="C1984" s="2">
        <v>3579.4</v>
      </c>
      <c r="D1984" s="2">
        <v>3541.81</v>
      </c>
      <c r="E1984" s="2">
        <v>3995407389112</v>
      </c>
      <c r="F1984" s="2">
        <v>0</v>
      </c>
      <c r="G1984">
        <v>1899.77</v>
      </c>
      <c r="H1984">
        <v>1916.8</v>
      </c>
      <c r="I1984">
        <v>1893.62</v>
      </c>
      <c r="J1984">
        <v>4057519246</v>
      </c>
      <c r="K1984">
        <v>0</v>
      </c>
      <c r="L1984" s="2">
        <f>VLOOKUP(A1984,[1]aaabonddata!$A:$B,2,0)</f>
        <v>2.89</v>
      </c>
    </row>
    <row r="1985" spans="1:12" x14ac:dyDescent="0.2">
      <c r="A1985" s="3">
        <v>41649</v>
      </c>
      <c r="B1985" s="2">
        <v>3565.08</v>
      </c>
      <c r="C1985" s="2">
        <v>3568.47</v>
      </c>
      <c r="D1985" s="2">
        <v>3536.45</v>
      </c>
      <c r="E1985" s="2">
        <v>4009472587631</v>
      </c>
      <c r="F1985" s="2">
        <v>0</v>
      </c>
      <c r="G1985">
        <v>1907.28</v>
      </c>
      <c r="H1985">
        <v>1908.49</v>
      </c>
      <c r="I1985">
        <v>1895.11</v>
      </c>
      <c r="J1985">
        <v>4073576112</v>
      </c>
      <c r="K1985">
        <v>0</v>
      </c>
      <c r="L1985" s="2">
        <f>VLOOKUP(A1985,[1]aaabonddata!$A:$B,2,0)</f>
        <v>2.81</v>
      </c>
    </row>
    <row r="1986" spans="1:12" x14ac:dyDescent="0.2">
      <c r="A1986" s="3">
        <v>41652</v>
      </c>
      <c r="B1986" s="2">
        <v>3512.8</v>
      </c>
      <c r="C1986" s="2">
        <v>3572.4</v>
      </c>
      <c r="D1986" s="2">
        <v>3499.37</v>
      </c>
      <c r="E1986" s="2">
        <v>3950670296372</v>
      </c>
      <c r="F1986" s="2">
        <v>0</v>
      </c>
      <c r="G1986">
        <v>1879.88</v>
      </c>
      <c r="H1986">
        <v>1912.8</v>
      </c>
      <c r="I1986">
        <v>1874.6</v>
      </c>
      <c r="J1986">
        <v>4015034684</v>
      </c>
      <c r="K1986">
        <v>0</v>
      </c>
      <c r="L1986" s="2">
        <f>VLOOKUP(A1986,[1]aaabonddata!$A:$B,2,0)</f>
        <v>2.78</v>
      </c>
    </row>
    <row r="1987" spans="1:12" x14ac:dyDescent="0.2">
      <c r="A1987" s="3">
        <v>41653</v>
      </c>
      <c r="B1987" s="2">
        <v>3580.65</v>
      </c>
      <c r="C1987" s="2">
        <v>3581.6</v>
      </c>
      <c r="D1987" s="2">
        <v>3525.47</v>
      </c>
      <c r="E1987" s="2">
        <v>4026977238655</v>
      </c>
      <c r="F1987" s="2">
        <v>0</v>
      </c>
      <c r="G1987">
        <v>1919.61</v>
      </c>
      <c r="H1987">
        <v>1921.3</v>
      </c>
      <c r="I1987">
        <v>1885.64</v>
      </c>
      <c r="J1987">
        <v>4099902992</v>
      </c>
      <c r="K1987">
        <v>0</v>
      </c>
      <c r="L1987" s="2">
        <f>VLOOKUP(A1987,[1]aaabonddata!$A:$B,2,0)</f>
        <v>2.81</v>
      </c>
    </row>
    <row r="1988" spans="1:12" x14ac:dyDescent="0.2">
      <c r="A1988" s="3">
        <v>41654</v>
      </c>
      <c r="B1988" s="2">
        <v>3609.84</v>
      </c>
      <c r="C1988" s="2">
        <v>3615.7</v>
      </c>
      <c r="D1988" s="2">
        <v>3592.62</v>
      </c>
      <c r="E1988" s="2">
        <v>4059810517891</v>
      </c>
      <c r="F1988" s="2">
        <v>81914334</v>
      </c>
      <c r="G1988">
        <v>1945.95</v>
      </c>
      <c r="H1988">
        <v>1949.87</v>
      </c>
      <c r="I1988">
        <v>1925.62</v>
      </c>
      <c r="J1988">
        <v>4156162083</v>
      </c>
      <c r="K1988">
        <v>0</v>
      </c>
      <c r="L1988" s="2">
        <f>VLOOKUP(A1988,[1]aaabonddata!$A:$B,2,0)</f>
        <v>2.83</v>
      </c>
    </row>
    <row r="1989" spans="1:12" x14ac:dyDescent="0.2">
      <c r="A1989" s="3">
        <v>41655</v>
      </c>
      <c r="B1989" s="2">
        <v>3611.29</v>
      </c>
      <c r="C1989" s="2">
        <v>3614.66</v>
      </c>
      <c r="D1989" s="2">
        <v>3599.87</v>
      </c>
      <c r="E1989" s="2">
        <v>4061437462854</v>
      </c>
      <c r="F1989" s="2">
        <v>0</v>
      </c>
      <c r="G1989">
        <v>1940.99</v>
      </c>
      <c r="H1989">
        <v>1946.31</v>
      </c>
      <c r="I1989">
        <v>1936.85</v>
      </c>
      <c r="J1989">
        <v>4145567865</v>
      </c>
      <c r="K1989">
        <v>0</v>
      </c>
      <c r="L1989" s="2">
        <f>VLOOKUP(A1989,[1]aaabonddata!$A:$B,2,0)</f>
        <v>2.81</v>
      </c>
    </row>
    <row r="1990" spans="1:12" x14ac:dyDescent="0.2">
      <c r="A1990" s="3">
        <v>41656</v>
      </c>
      <c r="B1990" s="2">
        <v>3591.25</v>
      </c>
      <c r="C1990" s="2">
        <v>3608.72</v>
      </c>
      <c r="D1990" s="2">
        <v>3580.39</v>
      </c>
      <c r="E1990" s="2">
        <v>4038898471807</v>
      </c>
      <c r="F1990" s="2">
        <v>0</v>
      </c>
      <c r="G1990">
        <v>1933.06</v>
      </c>
      <c r="H1990">
        <v>1942.54</v>
      </c>
      <c r="I1990">
        <v>1928.22</v>
      </c>
      <c r="J1990">
        <v>4128634779</v>
      </c>
      <c r="K1990">
        <v>0</v>
      </c>
      <c r="L1990" s="2">
        <f>VLOOKUP(A1990,[1]aaabonddata!$A:$B,2,0)</f>
        <v>2.79</v>
      </c>
    </row>
    <row r="1991" spans="1:12" x14ac:dyDescent="0.2">
      <c r="A1991" s="3">
        <v>41660</v>
      </c>
      <c r="B1991" s="2">
        <v>3617.7</v>
      </c>
      <c r="C1991" s="2">
        <v>3617.7</v>
      </c>
      <c r="D1991" s="2">
        <v>3586.05</v>
      </c>
      <c r="E1991" s="2">
        <v>4068653873480</v>
      </c>
      <c r="F1991" s="2">
        <v>0</v>
      </c>
      <c r="G1991">
        <v>1942.24</v>
      </c>
      <c r="H1991">
        <v>1948.41</v>
      </c>
      <c r="I1991">
        <v>1928.88</v>
      </c>
      <c r="J1991">
        <v>4148224340</v>
      </c>
      <c r="K1991">
        <v>0</v>
      </c>
      <c r="L1991" s="2">
        <f>VLOOKUP(A1991,[1]aaabonddata!$A:$B,2,0)</f>
        <v>2.78</v>
      </c>
    </row>
    <row r="1992" spans="1:12" x14ac:dyDescent="0.2">
      <c r="A1992" s="3">
        <v>41661</v>
      </c>
      <c r="B1992" s="2">
        <v>3627.72</v>
      </c>
      <c r="C1992" s="2">
        <v>3634.65</v>
      </c>
      <c r="D1992" s="2">
        <v>3615.48</v>
      </c>
      <c r="E1992" s="2">
        <v>4079919250905</v>
      </c>
      <c r="F1992" s="2">
        <v>0</v>
      </c>
      <c r="G1992">
        <v>1953.07</v>
      </c>
      <c r="H1992">
        <v>1955.48</v>
      </c>
      <c r="I1992">
        <v>1940.19</v>
      </c>
      <c r="J1992">
        <v>4171361449</v>
      </c>
      <c r="K1992">
        <v>0</v>
      </c>
      <c r="L1992" s="2">
        <f>VLOOKUP(A1992,[1]aaabonddata!$A:$B,2,0)</f>
        <v>2.82</v>
      </c>
    </row>
    <row r="1993" spans="1:12" x14ac:dyDescent="0.2">
      <c r="A1993" s="3">
        <v>41662</v>
      </c>
      <c r="B1993" s="2">
        <v>3613.76</v>
      </c>
      <c r="C1993" s="2">
        <v>3613.87</v>
      </c>
      <c r="D1993" s="2">
        <v>3588.83</v>
      </c>
      <c r="E1993" s="2">
        <v>4064213637999</v>
      </c>
      <c r="F1993" s="2">
        <v>0</v>
      </c>
      <c r="G1993">
        <v>1941.78</v>
      </c>
      <c r="H1993">
        <v>1945.1</v>
      </c>
      <c r="I1993">
        <v>1930.7</v>
      </c>
      <c r="J1993">
        <v>4147245671</v>
      </c>
      <c r="K1993">
        <v>0</v>
      </c>
      <c r="L1993" s="2">
        <f>VLOOKUP(A1993,[1]aaabonddata!$A:$B,2,0)</f>
        <v>2.76</v>
      </c>
    </row>
    <row r="1994" spans="1:12" x14ac:dyDescent="0.2">
      <c r="A1994" s="3">
        <v>41663</v>
      </c>
      <c r="B1994" s="2">
        <v>3541.48</v>
      </c>
      <c r="C1994" s="2">
        <v>3601</v>
      </c>
      <c r="D1994" s="2">
        <v>3541.38</v>
      </c>
      <c r="E1994" s="2">
        <v>3982929995236</v>
      </c>
      <c r="F1994" s="2">
        <v>0</v>
      </c>
      <c r="G1994">
        <v>1901.5</v>
      </c>
      <c r="H1994">
        <v>1931.61</v>
      </c>
      <c r="I1994">
        <v>1901.44</v>
      </c>
      <c r="J1994">
        <v>4061213783</v>
      </c>
      <c r="K1994">
        <v>0</v>
      </c>
      <c r="L1994" s="2">
        <f>VLOOKUP(A1994,[1]aaabonddata!$A:$B,2,0)</f>
        <v>2.74</v>
      </c>
    </row>
    <row r="1995" spans="1:12" x14ac:dyDescent="0.2">
      <c r="A1995" s="3">
        <v>41666</v>
      </c>
      <c r="B1995" s="2">
        <v>3509.02</v>
      </c>
      <c r="C1995" s="2">
        <v>3548.48</v>
      </c>
      <c r="D1995" s="2">
        <v>3482.89</v>
      </c>
      <c r="E1995" s="2">
        <v>3946423262840</v>
      </c>
      <c r="F1995" s="2">
        <v>0</v>
      </c>
      <c r="G1995">
        <v>1886</v>
      </c>
      <c r="H1995">
        <v>1907.57</v>
      </c>
      <c r="I1995">
        <v>1874.82</v>
      </c>
      <c r="J1995">
        <v>4028116448</v>
      </c>
      <c r="K1995">
        <v>0</v>
      </c>
      <c r="L1995" s="2">
        <f>VLOOKUP(A1995,[1]aaabonddata!$A:$B,2,0)</f>
        <v>2.76</v>
      </c>
    </row>
    <row r="1996" spans="1:12" x14ac:dyDescent="0.2">
      <c r="A1996" s="3">
        <v>41667</v>
      </c>
      <c r="B1996" s="2">
        <v>3505.72</v>
      </c>
      <c r="C1996" s="2">
        <v>3509.8</v>
      </c>
      <c r="D1996" s="2">
        <v>3483.71</v>
      </c>
      <c r="E1996" s="2">
        <v>3942707344482</v>
      </c>
      <c r="F1996" s="2">
        <v>0</v>
      </c>
      <c r="G1996">
        <v>1894.96</v>
      </c>
      <c r="H1996">
        <v>1896.86</v>
      </c>
      <c r="I1996">
        <v>1880.17</v>
      </c>
      <c r="J1996">
        <v>4047253228</v>
      </c>
      <c r="K1996">
        <v>0</v>
      </c>
      <c r="L1996" s="2">
        <f>VLOOKUP(A1996,[1]aaabonddata!$A:$B,2,0)</f>
        <v>2.74</v>
      </c>
    </row>
    <row r="1997" spans="1:12" x14ac:dyDescent="0.2">
      <c r="A1997" s="3">
        <v>41668</v>
      </c>
      <c r="B1997" s="2">
        <v>3467.82</v>
      </c>
      <c r="C1997" s="2">
        <v>3500.82</v>
      </c>
      <c r="D1997" s="2">
        <v>3461.64</v>
      </c>
      <c r="E1997" s="2">
        <v>3900086200618</v>
      </c>
      <c r="F1997" s="2">
        <v>402554451</v>
      </c>
      <c r="G1997">
        <v>1877.93</v>
      </c>
      <c r="H1997">
        <v>1894.33</v>
      </c>
      <c r="I1997">
        <v>1874.44</v>
      </c>
      <c r="J1997">
        <v>4010878070</v>
      </c>
      <c r="K1997">
        <v>700280</v>
      </c>
      <c r="L1997" s="2">
        <f>VLOOKUP(A1997,[1]aaabonddata!$A:$B,2,0)</f>
        <v>2.7</v>
      </c>
    </row>
    <row r="1998" spans="1:12" x14ac:dyDescent="0.2">
      <c r="A1998" s="3">
        <v>41669</v>
      </c>
      <c r="B1998" s="2">
        <v>3532.41</v>
      </c>
      <c r="C1998" s="2">
        <v>3544.21</v>
      </c>
      <c r="D1998" s="2">
        <v>3508</v>
      </c>
      <c r="E1998" s="2">
        <v>3972727294525</v>
      </c>
      <c r="F1998" s="2">
        <v>178644221</v>
      </c>
      <c r="G1998">
        <v>1904.66</v>
      </c>
      <c r="H1998">
        <v>1910.24</v>
      </c>
      <c r="I1998">
        <v>1884.73</v>
      </c>
      <c r="J1998">
        <v>4067963295</v>
      </c>
      <c r="K1998">
        <v>323694</v>
      </c>
      <c r="L1998" s="2">
        <f>VLOOKUP(A1998,[1]aaabonddata!$A:$B,2,0)</f>
        <v>2.71</v>
      </c>
    </row>
    <row r="1999" spans="1:12" x14ac:dyDescent="0.2">
      <c r="A1999" s="3">
        <v>41670</v>
      </c>
      <c r="B1999" s="2">
        <v>3521.92</v>
      </c>
      <c r="C1999" s="2">
        <v>3539.44</v>
      </c>
      <c r="D1999" s="2">
        <v>3488.04</v>
      </c>
      <c r="E1999" s="2">
        <v>3960933195559</v>
      </c>
      <c r="F1999" s="2">
        <v>0</v>
      </c>
      <c r="G1999">
        <v>1897.65</v>
      </c>
      <c r="H1999">
        <v>1905.83</v>
      </c>
      <c r="I1999">
        <v>1884.46</v>
      </c>
      <c r="J1999">
        <v>4052993593</v>
      </c>
      <c r="K1999">
        <v>0</v>
      </c>
      <c r="L1999" s="2">
        <f>VLOOKUP(A1999,[1]aaabonddata!$A:$B,2,0)</f>
        <v>2.7</v>
      </c>
    </row>
    <row r="2000" spans="1:12" x14ac:dyDescent="0.2">
      <c r="A2000" s="3">
        <v>41673</v>
      </c>
      <c r="B2000" s="2">
        <v>3440.5</v>
      </c>
      <c r="C2000" s="2">
        <v>3533.48</v>
      </c>
      <c r="D2000" s="2">
        <v>3433.64</v>
      </c>
      <c r="E2000" s="2">
        <v>3869364490894</v>
      </c>
      <c r="F2000" s="2">
        <v>0</v>
      </c>
      <c r="G2000">
        <v>1849.97</v>
      </c>
      <c r="H2000">
        <v>1901.72</v>
      </c>
      <c r="I2000">
        <v>1845.41</v>
      </c>
      <c r="J2000">
        <v>3951173238</v>
      </c>
      <c r="K2000">
        <v>0</v>
      </c>
      <c r="L2000" s="2">
        <f>VLOOKUP(A2000,[1]aaabonddata!$A:$B,2,0)</f>
        <v>2.65</v>
      </c>
    </row>
    <row r="2001" spans="1:12" x14ac:dyDescent="0.2">
      <c r="A2001" s="3">
        <v>41674</v>
      </c>
      <c r="B2001" s="2">
        <v>3470.2</v>
      </c>
      <c r="C2001" s="2">
        <v>3480.74</v>
      </c>
      <c r="D2001" s="2">
        <v>3449.19</v>
      </c>
      <c r="E2001" s="2">
        <v>3902768213788</v>
      </c>
      <c r="F2001" s="2">
        <v>263014398</v>
      </c>
      <c r="G2001">
        <v>1863.97</v>
      </c>
      <c r="H2001">
        <v>1865.45</v>
      </c>
      <c r="I2001">
        <v>1848.32</v>
      </c>
      <c r="J2001">
        <v>3981068261</v>
      </c>
      <c r="K2001">
        <v>559159</v>
      </c>
      <c r="L2001" s="2">
        <f>VLOOKUP(A2001,[1]aaabonddata!$A:$B,2,0)</f>
        <v>2.67</v>
      </c>
    </row>
    <row r="2002" spans="1:12" x14ac:dyDescent="0.2">
      <c r="A2002" s="3">
        <v>41675</v>
      </c>
      <c r="B2002" s="2">
        <v>3454.89</v>
      </c>
      <c r="C2002" s="2">
        <v>3469.35</v>
      </c>
      <c r="D2002" s="2">
        <v>3418.88</v>
      </c>
      <c r="E2002" s="2">
        <v>3885551217208</v>
      </c>
      <c r="F2002" s="2">
        <v>1118475000</v>
      </c>
      <c r="G2002">
        <v>1857.02</v>
      </c>
      <c r="H2002">
        <v>1862.5</v>
      </c>
      <c r="I2002">
        <v>1834</v>
      </c>
      <c r="J2002">
        <v>3966219489</v>
      </c>
      <c r="K2002">
        <v>897845</v>
      </c>
      <c r="L2002" s="2">
        <f>VLOOKUP(A2002,[1]aaabonddata!$A:$B,2,0)</f>
        <v>2.7</v>
      </c>
    </row>
    <row r="2003" spans="1:12" x14ac:dyDescent="0.2">
      <c r="A2003" s="3">
        <v>41676</v>
      </c>
      <c r="B2003" s="2">
        <v>3497.6</v>
      </c>
      <c r="C2003" s="2">
        <v>3502.52</v>
      </c>
      <c r="D2003" s="2">
        <v>3465.42</v>
      </c>
      <c r="E2003" s="2">
        <v>3933574224377</v>
      </c>
      <c r="F2003" s="2">
        <v>2932611332</v>
      </c>
      <c r="G2003">
        <v>1890.27</v>
      </c>
      <c r="H2003">
        <v>1892.97</v>
      </c>
      <c r="I2003">
        <v>1867.47</v>
      </c>
      <c r="J2003">
        <v>4037242927</v>
      </c>
      <c r="K2003">
        <v>1804320</v>
      </c>
      <c r="L2003" s="2">
        <f>VLOOKUP(A2003,[1]aaabonddata!$A:$B,2,0)</f>
        <v>2.73</v>
      </c>
    </row>
    <row r="2004" spans="1:12" x14ac:dyDescent="0.2">
      <c r="A2004" s="3">
        <v>41677</v>
      </c>
      <c r="B2004" s="2">
        <v>3561.91</v>
      </c>
      <c r="C2004" s="2">
        <v>3563.14</v>
      </c>
      <c r="D2004" s="2">
        <v>3508.83</v>
      </c>
      <c r="E2004" s="2">
        <v>4005902299435</v>
      </c>
      <c r="F2004" s="2">
        <v>0</v>
      </c>
      <c r="G2004">
        <v>1922.3</v>
      </c>
      <c r="H2004">
        <v>1923.71</v>
      </c>
      <c r="I2004">
        <v>1891.92</v>
      </c>
      <c r="J2004">
        <v>4105642524</v>
      </c>
      <c r="K2004">
        <v>0</v>
      </c>
      <c r="L2004" s="2">
        <f>VLOOKUP(A2004,[1]aaabonddata!$A:$B,2,0)</f>
        <v>2.7</v>
      </c>
    </row>
    <row r="2005" spans="1:12" x14ac:dyDescent="0.2">
      <c r="A2005" s="3">
        <v>41680</v>
      </c>
      <c r="B2005" s="2">
        <v>3582.11</v>
      </c>
      <c r="C2005" s="2">
        <v>3582.84</v>
      </c>
      <c r="D2005" s="2">
        <v>3557.78</v>
      </c>
      <c r="E2005" s="2">
        <v>4028624989879</v>
      </c>
      <c r="F2005" s="2">
        <v>0</v>
      </c>
      <c r="G2005">
        <v>1933.09</v>
      </c>
      <c r="H2005">
        <v>1934</v>
      </c>
      <c r="I2005">
        <v>1919.01</v>
      </c>
      <c r="J2005">
        <v>4128694989</v>
      </c>
      <c r="K2005">
        <v>0</v>
      </c>
      <c r="L2005" s="2">
        <f>VLOOKUP(A2005,[1]aaabonddata!$A:$B,2,0)</f>
        <v>2.7</v>
      </c>
    </row>
    <row r="2006" spans="1:12" x14ac:dyDescent="0.2">
      <c r="A2006" s="3">
        <v>41681</v>
      </c>
      <c r="B2006" s="2">
        <v>3621.72</v>
      </c>
      <c r="C2006" s="2">
        <v>3628.59</v>
      </c>
      <c r="D2006" s="2">
        <v>3585.08</v>
      </c>
      <c r="E2006" s="2">
        <v>4073170671354</v>
      </c>
      <c r="F2006" s="2">
        <v>586461110</v>
      </c>
      <c r="G2006">
        <v>1957.87</v>
      </c>
      <c r="H2006">
        <v>1962.46</v>
      </c>
      <c r="I2006">
        <v>1935.41</v>
      </c>
      <c r="J2006">
        <v>4181615643</v>
      </c>
      <c r="K2006">
        <v>0</v>
      </c>
      <c r="L2006" s="2">
        <f>VLOOKUP(A2006,[1]aaabonddata!$A:$B,2,0)</f>
        <v>2.73</v>
      </c>
    </row>
    <row r="2007" spans="1:12" x14ac:dyDescent="0.2">
      <c r="A2007" s="3">
        <v>41682</v>
      </c>
      <c r="B2007" s="2">
        <v>3627.36</v>
      </c>
      <c r="C2007" s="2">
        <v>3635.92</v>
      </c>
      <c r="D2007" s="2">
        <v>3618.06</v>
      </c>
      <c r="E2007" s="2">
        <v>4079512275323</v>
      </c>
      <c r="F2007" s="2">
        <v>331648136</v>
      </c>
      <c r="G2007">
        <v>1966.99</v>
      </c>
      <c r="H2007">
        <v>1972.95</v>
      </c>
      <c r="I2007">
        <v>1961.1</v>
      </c>
      <c r="J2007">
        <v>4201086575</v>
      </c>
      <c r="K2007">
        <v>1022700</v>
      </c>
      <c r="L2007" s="2">
        <f>VLOOKUP(A2007,[1]aaabonddata!$A:$B,2,0)</f>
        <v>2.77</v>
      </c>
    </row>
    <row r="2008" spans="1:12" x14ac:dyDescent="0.2">
      <c r="A2008" s="3">
        <v>41683</v>
      </c>
      <c r="B2008" s="2">
        <v>3659.56</v>
      </c>
      <c r="C2008" s="2">
        <v>3659.56</v>
      </c>
      <c r="D2008" s="2">
        <v>3600.86</v>
      </c>
      <c r="E2008" s="2">
        <v>4115731334662</v>
      </c>
      <c r="F2008" s="2">
        <v>74992238</v>
      </c>
      <c r="G2008">
        <v>1991.12</v>
      </c>
      <c r="H2008">
        <v>1991.12</v>
      </c>
      <c r="I2008">
        <v>1953.32</v>
      </c>
      <c r="J2008">
        <v>4252631743</v>
      </c>
      <c r="K2008">
        <v>712928</v>
      </c>
      <c r="L2008" s="2">
        <f>VLOOKUP(A2008,[1]aaabonddata!$A:$B,2,0)</f>
        <v>2.72</v>
      </c>
    </row>
    <row r="2009" spans="1:12" x14ac:dyDescent="0.2">
      <c r="A2009" s="3">
        <v>41684</v>
      </c>
      <c r="B2009" s="2">
        <v>3663.88</v>
      </c>
      <c r="C2009" s="2">
        <v>3671.04</v>
      </c>
      <c r="D2009" s="2">
        <v>3643.79</v>
      </c>
      <c r="E2009" s="2">
        <v>4120584555152</v>
      </c>
      <c r="F2009" s="2">
        <v>120282649</v>
      </c>
      <c r="G2009">
        <v>1999.86</v>
      </c>
      <c r="H2009">
        <v>2002.37</v>
      </c>
      <c r="I2009">
        <v>1981.66</v>
      </c>
      <c r="J2009">
        <v>4271300603</v>
      </c>
      <c r="K2009">
        <v>581734</v>
      </c>
      <c r="L2009" s="2">
        <f>VLOOKUP(A2009,[1]aaabonddata!$A:$B,2,0)</f>
        <v>2.73</v>
      </c>
    </row>
    <row r="2010" spans="1:12" x14ac:dyDescent="0.2">
      <c r="A2010" s="3">
        <v>41688</v>
      </c>
      <c r="B2010" s="2">
        <v>3679.43</v>
      </c>
      <c r="C2010" s="2">
        <v>3685.18</v>
      </c>
      <c r="D2010" s="2">
        <v>3658.64</v>
      </c>
      <c r="E2010" s="2">
        <v>4138072962267</v>
      </c>
      <c r="F2010" s="2">
        <v>2652325426</v>
      </c>
      <c r="G2010">
        <v>2004.69</v>
      </c>
      <c r="H2010">
        <v>2006.39</v>
      </c>
      <c r="I2010">
        <v>1991.95</v>
      </c>
      <c r="J2010">
        <v>4281621771</v>
      </c>
      <c r="K2010">
        <v>2437647</v>
      </c>
      <c r="L2010" s="2">
        <f>VLOOKUP(A2010,[1]aaabonddata!$A:$B,2,0)</f>
        <v>2.7</v>
      </c>
    </row>
    <row r="2011" spans="1:12" x14ac:dyDescent="0.2">
      <c r="A2011" s="3">
        <v>41689</v>
      </c>
      <c r="B2011" s="2">
        <v>3652.84</v>
      </c>
      <c r="C2011" s="2">
        <v>3679.69</v>
      </c>
      <c r="D2011" s="2">
        <v>3646.13</v>
      </c>
      <c r="E2011" s="2">
        <v>4108175885802</v>
      </c>
      <c r="F2011" s="2">
        <v>0</v>
      </c>
      <c r="G2011">
        <v>2003.65</v>
      </c>
      <c r="H2011">
        <v>2015.69</v>
      </c>
      <c r="I2011">
        <v>2000.46</v>
      </c>
      <c r="J2011">
        <v>4279387927</v>
      </c>
      <c r="K2011">
        <v>0</v>
      </c>
      <c r="L2011" s="2">
        <f>VLOOKUP(A2011,[1]aaabonddata!$A:$B,2,0)</f>
        <v>2.72</v>
      </c>
    </row>
    <row r="2012" spans="1:12" x14ac:dyDescent="0.2">
      <c r="A2012" s="3">
        <v>41690</v>
      </c>
      <c r="B2012" s="2">
        <v>3671.93</v>
      </c>
      <c r="C2012" s="2">
        <v>3676.89</v>
      </c>
      <c r="D2012" s="2">
        <v>3640.63</v>
      </c>
      <c r="E2012" s="2">
        <v>4129641131692</v>
      </c>
      <c r="F2012" s="2">
        <v>122551045</v>
      </c>
      <c r="G2012">
        <v>2016.51</v>
      </c>
      <c r="H2012">
        <v>2018.66</v>
      </c>
      <c r="I2012">
        <v>1993.31</v>
      </c>
      <c r="J2012">
        <v>4306858263</v>
      </c>
      <c r="K2012">
        <v>666371</v>
      </c>
      <c r="L2012" s="2">
        <f>VLOOKUP(A2012,[1]aaabonddata!$A:$B,2,0)</f>
        <v>2.74</v>
      </c>
    </row>
    <row r="2013" spans="1:12" x14ac:dyDescent="0.2">
      <c r="A2013" s="3">
        <v>41691</v>
      </c>
      <c r="B2013" s="2">
        <v>3662.6</v>
      </c>
      <c r="C2013" s="2">
        <v>3687.16</v>
      </c>
      <c r="D2013" s="2">
        <v>3661.46</v>
      </c>
      <c r="E2013" s="2">
        <v>4119150813203</v>
      </c>
      <c r="F2013" s="2">
        <v>0</v>
      </c>
      <c r="G2013">
        <v>2015.61</v>
      </c>
      <c r="H2013">
        <v>2026.49</v>
      </c>
      <c r="I2013">
        <v>2013.1</v>
      </c>
      <c r="J2013">
        <v>4304936450</v>
      </c>
      <c r="K2013">
        <v>0</v>
      </c>
      <c r="L2013" s="2">
        <f>VLOOKUP(A2013,[1]aaabonddata!$A:$B,2,0)</f>
        <v>2.72</v>
      </c>
    </row>
    <row r="2014" spans="1:12" x14ac:dyDescent="0.2">
      <c r="A2014" s="3">
        <v>41694</v>
      </c>
      <c r="B2014" s="2">
        <v>3685.81</v>
      </c>
      <c r="C2014" s="2">
        <v>3701.27</v>
      </c>
      <c r="D2014" s="2">
        <v>3668.34</v>
      </c>
      <c r="E2014" s="2">
        <v>4128003530413</v>
      </c>
      <c r="F2014" s="2">
        <v>0</v>
      </c>
      <c r="G2014">
        <v>2025.23</v>
      </c>
      <c r="H2014">
        <v>2035.85</v>
      </c>
      <c r="I2014">
        <v>2019.1</v>
      </c>
      <c r="J2014">
        <v>4325491754</v>
      </c>
      <c r="K2014">
        <v>0</v>
      </c>
      <c r="L2014" s="2">
        <f>VLOOKUP(A2014,[1]aaabonddata!$A:$B,2,0)</f>
        <v>2.73</v>
      </c>
    </row>
    <row r="2015" spans="1:12" x14ac:dyDescent="0.2">
      <c r="A2015" s="3">
        <v>41695</v>
      </c>
      <c r="B2015" s="2">
        <v>3679.14</v>
      </c>
      <c r="C2015" s="2">
        <v>3697.6</v>
      </c>
      <c r="D2015" s="2">
        <v>3669.53</v>
      </c>
      <c r="E2015" s="2">
        <v>4120531750379</v>
      </c>
      <c r="F2015" s="2">
        <v>48325527</v>
      </c>
      <c r="G2015">
        <v>2017.19</v>
      </c>
      <c r="H2015">
        <v>2028.25</v>
      </c>
      <c r="I2015">
        <v>2012.05</v>
      </c>
      <c r="J2015">
        <v>4308315063</v>
      </c>
      <c r="K2015">
        <v>542438</v>
      </c>
      <c r="L2015" s="2">
        <f>VLOOKUP(A2015,[1]aaabonddata!$A:$B,2,0)</f>
        <v>2.69</v>
      </c>
    </row>
    <row r="2016" spans="1:12" x14ac:dyDescent="0.2">
      <c r="A2016" s="3">
        <v>41696</v>
      </c>
      <c r="B2016" s="2">
        <v>3676.6</v>
      </c>
      <c r="C2016" s="2">
        <v>3702.09</v>
      </c>
      <c r="D2016" s="2">
        <v>3663.75</v>
      </c>
      <c r="E2016" s="2">
        <v>4117684732999</v>
      </c>
      <c r="F2016" s="2">
        <v>193531332</v>
      </c>
      <c r="G2016">
        <v>2028.79</v>
      </c>
      <c r="H2016">
        <v>2040.85</v>
      </c>
      <c r="I2016">
        <v>2023.5</v>
      </c>
      <c r="J2016">
        <v>4333096705</v>
      </c>
      <c r="K2016">
        <v>739852</v>
      </c>
      <c r="L2016" s="2">
        <f>VLOOKUP(A2016,[1]aaabonddata!$A:$B,2,0)</f>
        <v>2.67</v>
      </c>
    </row>
    <row r="2017" spans="1:12" x14ac:dyDescent="0.2">
      <c r="A2017" s="3">
        <v>41697</v>
      </c>
      <c r="B2017" s="2">
        <v>3699.8</v>
      </c>
      <c r="C2017" s="2">
        <v>3704.65</v>
      </c>
      <c r="D2017" s="2">
        <v>3672.64</v>
      </c>
      <c r="E2017" s="2">
        <v>4143667291607</v>
      </c>
      <c r="F2017" s="2">
        <v>0</v>
      </c>
      <c r="G2017">
        <v>2032.63</v>
      </c>
      <c r="H2017">
        <v>2033.76</v>
      </c>
      <c r="I2017">
        <v>2018.16</v>
      </c>
      <c r="J2017">
        <v>4341296279</v>
      </c>
      <c r="K2017">
        <v>0</v>
      </c>
      <c r="L2017" s="2">
        <f>VLOOKUP(A2017,[1]aaabonddata!$A:$B,2,0)</f>
        <v>2.64</v>
      </c>
    </row>
    <row r="2018" spans="1:12" x14ac:dyDescent="0.2">
      <c r="A2018" s="3">
        <v>41698</v>
      </c>
      <c r="B2018" s="2">
        <v>3696.1</v>
      </c>
      <c r="C2018" s="2">
        <v>3722.38</v>
      </c>
      <c r="D2018" s="2">
        <v>3664.83</v>
      </c>
      <c r="E2018" s="2">
        <v>4139521408709</v>
      </c>
      <c r="F2018" s="2">
        <v>0</v>
      </c>
      <c r="G2018">
        <v>2021.13</v>
      </c>
      <c r="H2018">
        <v>2034.7</v>
      </c>
      <c r="I2018">
        <v>2004.64</v>
      </c>
      <c r="J2018">
        <v>4316717815</v>
      </c>
      <c r="K2018">
        <v>0</v>
      </c>
      <c r="L2018" s="2">
        <f>VLOOKUP(A2018,[1]aaabonddata!$A:$B,2,0)</f>
        <v>2.66</v>
      </c>
    </row>
    <row r="2019" spans="1:12" x14ac:dyDescent="0.2">
      <c r="A2019" s="3">
        <v>41701</v>
      </c>
      <c r="B2019" s="2">
        <v>3668.37</v>
      </c>
      <c r="C2019" s="2">
        <v>3678.38</v>
      </c>
      <c r="D2019" s="2">
        <v>3637.66</v>
      </c>
      <c r="E2019" s="2">
        <v>4108464500872</v>
      </c>
      <c r="F2019" s="2">
        <v>591302486</v>
      </c>
      <c r="G2019">
        <v>2008.9</v>
      </c>
      <c r="H2019">
        <v>2012.86</v>
      </c>
      <c r="I2019">
        <v>1990.84</v>
      </c>
      <c r="J2019">
        <v>4290596147</v>
      </c>
      <c r="K2019">
        <v>480968</v>
      </c>
      <c r="L2019" s="2">
        <f>VLOOKUP(A2019,[1]aaabonddata!$A:$B,2,0)</f>
        <v>2.63</v>
      </c>
    </row>
    <row r="2020" spans="1:12" x14ac:dyDescent="0.2">
      <c r="A2020" s="3">
        <v>41702</v>
      </c>
      <c r="B2020" s="2">
        <v>3719.93</v>
      </c>
      <c r="C2020" s="2">
        <v>3723</v>
      </c>
      <c r="D2020" s="2">
        <v>3706.82</v>
      </c>
      <c r="E2020" s="2">
        <v>4156872642734</v>
      </c>
      <c r="F2020" s="2">
        <v>0</v>
      </c>
      <c r="G2020">
        <v>2042.26</v>
      </c>
      <c r="H2020">
        <v>2044.04</v>
      </c>
      <c r="I2020">
        <v>2030.64</v>
      </c>
      <c r="J2020">
        <v>4361860848</v>
      </c>
      <c r="K2020">
        <v>0</v>
      </c>
      <c r="L2020" s="2">
        <f>VLOOKUP(A2020,[1]aaabonddata!$A:$B,2,0)</f>
        <v>2.68</v>
      </c>
    </row>
    <row r="2021" spans="1:12" x14ac:dyDescent="0.2">
      <c r="A2021" s="3">
        <v>41703</v>
      </c>
      <c r="B2021" s="2">
        <v>3727.19</v>
      </c>
      <c r="C2021" s="2">
        <v>3732.98</v>
      </c>
      <c r="D2021" s="2">
        <v>3715.38</v>
      </c>
      <c r="E2021" s="2">
        <v>4164983094655</v>
      </c>
      <c r="F2021" s="2">
        <v>53072270</v>
      </c>
      <c r="G2021">
        <v>2044.5</v>
      </c>
      <c r="H2021">
        <v>2046.5</v>
      </c>
      <c r="I2021">
        <v>2039.4</v>
      </c>
      <c r="J2021">
        <v>4366633119</v>
      </c>
      <c r="K2021">
        <v>0</v>
      </c>
      <c r="L2021" s="2">
        <f>VLOOKUP(A2021,[1]aaabonddata!$A:$B,2,0)</f>
        <v>2.69</v>
      </c>
    </row>
    <row r="2022" spans="1:12" x14ac:dyDescent="0.2">
      <c r="A2022" s="3">
        <v>41704</v>
      </c>
      <c r="B2022" s="2">
        <v>3720.93</v>
      </c>
      <c r="C2022" s="2">
        <v>3738.32</v>
      </c>
      <c r="D2022" s="2">
        <v>3709.41</v>
      </c>
      <c r="E2022" s="2">
        <v>4157993393924</v>
      </c>
      <c r="F2022" s="2">
        <v>60969601</v>
      </c>
      <c r="G2022">
        <v>2046.53</v>
      </c>
      <c r="H2022">
        <v>2051.52</v>
      </c>
      <c r="I2022">
        <v>2040.2</v>
      </c>
      <c r="J2022">
        <v>4370979332</v>
      </c>
      <c r="K2022">
        <v>0</v>
      </c>
      <c r="L2022" s="2">
        <f>VLOOKUP(A2022,[1]aaabonddata!$A:$B,2,0)</f>
        <v>2.72</v>
      </c>
    </row>
    <row r="2023" spans="1:12" x14ac:dyDescent="0.2">
      <c r="A2023" s="3">
        <v>41705</v>
      </c>
      <c r="B2023" s="2">
        <v>3703.4</v>
      </c>
      <c r="C2023" s="2">
        <v>3737.36</v>
      </c>
      <c r="D2023" s="2">
        <v>3686.94</v>
      </c>
      <c r="E2023" s="2">
        <v>4138408513147</v>
      </c>
      <c r="F2023" s="2">
        <v>0</v>
      </c>
      <c r="G2023">
        <v>2036.66</v>
      </c>
      <c r="H2023">
        <v>2054.37</v>
      </c>
      <c r="I2023">
        <v>2029.36</v>
      </c>
      <c r="J2023">
        <v>4349897466</v>
      </c>
      <c r="K2023">
        <v>0</v>
      </c>
      <c r="L2023" s="2">
        <f>VLOOKUP(A2023,[1]aaabonddata!$A:$B,2,0)</f>
        <v>2.76</v>
      </c>
    </row>
    <row r="2024" spans="1:12" x14ac:dyDescent="0.2">
      <c r="A2024" s="3">
        <v>41708</v>
      </c>
      <c r="B2024" s="2">
        <v>3706.34</v>
      </c>
      <c r="C2024" s="2">
        <v>3709.78</v>
      </c>
      <c r="D2024" s="2">
        <v>3683.97</v>
      </c>
      <c r="E2024" s="2">
        <v>4141692852717</v>
      </c>
      <c r="F2024" s="2">
        <v>185410680</v>
      </c>
      <c r="G2024">
        <v>2029.77</v>
      </c>
      <c r="H2024">
        <v>2041.48</v>
      </c>
      <c r="I2024">
        <v>2022.77</v>
      </c>
      <c r="J2024">
        <v>4335185963</v>
      </c>
      <c r="K2024">
        <v>0</v>
      </c>
      <c r="L2024" s="2">
        <f>VLOOKUP(A2024,[1]aaabonddata!$A:$B,2,0)</f>
        <v>2.76</v>
      </c>
    </row>
    <row r="2025" spans="1:12" x14ac:dyDescent="0.2">
      <c r="A2025" s="3">
        <v>41709</v>
      </c>
      <c r="B2025" s="2">
        <v>3691.5</v>
      </c>
      <c r="C2025" s="2">
        <v>3725.71</v>
      </c>
      <c r="D2025" s="2">
        <v>3681.37</v>
      </c>
      <c r="E2025" s="2">
        <v>4125107241053</v>
      </c>
      <c r="F2025" s="2">
        <v>0</v>
      </c>
      <c r="G2025">
        <v>2018.12</v>
      </c>
      <c r="H2025">
        <v>2040.77</v>
      </c>
      <c r="I2025">
        <v>2012.7</v>
      </c>
      <c r="J2025">
        <v>4310294872</v>
      </c>
      <c r="K2025">
        <v>0</v>
      </c>
      <c r="L2025" s="2">
        <f>VLOOKUP(A2025,[1]aaabonddata!$A:$B,2,0)</f>
        <v>2.75</v>
      </c>
    </row>
    <row r="2026" spans="1:12" x14ac:dyDescent="0.2">
      <c r="A2026" s="3">
        <v>41710</v>
      </c>
      <c r="B2026" s="2">
        <v>3707.06</v>
      </c>
      <c r="C2026" s="2">
        <v>3707.19</v>
      </c>
      <c r="D2026" s="2">
        <v>3661.87</v>
      </c>
      <c r="E2026" s="2">
        <v>4142497135494</v>
      </c>
      <c r="F2026" s="2">
        <v>349544338</v>
      </c>
      <c r="G2026">
        <v>2027.63</v>
      </c>
      <c r="H2026">
        <v>2027.63</v>
      </c>
      <c r="I2026">
        <v>1998.45</v>
      </c>
      <c r="J2026">
        <v>4330601868</v>
      </c>
      <c r="K2026">
        <v>0</v>
      </c>
      <c r="L2026" s="2">
        <f>VLOOKUP(A2026,[1]aaabonddata!$A:$B,2,0)</f>
        <v>2.72</v>
      </c>
    </row>
    <row r="2027" spans="1:12" x14ac:dyDescent="0.2">
      <c r="A2027" s="3">
        <v>41711</v>
      </c>
      <c r="B2027" s="2">
        <v>3651.49</v>
      </c>
      <c r="C2027" s="2">
        <v>3720.61</v>
      </c>
      <c r="D2027" s="2">
        <v>3636.79</v>
      </c>
      <c r="E2027" s="2">
        <v>4080401820965</v>
      </c>
      <c r="F2027" s="2">
        <v>87849806</v>
      </c>
      <c r="G2027">
        <v>1988.45</v>
      </c>
      <c r="H2027">
        <v>2034.83</v>
      </c>
      <c r="I2027">
        <v>1978.72</v>
      </c>
      <c r="J2027">
        <v>4246930693</v>
      </c>
      <c r="K2027">
        <v>977623</v>
      </c>
      <c r="L2027" s="2">
        <f>VLOOKUP(A2027,[1]aaabonddata!$A:$B,2,0)</f>
        <v>2.67</v>
      </c>
    </row>
    <row r="2028" spans="1:12" x14ac:dyDescent="0.2">
      <c r="A2028" s="3">
        <v>41712</v>
      </c>
      <c r="B2028" s="2">
        <v>3627.87</v>
      </c>
      <c r="C2028" s="2">
        <v>3656.94</v>
      </c>
      <c r="D2028" s="2">
        <v>3626.86</v>
      </c>
      <c r="E2028" s="2">
        <v>4054002361489</v>
      </c>
      <c r="F2028" s="2">
        <v>0</v>
      </c>
      <c r="G2028">
        <v>1981.88</v>
      </c>
      <c r="H2028">
        <v>1996.76</v>
      </c>
      <c r="I2028">
        <v>1980.58</v>
      </c>
      <c r="J2028">
        <v>4232889386</v>
      </c>
      <c r="K2028">
        <v>0</v>
      </c>
      <c r="L2028" s="2">
        <f>VLOOKUP(A2028,[1]aaabonddata!$A:$B,2,0)</f>
        <v>2.68</v>
      </c>
    </row>
    <row r="2029" spans="1:12" x14ac:dyDescent="0.2">
      <c r="A2029" s="3">
        <v>41715</v>
      </c>
      <c r="B2029" s="2">
        <v>3662.51</v>
      </c>
      <c r="C2029" s="2">
        <v>3678.32</v>
      </c>
      <c r="D2029" s="2">
        <v>3651.14</v>
      </c>
      <c r="E2029" s="2">
        <v>4092710739652</v>
      </c>
      <c r="F2029" s="2">
        <v>139086510</v>
      </c>
      <c r="G2029">
        <v>2007.64</v>
      </c>
      <c r="H2029">
        <v>2013.94</v>
      </c>
      <c r="I2029">
        <v>1994.8</v>
      </c>
      <c r="J2029">
        <v>4287918099</v>
      </c>
      <c r="K2029">
        <v>0</v>
      </c>
      <c r="L2029" s="2">
        <f>VLOOKUP(A2029,[1]aaabonddata!$A:$B,2,0)</f>
        <v>2.72</v>
      </c>
    </row>
    <row r="2030" spans="1:12" x14ac:dyDescent="0.2">
      <c r="A2030" s="3">
        <v>41716</v>
      </c>
      <c r="B2030" s="2">
        <v>3706.62</v>
      </c>
      <c r="C2030" s="2">
        <v>3708.26</v>
      </c>
      <c r="D2030" s="2">
        <v>3664.79</v>
      </c>
      <c r="E2030" s="2">
        <v>4142006556065</v>
      </c>
      <c r="F2030" s="2">
        <v>66823334</v>
      </c>
      <c r="G2030">
        <v>2031.65</v>
      </c>
      <c r="H2030">
        <v>2033.16</v>
      </c>
      <c r="I2030">
        <v>2005.79</v>
      </c>
      <c r="J2030">
        <v>4339187383</v>
      </c>
      <c r="K2030">
        <v>522749</v>
      </c>
      <c r="L2030" s="2">
        <f>VLOOKUP(A2030,[1]aaabonddata!$A:$B,2,0)</f>
        <v>2.7</v>
      </c>
    </row>
    <row r="2031" spans="1:12" x14ac:dyDescent="0.2">
      <c r="A2031" s="3">
        <v>41717</v>
      </c>
      <c r="B2031" s="2">
        <v>3682.73</v>
      </c>
      <c r="C2031" s="2">
        <v>3709.01</v>
      </c>
      <c r="D2031" s="2">
        <v>3661.06</v>
      </c>
      <c r="E2031" s="2">
        <v>4115311459248</v>
      </c>
      <c r="F2031" s="2">
        <v>0</v>
      </c>
      <c r="G2031">
        <v>2024.09</v>
      </c>
      <c r="H2031">
        <v>2036.41</v>
      </c>
      <c r="I2031">
        <v>2011.79</v>
      </c>
      <c r="J2031">
        <v>4323038828</v>
      </c>
      <c r="K2031">
        <v>0</v>
      </c>
      <c r="L2031" s="2">
        <f>VLOOKUP(A2031,[1]aaabonddata!$A:$B,2,0)</f>
        <v>2.79</v>
      </c>
    </row>
    <row r="2032" spans="1:12" x14ac:dyDescent="0.2">
      <c r="A2032" s="3">
        <v>41718</v>
      </c>
      <c r="B2032" s="2">
        <v>3693.97</v>
      </c>
      <c r="C2032" s="2">
        <v>3705.31</v>
      </c>
      <c r="D2032" s="2">
        <v>3665.83</v>
      </c>
      <c r="E2032" s="2">
        <v>4127865884422</v>
      </c>
      <c r="F2032" s="2">
        <v>0</v>
      </c>
      <c r="G2032">
        <v>2046.15</v>
      </c>
      <c r="H2032">
        <v>2049.1799999999998</v>
      </c>
      <c r="I2032">
        <v>2018.47</v>
      </c>
      <c r="J2032">
        <v>4370165513</v>
      </c>
      <c r="K2032">
        <v>0</v>
      </c>
      <c r="L2032" s="2">
        <f>VLOOKUP(A2032,[1]aaabonddata!$A:$B,2,0)</f>
        <v>2.79</v>
      </c>
    </row>
    <row r="2033" spans="1:12" x14ac:dyDescent="0.2">
      <c r="A2033" s="3">
        <v>41719</v>
      </c>
      <c r="B2033" s="2">
        <v>3653.07</v>
      </c>
      <c r="C2033" s="2">
        <v>3717.36</v>
      </c>
      <c r="D2033" s="2">
        <v>3643.35</v>
      </c>
      <c r="E2033" s="2">
        <v>4082161341380</v>
      </c>
      <c r="F2033" s="2">
        <v>0</v>
      </c>
      <c r="G2033">
        <v>2024.66</v>
      </c>
      <c r="H2033">
        <v>2052.46</v>
      </c>
      <c r="I2033">
        <v>2021.15</v>
      </c>
      <c r="J2033">
        <v>4324267164</v>
      </c>
      <c r="K2033">
        <v>0</v>
      </c>
      <c r="L2033" s="2">
        <f>VLOOKUP(A2033,[1]aaabonddata!$A:$B,2,0)</f>
        <v>2.78</v>
      </c>
    </row>
    <row r="2034" spans="1:12" x14ac:dyDescent="0.2">
      <c r="A2034" s="3">
        <v>41722</v>
      </c>
      <c r="B2034" s="2">
        <v>3617.39</v>
      </c>
      <c r="C2034" s="2">
        <v>3665.58</v>
      </c>
      <c r="D2034" s="2">
        <v>3585.15</v>
      </c>
      <c r="E2034" s="2">
        <v>4039876171393</v>
      </c>
      <c r="F2034" s="2">
        <v>0</v>
      </c>
      <c r="G2034">
        <v>2008.89</v>
      </c>
      <c r="H2034">
        <v>2034.27</v>
      </c>
      <c r="I2034">
        <v>1990.73</v>
      </c>
      <c r="J2034">
        <v>3968848090</v>
      </c>
      <c r="K2034">
        <v>0</v>
      </c>
      <c r="L2034" s="2">
        <f>VLOOKUP(A2034,[1]aaabonddata!$A:$B,2,0)</f>
        <v>2.77</v>
      </c>
    </row>
    <row r="2035" spans="1:12" x14ac:dyDescent="0.2">
      <c r="A2035" s="3">
        <v>41723</v>
      </c>
      <c r="B2035" s="2">
        <v>3629.73</v>
      </c>
      <c r="C2035" s="2">
        <v>3659.59</v>
      </c>
      <c r="D2035" s="2">
        <v>3600.65</v>
      </c>
      <c r="E2035" s="2">
        <v>4053656606487</v>
      </c>
      <c r="F2035" s="2">
        <v>0</v>
      </c>
      <c r="G2035">
        <v>2018.96</v>
      </c>
      <c r="H2035">
        <v>2035.96</v>
      </c>
      <c r="I2035">
        <v>2005.48</v>
      </c>
      <c r="J2035">
        <v>3988732826</v>
      </c>
      <c r="K2035">
        <v>0</v>
      </c>
      <c r="L2035" s="2">
        <f>VLOOKUP(A2035,[1]aaabonddata!$A:$B,2,0)</f>
        <v>2.76</v>
      </c>
    </row>
    <row r="2036" spans="1:12" x14ac:dyDescent="0.2">
      <c r="A2036" s="3">
        <v>41724</v>
      </c>
      <c r="B2036" s="2">
        <v>3582.89</v>
      </c>
      <c r="C2036" s="2">
        <v>3654.69</v>
      </c>
      <c r="D2036" s="2">
        <v>3582.84</v>
      </c>
      <c r="E2036" s="2">
        <v>4001344552864</v>
      </c>
      <c r="F2036" s="2">
        <v>149319600</v>
      </c>
      <c r="G2036">
        <v>1992.67</v>
      </c>
      <c r="H2036">
        <v>2041.17</v>
      </c>
      <c r="I2036">
        <v>1992.65</v>
      </c>
      <c r="J2036">
        <v>3936795845</v>
      </c>
      <c r="K2036">
        <v>338524</v>
      </c>
      <c r="L2036" s="2">
        <f>VLOOKUP(A2036,[1]aaabonddata!$A:$B,2,0)</f>
        <v>2.72</v>
      </c>
    </row>
    <row r="2037" spans="1:12" x14ac:dyDescent="0.2">
      <c r="A2037" s="3">
        <v>41725</v>
      </c>
      <c r="B2037" s="2">
        <v>3563.13</v>
      </c>
      <c r="C2037" s="2">
        <v>3594.08</v>
      </c>
      <c r="D2037" s="2">
        <v>3543.07</v>
      </c>
      <c r="E2037" s="2">
        <v>3979282823568</v>
      </c>
      <c r="F2037" s="2">
        <v>245530254</v>
      </c>
      <c r="G2037">
        <v>1983.81</v>
      </c>
      <c r="H2037">
        <v>2000.47</v>
      </c>
      <c r="I2037">
        <v>1975.91</v>
      </c>
      <c r="J2037">
        <v>3919293640</v>
      </c>
      <c r="K2037">
        <v>0</v>
      </c>
      <c r="L2037" s="2">
        <f>VLOOKUP(A2037,[1]aaabonddata!$A:$B,2,0)</f>
        <v>2.71</v>
      </c>
    </row>
    <row r="2038" spans="1:12" x14ac:dyDescent="0.2">
      <c r="A2038" s="3">
        <v>41726</v>
      </c>
      <c r="B2038" s="2">
        <v>3571.48</v>
      </c>
      <c r="C2038" s="2">
        <v>3609.08</v>
      </c>
      <c r="D2038" s="2">
        <v>3560.58</v>
      </c>
      <c r="E2038" s="2">
        <v>3988608741500</v>
      </c>
      <c r="F2038" s="2">
        <v>0</v>
      </c>
      <c r="G2038">
        <v>1994.08</v>
      </c>
      <c r="H2038">
        <v>2014.01</v>
      </c>
      <c r="I2038">
        <v>1988.21</v>
      </c>
      <c r="J2038">
        <v>3939591490</v>
      </c>
      <c r="K2038">
        <v>0</v>
      </c>
      <c r="L2038" s="2">
        <f>VLOOKUP(A2038,[1]aaabonddata!$A:$B,2,0)</f>
        <v>2.74</v>
      </c>
    </row>
    <row r="2039" spans="1:12" x14ac:dyDescent="0.2">
      <c r="A2039" s="3">
        <v>41729</v>
      </c>
      <c r="B2039" s="2">
        <v>3595.74</v>
      </c>
      <c r="C2039" s="2">
        <v>3618.42</v>
      </c>
      <c r="D2039" s="2">
        <v>3593.7</v>
      </c>
      <c r="E2039" s="2">
        <v>4015692509844</v>
      </c>
      <c r="F2039" s="2">
        <v>481345641</v>
      </c>
      <c r="G2039">
        <v>2015.95</v>
      </c>
      <c r="H2039">
        <v>2022.99</v>
      </c>
      <c r="I2039">
        <v>2005.36</v>
      </c>
      <c r="J2039">
        <v>3982795092</v>
      </c>
      <c r="K2039">
        <v>0</v>
      </c>
      <c r="L2039" s="2">
        <f>VLOOKUP(A2039,[1]aaabonddata!$A:$B,2,0)</f>
        <v>2.66</v>
      </c>
    </row>
    <row r="2040" spans="1:12" x14ac:dyDescent="0.2">
      <c r="A2040" s="3">
        <v>41730</v>
      </c>
      <c r="B2040" s="2">
        <v>3658.4</v>
      </c>
      <c r="C2040" s="2">
        <v>3659.16</v>
      </c>
      <c r="D2040" s="2">
        <v>3614.16</v>
      </c>
      <c r="E2040" s="2">
        <v>4085670723656</v>
      </c>
      <c r="F2040" s="2">
        <v>978743400</v>
      </c>
      <c r="G2040">
        <v>2049.6799999999998</v>
      </c>
      <c r="H2040">
        <v>2049.86</v>
      </c>
      <c r="I2040">
        <v>2023.15</v>
      </c>
      <c r="J2040">
        <v>4049421577</v>
      </c>
      <c r="K2040">
        <v>878004</v>
      </c>
      <c r="L2040" s="2">
        <f>VLOOKUP(A2040,[1]aaabonddata!$A:$B,2,0)</f>
        <v>2.67</v>
      </c>
    </row>
    <row r="2041" spans="1:12" x14ac:dyDescent="0.2">
      <c r="A2041" s="3">
        <v>41731</v>
      </c>
      <c r="B2041" s="2">
        <v>3665.99</v>
      </c>
      <c r="C2041" s="2">
        <v>3676.36</v>
      </c>
      <c r="D2041" s="2">
        <v>3649.79</v>
      </c>
      <c r="E2041" s="2">
        <v>4094153317829</v>
      </c>
      <c r="F2041" s="2">
        <v>41661290</v>
      </c>
      <c r="G2041">
        <v>2047.99</v>
      </c>
      <c r="H2041">
        <v>2055.34</v>
      </c>
      <c r="I2041">
        <v>2039.98</v>
      </c>
      <c r="J2041">
        <v>4046092212</v>
      </c>
      <c r="K2041">
        <v>0</v>
      </c>
      <c r="L2041" s="2">
        <f>VLOOKUP(A2041,[1]aaabonddata!$A:$B,2,0)</f>
        <v>2.7</v>
      </c>
    </row>
    <row r="2042" spans="1:12" x14ac:dyDescent="0.2">
      <c r="A2042" s="3">
        <v>41732</v>
      </c>
      <c r="B2042" s="2">
        <v>3637.58</v>
      </c>
      <c r="C2042" s="2">
        <v>3675.7</v>
      </c>
      <c r="D2042" s="2">
        <v>3617.41</v>
      </c>
      <c r="E2042" s="2">
        <v>4062419982147</v>
      </c>
      <c r="F2042" s="2">
        <v>0</v>
      </c>
      <c r="G2042">
        <v>2033.36</v>
      </c>
      <c r="H2042">
        <v>2060.54</v>
      </c>
      <c r="I2042">
        <v>2024.52</v>
      </c>
      <c r="J2042">
        <v>4017192020</v>
      </c>
      <c r="K2042">
        <v>0</v>
      </c>
      <c r="L2042" s="2">
        <f>VLOOKUP(A2042,[1]aaabonddata!$A:$B,2,0)</f>
        <v>2.69</v>
      </c>
    </row>
    <row r="2043" spans="1:12" x14ac:dyDescent="0.2">
      <c r="A2043" s="3">
        <v>41733</v>
      </c>
      <c r="B2043" s="2">
        <v>3539.38</v>
      </c>
      <c r="C2043" s="2">
        <v>3663.78</v>
      </c>
      <c r="D2043" s="2">
        <v>3532.28</v>
      </c>
      <c r="E2043" s="2">
        <v>3952750568484</v>
      </c>
      <c r="F2043" s="2">
        <v>0</v>
      </c>
      <c r="G2043">
        <v>1979.5</v>
      </c>
      <c r="H2043">
        <v>2048.8200000000002</v>
      </c>
      <c r="I2043">
        <v>1975.04</v>
      </c>
      <c r="J2043">
        <v>3910788277</v>
      </c>
      <c r="K2043">
        <v>0</v>
      </c>
      <c r="L2043" s="2">
        <f>VLOOKUP(A2043,[1]aaabonddata!$A:$B,2,0)</f>
        <v>2.63</v>
      </c>
    </row>
    <row r="2044" spans="1:12" x14ac:dyDescent="0.2">
      <c r="A2044" s="3">
        <v>41736</v>
      </c>
      <c r="B2044" s="2">
        <v>3507.75</v>
      </c>
      <c r="C2044" s="2">
        <v>3551.21</v>
      </c>
      <c r="D2044" s="2">
        <v>3482.75</v>
      </c>
      <c r="E2044" s="2">
        <v>3917431561450</v>
      </c>
      <c r="F2044" s="2">
        <v>0</v>
      </c>
      <c r="G2044">
        <v>1956.66</v>
      </c>
      <c r="H2044">
        <v>1986.29</v>
      </c>
      <c r="I2044">
        <v>1943.9</v>
      </c>
      <c r="J2044">
        <v>3865659660</v>
      </c>
      <c r="K2044">
        <v>0</v>
      </c>
      <c r="L2044" s="2">
        <f>VLOOKUP(A2044,[1]aaabonddata!$A:$B,2,0)</f>
        <v>2.61</v>
      </c>
    </row>
    <row r="2045" spans="1:12" x14ac:dyDescent="0.2">
      <c r="A2045" s="3">
        <v>41737</v>
      </c>
      <c r="B2045" s="2">
        <v>3538.23</v>
      </c>
      <c r="C2045" s="2">
        <v>3543.98</v>
      </c>
      <c r="D2045" s="2">
        <v>3499</v>
      </c>
      <c r="E2045" s="2">
        <v>3951465299200</v>
      </c>
      <c r="F2045" s="2">
        <v>103520909</v>
      </c>
      <c r="G2045">
        <v>1983.28</v>
      </c>
      <c r="H2045">
        <v>1985.96</v>
      </c>
      <c r="I2045">
        <v>1958.48</v>
      </c>
      <c r="J2045">
        <v>3918241763</v>
      </c>
      <c r="K2045">
        <v>636000</v>
      </c>
      <c r="L2045" s="2">
        <f>VLOOKUP(A2045,[1]aaabonddata!$A:$B,2,0)</f>
        <v>2.6</v>
      </c>
    </row>
    <row r="2046" spans="1:12" x14ac:dyDescent="0.2">
      <c r="A2046" s="3">
        <v>41738</v>
      </c>
      <c r="B2046" s="2">
        <v>3600.44</v>
      </c>
      <c r="C2046" s="2">
        <v>3602.35</v>
      </c>
      <c r="D2046" s="2">
        <v>3544.09</v>
      </c>
      <c r="E2046" s="2">
        <v>4020943495820</v>
      </c>
      <c r="F2046" s="2">
        <v>357699970</v>
      </c>
      <c r="G2046">
        <v>2009.04</v>
      </c>
      <c r="H2046">
        <v>2009.95</v>
      </c>
      <c r="I2046">
        <v>1981.24</v>
      </c>
      <c r="J2046">
        <v>3969144731</v>
      </c>
      <c r="K2046">
        <v>0</v>
      </c>
      <c r="L2046" s="2">
        <f>VLOOKUP(A2046,[1]aaabonddata!$A:$B,2,0)</f>
        <v>2.59</v>
      </c>
    </row>
    <row r="2047" spans="1:12" x14ac:dyDescent="0.2">
      <c r="A2047" s="3">
        <v>41739</v>
      </c>
      <c r="B2047" s="2">
        <v>3487.76</v>
      </c>
      <c r="C2047" s="2">
        <v>3599.64</v>
      </c>
      <c r="D2047" s="2">
        <v>3479.15</v>
      </c>
      <c r="E2047" s="2">
        <v>3895108960675</v>
      </c>
      <c r="F2047" s="2">
        <v>0</v>
      </c>
      <c r="G2047">
        <v>1943.78</v>
      </c>
      <c r="H2047">
        <v>2008.67</v>
      </c>
      <c r="I2047">
        <v>1940.95</v>
      </c>
      <c r="J2047">
        <v>3840200355</v>
      </c>
      <c r="K2047">
        <v>0</v>
      </c>
      <c r="L2047" s="2">
        <f>VLOOKUP(A2047,[1]aaabonddata!$A:$B,2,0)</f>
        <v>2.54</v>
      </c>
    </row>
    <row r="2048" spans="1:12" x14ac:dyDescent="0.2">
      <c r="A2048" s="3">
        <v>41740</v>
      </c>
      <c r="B2048" s="2">
        <v>3446.85</v>
      </c>
      <c r="C2048" s="2">
        <v>3502.33</v>
      </c>
      <c r="D2048" s="2">
        <v>3440.55</v>
      </c>
      <c r="E2048" s="2">
        <v>3849412150765</v>
      </c>
      <c r="F2048" s="2">
        <v>0</v>
      </c>
      <c r="G2048">
        <v>1916</v>
      </c>
      <c r="H2048">
        <v>1946.88</v>
      </c>
      <c r="I2048">
        <v>1910.27</v>
      </c>
      <c r="J2048">
        <v>3785325970</v>
      </c>
      <c r="K2048">
        <v>0</v>
      </c>
      <c r="L2048" s="2">
        <f>VLOOKUP(A2048,[1]aaabonddata!$A:$B,2,0)</f>
        <v>2.5299999999999998</v>
      </c>
    </row>
    <row r="2049" spans="1:12" x14ac:dyDescent="0.2">
      <c r="A2049" s="3">
        <v>41743</v>
      </c>
      <c r="B2049" s="2">
        <v>3474.63</v>
      </c>
      <c r="C2049" s="2">
        <v>3493.17</v>
      </c>
      <c r="D2049" s="2">
        <v>3443.26</v>
      </c>
      <c r="E2049" s="2">
        <v>3880444908172</v>
      </c>
      <c r="F2049" s="2">
        <v>0</v>
      </c>
      <c r="G2049">
        <v>1939.74</v>
      </c>
      <c r="H2049">
        <v>1950.13</v>
      </c>
      <c r="I2049">
        <v>1922.38</v>
      </c>
      <c r="J2049">
        <v>3832237160</v>
      </c>
      <c r="K2049">
        <v>0</v>
      </c>
      <c r="L2049" s="2">
        <f>VLOOKUP(A2049,[1]aaabonddata!$A:$B,2,0)</f>
        <v>2.5499999999999998</v>
      </c>
    </row>
    <row r="2050" spans="1:12" x14ac:dyDescent="0.2">
      <c r="A2050" s="3">
        <v>41744</v>
      </c>
      <c r="B2050" s="2">
        <v>3487.85</v>
      </c>
      <c r="C2050" s="2">
        <v>3505.67</v>
      </c>
      <c r="D2050" s="2">
        <v>3414.11</v>
      </c>
      <c r="E2050" s="2">
        <v>3895209222334</v>
      </c>
      <c r="F2050" s="2">
        <v>0</v>
      </c>
      <c r="G2050">
        <v>1955.56</v>
      </c>
      <c r="H2050">
        <v>1959.6</v>
      </c>
      <c r="I2050">
        <v>1915.78</v>
      </c>
      <c r="J2050">
        <v>3863490498</v>
      </c>
      <c r="K2050">
        <v>0</v>
      </c>
      <c r="L2050" s="2">
        <f>VLOOKUP(A2050,[1]aaabonddata!$A:$B,2,0)</f>
        <v>2.5499999999999998</v>
      </c>
    </row>
    <row r="2051" spans="1:12" x14ac:dyDescent="0.2">
      <c r="A2051" s="3">
        <v>41745</v>
      </c>
      <c r="B2051" s="2">
        <v>3533.09</v>
      </c>
      <c r="C2051" s="2">
        <v>3533.09</v>
      </c>
      <c r="D2051" s="2">
        <v>3489.29</v>
      </c>
      <c r="E2051" s="2">
        <v>3945725315659</v>
      </c>
      <c r="F2051" s="2">
        <v>0</v>
      </c>
      <c r="G2051">
        <v>1966.68</v>
      </c>
      <c r="H2051">
        <v>1967.37</v>
      </c>
      <c r="I2051">
        <v>1938.76</v>
      </c>
      <c r="J2051">
        <v>3885447633</v>
      </c>
      <c r="K2051">
        <v>0</v>
      </c>
      <c r="L2051" s="2">
        <f>VLOOKUP(A2051,[1]aaabonddata!$A:$B,2,0)</f>
        <v>2.56</v>
      </c>
    </row>
    <row r="2052" spans="1:12" x14ac:dyDescent="0.2">
      <c r="A2052" s="3">
        <v>41746</v>
      </c>
      <c r="B2052" s="2">
        <v>3534.53</v>
      </c>
      <c r="C2052" s="2">
        <v>3551.02</v>
      </c>
      <c r="D2052" s="2">
        <v>3511.27</v>
      </c>
      <c r="E2052" s="2">
        <v>3947340558277</v>
      </c>
      <c r="F2052" s="2">
        <v>0</v>
      </c>
      <c r="G2052">
        <v>1980.92</v>
      </c>
      <c r="H2052">
        <v>1989.78</v>
      </c>
      <c r="I2052">
        <v>1961.56</v>
      </c>
      <c r="J2052">
        <v>3913590844</v>
      </c>
      <c r="K2052">
        <v>0</v>
      </c>
      <c r="L2052" s="2">
        <f>VLOOKUP(A2052,[1]aaabonddata!$A:$B,2,0)</f>
        <v>2.62</v>
      </c>
    </row>
    <row r="2053" spans="1:12" x14ac:dyDescent="0.2">
      <c r="A2053" s="3">
        <v>41750</v>
      </c>
      <c r="B2053" s="2">
        <v>3559.95</v>
      </c>
      <c r="C2053" s="2">
        <v>3559.95</v>
      </c>
      <c r="D2053" s="2">
        <v>3525.59</v>
      </c>
      <c r="E2053" s="2">
        <v>3975723824775</v>
      </c>
      <c r="F2053" s="2">
        <v>0</v>
      </c>
      <c r="G2053">
        <v>1994.72</v>
      </c>
      <c r="H2053">
        <v>1995.43</v>
      </c>
      <c r="I2053">
        <v>1974.2</v>
      </c>
      <c r="J2053">
        <v>3940848043</v>
      </c>
      <c r="K2053">
        <v>0</v>
      </c>
      <c r="L2053" s="2">
        <f>VLOOKUP(A2053,[1]aaabonddata!$A:$B,2,0)</f>
        <v>2.62</v>
      </c>
    </row>
    <row r="2054" spans="1:12" x14ac:dyDescent="0.2">
      <c r="A2054" s="3">
        <v>41751</v>
      </c>
      <c r="B2054" s="2">
        <v>3588.8</v>
      </c>
      <c r="C2054" s="2">
        <v>3596.92</v>
      </c>
      <c r="D2054" s="2">
        <v>3566.87</v>
      </c>
      <c r="E2054" s="2">
        <v>4007951559695</v>
      </c>
      <c r="F2054" s="2">
        <v>0</v>
      </c>
      <c r="G2054">
        <v>2007.02</v>
      </c>
      <c r="H2054">
        <v>2012.93</v>
      </c>
      <c r="I2054">
        <v>1995.14</v>
      </c>
      <c r="J2054">
        <v>3965142000</v>
      </c>
      <c r="K2054">
        <v>0</v>
      </c>
      <c r="L2054" s="2">
        <f>VLOOKUP(A2054,[1]aaabonddata!$A:$B,2,0)</f>
        <v>2.62</v>
      </c>
    </row>
    <row r="2055" spans="1:12" x14ac:dyDescent="0.2">
      <c r="A2055" s="3">
        <v>41752</v>
      </c>
      <c r="B2055" s="2">
        <v>3557.04</v>
      </c>
      <c r="C2055" s="2">
        <v>3588.04</v>
      </c>
      <c r="D2055" s="2">
        <v>3555.19</v>
      </c>
      <c r="E2055" s="2">
        <v>3972472465614</v>
      </c>
      <c r="F2055" s="2">
        <v>74193442</v>
      </c>
      <c r="G2055">
        <v>1995.2</v>
      </c>
      <c r="H2055">
        <v>2005.92</v>
      </c>
      <c r="I2055">
        <v>1991.5</v>
      </c>
      <c r="J2055">
        <v>3941803431</v>
      </c>
      <c r="K2055">
        <v>0</v>
      </c>
      <c r="L2055" s="2">
        <f>VLOOKUP(A2055,[1]aaabonddata!$A:$B,2,0)</f>
        <v>2.59</v>
      </c>
    </row>
    <row r="2056" spans="1:12" x14ac:dyDescent="0.2">
      <c r="A2056" s="3">
        <v>41753</v>
      </c>
      <c r="B2056" s="2">
        <v>3591.03</v>
      </c>
      <c r="C2056" s="2">
        <v>3613.2</v>
      </c>
      <c r="D2056" s="2">
        <v>3552.93</v>
      </c>
      <c r="E2056" s="2">
        <v>4010435138566</v>
      </c>
      <c r="F2056" s="2">
        <v>0</v>
      </c>
      <c r="G2056">
        <v>1997.78</v>
      </c>
      <c r="H2056">
        <v>2018.55</v>
      </c>
      <c r="I2056">
        <v>1981.36</v>
      </c>
      <c r="J2056">
        <v>3946897954</v>
      </c>
      <c r="K2056">
        <v>0</v>
      </c>
      <c r="L2056" s="2">
        <f>VLOOKUP(A2056,[1]aaabonddata!$A:$B,2,0)</f>
        <v>2.6</v>
      </c>
    </row>
    <row r="2057" spans="1:12" x14ac:dyDescent="0.2">
      <c r="A2057" s="3">
        <v>41754</v>
      </c>
      <c r="B2057" s="2">
        <v>3533.1</v>
      </c>
      <c r="C2057" s="2">
        <v>3573.95</v>
      </c>
      <c r="D2057" s="2">
        <v>3525.6</v>
      </c>
      <c r="E2057" s="2">
        <v>3945736030911</v>
      </c>
      <c r="F2057" s="2">
        <v>0</v>
      </c>
      <c r="G2057">
        <v>1951.88</v>
      </c>
      <c r="H2057">
        <v>1986.24</v>
      </c>
      <c r="I2057">
        <v>1947.16</v>
      </c>
      <c r="J2057">
        <v>3856215255</v>
      </c>
      <c r="K2057">
        <v>0</v>
      </c>
      <c r="L2057" s="2">
        <f>VLOOKUP(A2057,[1]aaabonddata!$A:$B,2,0)</f>
        <v>2.58</v>
      </c>
    </row>
    <row r="2058" spans="1:12" x14ac:dyDescent="0.2">
      <c r="A2058" s="3">
        <v>41757</v>
      </c>
      <c r="B2058" s="2">
        <v>3545.02</v>
      </c>
      <c r="C2058" s="2">
        <v>3570.11</v>
      </c>
      <c r="D2058" s="2">
        <v>3489.6</v>
      </c>
      <c r="E2058" s="2">
        <v>3959058654640</v>
      </c>
      <c r="F2058" s="2">
        <v>325264197</v>
      </c>
      <c r="G2058">
        <v>1940.98</v>
      </c>
      <c r="H2058">
        <v>1966.26</v>
      </c>
      <c r="I2058">
        <v>1912.4</v>
      </c>
      <c r="J2058">
        <v>3834678726</v>
      </c>
      <c r="K2058">
        <v>636267</v>
      </c>
      <c r="L2058" s="2">
        <f>VLOOKUP(A2058,[1]aaabonddata!$A:$B,2,0)</f>
        <v>2.6</v>
      </c>
    </row>
    <row r="2059" spans="1:12" x14ac:dyDescent="0.2">
      <c r="A2059" s="3">
        <v>41758</v>
      </c>
      <c r="B2059" s="2">
        <v>3573.99</v>
      </c>
      <c r="C2059" s="2">
        <v>3579.03</v>
      </c>
      <c r="D2059" s="2">
        <v>3538.24</v>
      </c>
      <c r="E2059" s="2">
        <v>3991406588493</v>
      </c>
      <c r="F2059" s="2">
        <v>0</v>
      </c>
      <c r="G2059">
        <v>1958.86</v>
      </c>
      <c r="H2059">
        <v>1961.05</v>
      </c>
      <c r="I2059">
        <v>1937.95</v>
      </c>
      <c r="J2059">
        <v>3869998683</v>
      </c>
      <c r="K2059">
        <v>0</v>
      </c>
      <c r="L2059" s="2">
        <f>VLOOKUP(A2059,[1]aaabonddata!$A:$B,2,0)</f>
        <v>2.61</v>
      </c>
    </row>
    <row r="2060" spans="1:12" x14ac:dyDescent="0.2">
      <c r="A2060" s="3">
        <v>41759</v>
      </c>
      <c r="B2060" s="2">
        <v>3582.02</v>
      </c>
      <c r="C2060" s="2">
        <v>3585.5</v>
      </c>
      <c r="D2060" s="2">
        <v>3548.11</v>
      </c>
      <c r="E2060" s="2">
        <v>4000374163331</v>
      </c>
      <c r="F2060" s="2">
        <v>0</v>
      </c>
      <c r="G2060">
        <v>1970.08</v>
      </c>
      <c r="H2060">
        <v>1970.08</v>
      </c>
      <c r="I2060">
        <v>1951.99</v>
      </c>
      <c r="J2060">
        <v>3892165206</v>
      </c>
      <c r="K2060">
        <v>0</v>
      </c>
      <c r="L2060" s="2">
        <f>VLOOKUP(A2060,[1]aaabonddata!$A:$B,2,0)</f>
        <v>2.6</v>
      </c>
    </row>
    <row r="2061" spans="1:12" x14ac:dyDescent="0.2">
      <c r="A2061" s="3">
        <v>41760</v>
      </c>
      <c r="B2061" s="2">
        <v>3594.36</v>
      </c>
      <c r="C2061" s="2">
        <v>3613.03</v>
      </c>
      <c r="D2061" s="2">
        <v>3580.02</v>
      </c>
      <c r="E2061" s="2">
        <v>4014158270019</v>
      </c>
      <c r="F2061" s="2">
        <v>50739182</v>
      </c>
      <c r="G2061">
        <v>1973.9</v>
      </c>
      <c r="H2061">
        <v>1992.1</v>
      </c>
      <c r="I2061">
        <v>1966.51</v>
      </c>
      <c r="J2061">
        <v>3899713201</v>
      </c>
      <c r="K2061">
        <v>280934</v>
      </c>
      <c r="L2061" s="2">
        <f>VLOOKUP(A2061,[1]aaabonddata!$A:$B,2,0)</f>
        <v>2.57</v>
      </c>
    </row>
    <row r="2062" spans="1:12" x14ac:dyDescent="0.2">
      <c r="A2062" s="3">
        <v>41761</v>
      </c>
      <c r="B2062" s="2">
        <v>3587.64</v>
      </c>
      <c r="C2062" s="2">
        <v>3611.56</v>
      </c>
      <c r="D2062" s="2">
        <v>3578.53</v>
      </c>
      <c r="E2062" s="2">
        <v>4006655077281</v>
      </c>
      <c r="F2062" s="2">
        <v>0</v>
      </c>
      <c r="G2062">
        <v>1974.55</v>
      </c>
      <c r="H2062">
        <v>1987.51</v>
      </c>
      <c r="I2062">
        <v>1970.28</v>
      </c>
      <c r="J2062">
        <v>3900991657</v>
      </c>
      <c r="K2062">
        <v>0</v>
      </c>
      <c r="L2062" s="2">
        <f>VLOOKUP(A2062,[1]aaabonddata!$A:$B,2,0)</f>
        <v>2.57</v>
      </c>
    </row>
    <row r="2063" spans="1:12" x14ac:dyDescent="0.2">
      <c r="A2063" s="3">
        <v>41764</v>
      </c>
      <c r="B2063" s="2">
        <v>3605.09</v>
      </c>
      <c r="C2063" s="2">
        <v>3605.26</v>
      </c>
      <c r="D2063" s="2">
        <v>3556.4</v>
      </c>
      <c r="E2063" s="2">
        <v>4026141143682</v>
      </c>
      <c r="F2063" s="2">
        <v>1118700000</v>
      </c>
      <c r="G2063">
        <v>1976.68</v>
      </c>
      <c r="H2063">
        <v>1979.51</v>
      </c>
      <c r="I2063">
        <v>1955.91</v>
      </c>
      <c r="J2063">
        <v>3905205250</v>
      </c>
      <c r="K2063">
        <v>893921</v>
      </c>
      <c r="L2063" s="2">
        <f>VLOOKUP(A2063,[1]aaabonddata!$A:$B,2,0)</f>
        <v>2.58</v>
      </c>
    </row>
    <row r="2064" spans="1:12" x14ac:dyDescent="0.2">
      <c r="A2064" s="3">
        <v>41765</v>
      </c>
      <c r="B2064" s="2">
        <v>3556.51</v>
      </c>
      <c r="C2064" s="2">
        <v>3599.65</v>
      </c>
      <c r="D2064" s="2">
        <v>3556.1</v>
      </c>
      <c r="E2064" s="2">
        <v>3971883673841</v>
      </c>
      <c r="F2064" s="2">
        <v>196534000</v>
      </c>
      <c r="G2064">
        <v>1959.03</v>
      </c>
      <c r="H2064">
        <v>1980.96</v>
      </c>
      <c r="I2064">
        <v>1958.64</v>
      </c>
      <c r="J2064">
        <v>3870336572</v>
      </c>
      <c r="K2064">
        <v>0</v>
      </c>
      <c r="L2064" s="2">
        <f>VLOOKUP(A2064,[1]aaabonddata!$A:$B,2,0)</f>
        <v>2.57</v>
      </c>
    </row>
    <row r="2065" spans="1:12" x14ac:dyDescent="0.2">
      <c r="A2065" s="3">
        <v>41766</v>
      </c>
      <c r="B2065" s="2">
        <v>3546.47</v>
      </c>
      <c r="C2065" s="2">
        <v>3567.55</v>
      </c>
      <c r="D2065" s="2">
        <v>3506.35</v>
      </c>
      <c r="E2065" s="2">
        <v>3960676155655</v>
      </c>
      <c r="F2065" s="2">
        <v>0</v>
      </c>
      <c r="G2065">
        <v>1945.68</v>
      </c>
      <c r="H2065">
        <v>1959.38</v>
      </c>
      <c r="I2065">
        <v>1928.49</v>
      </c>
      <c r="J2065">
        <v>3843968854</v>
      </c>
      <c r="K2065">
        <v>0</v>
      </c>
      <c r="L2065" s="2">
        <f>VLOOKUP(A2065,[1]aaabonddata!$A:$B,2,0)</f>
        <v>2.56</v>
      </c>
    </row>
    <row r="2066" spans="1:12" x14ac:dyDescent="0.2">
      <c r="A2066" s="3">
        <v>41767</v>
      </c>
      <c r="B2066" s="2">
        <v>3540.42</v>
      </c>
      <c r="C2066" s="2">
        <v>3583.64</v>
      </c>
      <c r="D2066" s="2">
        <v>3524.85</v>
      </c>
      <c r="E2066" s="2">
        <v>3953915143184</v>
      </c>
      <c r="F2066" s="2">
        <v>3109752771</v>
      </c>
      <c r="G2066">
        <v>1952.15</v>
      </c>
      <c r="H2066">
        <v>1977.97</v>
      </c>
      <c r="I2066">
        <v>1935.96</v>
      </c>
      <c r="J2066">
        <v>3856746666</v>
      </c>
      <c r="K2066">
        <v>1030066</v>
      </c>
      <c r="L2066" s="2">
        <f>VLOOKUP(A2066,[1]aaabonddata!$A:$B,2,0)</f>
        <v>2.54</v>
      </c>
    </row>
    <row r="2067" spans="1:12" x14ac:dyDescent="0.2">
      <c r="A2067" s="3">
        <v>41768</v>
      </c>
      <c r="B2067" s="2">
        <v>3555.7</v>
      </c>
      <c r="C2067" s="2">
        <v>3556.35</v>
      </c>
      <c r="D2067" s="2">
        <v>3516.24</v>
      </c>
      <c r="E2067" s="2">
        <v>3970978861871</v>
      </c>
      <c r="F2067" s="2">
        <v>0</v>
      </c>
      <c r="G2067">
        <v>1955.48</v>
      </c>
      <c r="H2067">
        <v>1956.83</v>
      </c>
      <c r="I2067">
        <v>1936.05</v>
      </c>
      <c r="J2067">
        <v>3863328151</v>
      </c>
      <c r="K2067">
        <v>0</v>
      </c>
      <c r="L2067" s="2">
        <f>VLOOKUP(A2067,[1]aaabonddata!$A:$B,2,0)</f>
        <v>2.5499999999999998</v>
      </c>
    </row>
    <row r="2068" spans="1:12" x14ac:dyDescent="0.2">
      <c r="A2068" s="3">
        <v>41771</v>
      </c>
      <c r="B2068" s="2">
        <v>3612.73</v>
      </c>
      <c r="C2068" s="2">
        <v>3613.37</v>
      </c>
      <c r="D2068" s="2">
        <v>3572.69</v>
      </c>
      <c r="E2068" s="2">
        <v>4034666340671</v>
      </c>
      <c r="F2068" s="2">
        <v>218752616</v>
      </c>
      <c r="G2068">
        <v>1992.09</v>
      </c>
      <c r="H2068">
        <v>1994.24</v>
      </c>
      <c r="I2068">
        <v>1964.18</v>
      </c>
      <c r="J2068">
        <v>3935658591</v>
      </c>
      <c r="K2068">
        <v>1335998</v>
      </c>
      <c r="L2068" s="2">
        <f>VLOOKUP(A2068,[1]aaabonddata!$A:$B,2,0)</f>
        <v>2.58</v>
      </c>
    </row>
    <row r="2069" spans="1:12" x14ac:dyDescent="0.2">
      <c r="A2069" s="3">
        <v>41772</v>
      </c>
      <c r="B2069" s="2">
        <v>3611.13</v>
      </c>
      <c r="C2069" s="2">
        <v>3625.77</v>
      </c>
      <c r="D2069" s="2">
        <v>3605.78</v>
      </c>
      <c r="E2069" s="2">
        <v>4032884920225</v>
      </c>
      <c r="F2069" s="2">
        <v>2911272361</v>
      </c>
      <c r="G2069">
        <v>1984.57</v>
      </c>
      <c r="H2069">
        <v>1999.25</v>
      </c>
      <c r="I2069">
        <v>1983.29</v>
      </c>
      <c r="J2069">
        <v>3920786620</v>
      </c>
      <c r="K2069">
        <v>697211</v>
      </c>
      <c r="L2069" s="2">
        <f>VLOOKUP(A2069,[1]aaabonddata!$A:$B,2,0)</f>
        <v>2.5499999999999998</v>
      </c>
    </row>
    <row r="2070" spans="1:12" x14ac:dyDescent="0.2">
      <c r="A2070" s="3">
        <v>41773</v>
      </c>
      <c r="B2070" s="2">
        <v>3593.25</v>
      </c>
      <c r="C2070" s="2">
        <v>3614.63</v>
      </c>
      <c r="D2070" s="2">
        <v>3585.68</v>
      </c>
      <c r="E2070" s="2">
        <v>4011720421633</v>
      </c>
      <c r="F2070" s="2">
        <v>219800074</v>
      </c>
      <c r="G2070">
        <v>1976.81</v>
      </c>
      <c r="H2070">
        <v>1989.53</v>
      </c>
      <c r="I2070">
        <v>1974.42</v>
      </c>
      <c r="J2070">
        <v>3905464778</v>
      </c>
      <c r="K2070">
        <v>560399</v>
      </c>
      <c r="L2070" s="2">
        <f>VLOOKUP(A2070,[1]aaabonddata!$A:$B,2,0)</f>
        <v>2.4900000000000002</v>
      </c>
    </row>
    <row r="2071" spans="1:12" x14ac:dyDescent="0.2">
      <c r="A2071" s="3">
        <v>41774</v>
      </c>
      <c r="B2071" s="2">
        <v>3565.17</v>
      </c>
      <c r="C2071" s="2">
        <v>3598.34</v>
      </c>
      <c r="D2071" s="2">
        <v>3542.63</v>
      </c>
      <c r="E2071" s="2">
        <v>3980375098510</v>
      </c>
      <c r="F2071" s="2">
        <v>175257811</v>
      </c>
      <c r="G2071">
        <v>1964.4</v>
      </c>
      <c r="H2071">
        <v>1980.35</v>
      </c>
      <c r="I2071">
        <v>1947.55</v>
      </c>
      <c r="J2071">
        <v>3880954406</v>
      </c>
      <c r="K2071">
        <v>642673</v>
      </c>
      <c r="L2071" s="2">
        <f>VLOOKUP(A2071,[1]aaabonddata!$A:$B,2,0)</f>
        <v>2.4700000000000002</v>
      </c>
    </row>
    <row r="2072" spans="1:12" x14ac:dyDescent="0.2">
      <c r="A2072" s="3">
        <v>41775</v>
      </c>
      <c r="B2072" s="2">
        <v>3587.2</v>
      </c>
      <c r="C2072" s="2">
        <v>3590.41</v>
      </c>
      <c r="D2072" s="2">
        <v>3545.63</v>
      </c>
      <c r="E2072" s="2">
        <v>4004965779145</v>
      </c>
      <c r="F2072" s="2">
        <v>0</v>
      </c>
      <c r="G2072">
        <v>1978.71</v>
      </c>
      <c r="H2072">
        <v>1981.64</v>
      </c>
      <c r="I2072">
        <v>1959.17</v>
      </c>
      <c r="J2072">
        <v>3909218526</v>
      </c>
      <c r="K2072">
        <v>0</v>
      </c>
      <c r="L2072" s="2">
        <f>VLOOKUP(A2072,[1]aaabonddata!$A:$B,2,0)</f>
        <v>2.48</v>
      </c>
    </row>
    <row r="2073" spans="1:12" x14ac:dyDescent="0.2">
      <c r="A2073" s="3">
        <v>41778</v>
      </c>
      <c r="B2073" s="2">
        <v>3615.62</v>
      </c>
      <c r="C2073" s="2">
        <v>3618.96</v>
      </c>
      <c r="D2073" s="2">
        <v>3572.28</v>
      </c>
      <c r="E2073" s="2">
        <v>4036693067650</v>
      </c>
      <c r="F2073" s="2">
        <v>0</v>
      </c>
      <c r="G2073">
        <v>1999.23</v>
      </c>
      <c r="H2073">
        <v>2001.45</v>
      </c>
      <c r="I2073">
        <v>1974.73</v>
      </c>
      <c r="J2073">
        <v>3949749709</v>
      </c>
      <c r="K2073">
        <v>0</v>
      </c>
      <c r="L2073" s="2">
        <f>VLOOKUP(A2073,[1]aaabonddata!$A:$B,2,0)</f>
        <v>2.48</v>
      </c>
    </row>
    <row r="2074" spans="1:12" x14ac:dyDescent="0.2">
      <c r="A2074" s="3">
        <v>41779</v>
      </c>
      <c r="B2074" s="2">
        <v>3600.31</v>
      </c>
      <c r="C2074" s="2">
        <v>3624.6</v>
      </c>
      <c r="D2074" s="2">
        <v>3585.88</v>
      </c>
      <c r="E2074" s="2">
        <v>4019600745043</v>
      </c>
      <c r="F2074" s="2">
        <v>242769549</v>
      </c>
      <c r="G2074">
        <v>1987.77</v>
      </c>
      <c r="H2074">
        <v>2004.2</v>
      </c>
      <c r="I2074">
        <v>1979.19</v>
      </c>
      <c r="J2074">
        <v>3927110889</v>
      </c>
      <c r="K2074">
        <v>1770837</v>
      </c>
      <c r="L2074" s="2">
        <f>VLOOKUP(A2074,[1]aaabonddata!$A:$B,2,0)</f>
        <v>2.46</v>
      </c>
    </row>
    <row r="2075" spans="1:12" x14ac:dyDescent="0.2">
      <c r="A2075" s="3">
        <v>41780</v>
      </c>
      <c r="B2075" s="2">
        <v>3635.61</v>
      </c>
      <c r="C2075" s="2">
        <v>3636.47</v>
      </c>
      <c r="D2075" s="2">
        <v>3605.51</v>
      </c>
      <c r="E2075" s="2">
        <v>4059019423457</v>
      </c>
      <c r="F2075" s="2">
        <v>188302026</v>
      </c>
      <c r="G2075">
        <v>2003.57</v>
      </c>
      <c r="H2075">
        <v>2005.33</v>
      </c>
      <c r="I2075">
        <v>1991.04</v>
      </c>
      <c r="J2075">
        <v>3958328033</v>
      </c>
      <c r="K2075">
        <v>0</v>
      </c>
      <c r="L2075" s="2">
        <f>VLOOKUP(A2075,[1]aaabonddata!$A:$B,2,0)</f>
        <v>2.4900000000000002</v>
      </c>
    </row>
    <row r="2076" spans="1:12" x14ac:dyDescent="0.2">
      <c r="A2076" s="3">
        <v>41781</v>
      </c>
      <c r="B2076" s="2">
        <v>3650.86</v>
      </c>
      <c r="C2076" s="2">
        <v>3660.59</v>
      </c>
      <c r="D2076" s="2">
        <v>3633.85</v>
      </c>
      <c r="E2076" s="2">
        <v>4076043367050</v>
      </c>
      <c r="F2076" s="2">
        <v>0</v>
      </c>
      <c r="G2076">
        <v>2014.21</v>
      </c>
      <c r="H2076">
        <v>2019.2</v>
      </c>
      <c r="I2076">
        <v>2003.44</v>
      </c>
      <c r="J2076">
        <v>3979359150</v>
      </c>
      <c r="K2076">
        <v>0</v>
      </c>
      <c r="L2076" s="2">
        <f>VLOOKUP(A2076,[1]aaabonddata!$A:$B,2,0)</f>
        <v>2.5</v>
      </c>
    </row>
    <row r="2077" spans="1:12" x14ac:dyDescent="0.2">
      <c r="A2077" s="3">
        <v>41782</v>
      </c>
      <c r="B2077" s="2">
        <v>3677.33</v>
      </c>
      <c r="C2077" s="2">
        <v>3678.16</v>
      </c>
      <c r="D2077" s="2">
        <v>3646.23</v>
      </c>
      <c r="E2077" s="2">
        <v>4105597882208</v>
      </c>
      <c r="F2077" s="2">
        <v>0</v>
      </c>
      <c r="G2077">
        <v>2033.28</v>
      </c>
      <c r="H2077">
        <v>2033.74</v>
      </c>
      <c r="I2077">
        <v>2012.35</v>
      </c>
      <c r="J2077">
        <v>4017036723</v>
      </c>
      <c r="K2077">
        <v>0</v>
      </c>
      <c r="L2077" s="2">
        <f>VLOOKUP(A2077,[1]aaabonddata!$A:$B,2,0)</f>
        <v>2.48</v>
      </c>
    </row>
    <row r="2078" spans="1:12" x14ac:dyDescent="0.2">
      <c r="A2078" s="3">
        <v>41786</v>
      </c>
      <c r="B2078" s="2">
        <v>3723.06</v>
      </c>
      <c r="C2078" s="2">
        <v>3723.06</v>
      </c>
      <c r="D2078" s="2">
        <v>3691.09</v>
      </c>
      <c r="E2078" s="2">
        <v>4156654278564</v>
      </c>
      <c r="F2078" s="2">
        <v>111942013</v>
      </c>
      <c r="G2078">
        <v>2056.9899999999998</v>
      </c>
      <c r="H2078">
        <v>2056.9899999999998</v>
      </c>
      <c r="I2078">
        <v>2039.24</v>
      </c>
      <c r="J2078">
        <v>4063872674</v>
      </c>
      <c r="K2078">
        <v>803600</v>
      </c>
      <c r="L2078" s="2">
        <f>VLOOKUP(A2078,[1]aaabonddata!$A:$B,2,0)</f>
        <v>2.4700000000000002</v>
      </c>
    </row>
    <row r="2079" spans="1:12" x14ac:dyDescent="0.2">
      <c r="A2079" s="3">
        <v>41787</v>
      </c>
      <c r="B2079" s="2">
        <v>3712.26</v>
      </c>
      <c r="C2079" s="2">
        <v>3726.72</v>
      </c>
      <c r="D2079" s="2">
        <v>3708.65</v>
      </c>
      <c r="E2079" s="2">
        <v>4144592865015</v>
      </c>
      <c r="F2079" s="2">
        <v>224328566</v>
      </c>
      <c r="G2079">
        <v>2051.58</v>
      </c>
      <c r="H2079">
        <v>2057.9299999999998</v>
      </c>
      <c r="I2079">
        <v>2047.23</v>
      </c>
      <c r="J2079">
        <v>4053179365</v>
      </c>
      <c r="K2079">
        <v>1078598</v>
      </c>
      <c r="L2079" s="2">
        <f>VLOOKUP(A2079,[1]aaabonddata!$A:$B,2,0)</f>
        <v>2.42</v>
      </c>
    </row>
    <row r="2080" spans="1:12" x14ac:dyDescent="0.2">
      <c r="A2080" s="3">
        <v>41788</v>
      </c>
      <c r="B2080" s="2">
        <v>3735.72</v>
      </c>
      <c r="C2080" s="2">
        <v>3735.72</v>
      </c>
      <c r="D2080" s="2">
        <v>3717.65</v>
      </c>
      <c r="E2080" s="2">
        <v>4170785106904</v>
      </c>
      <c r="F2080" s="2">
        <v>64847682</v>
      </c>
      <c r="G2080">
        <v>2060.77</v>
      </c>
      <c r="H2080">
        <v>2062.27</v>
      </c>
      <c r="I2080">
        <v>2052.36</v>
      </c>
      <c r="J2080">
        <v>4071347333</v>
      </c>
      <c r="K2080">
        <v>0</v>
      </c>
      <c r="L2080" s="2">
        <f>VLOOKUP(A2080,[1]aaabonddata!$A:$B,2,0)</f>
        <v>2.4300000000000002</v>
      </c>
    </row>
    <row r="2081" spans="1:12" x14ac:dyDescent="0.2">
      <c r="A2081" s="3">
        <v>41789</v>
      </c>
      <c r="B2081" s="2">
        <v>3736.82</v>
      </c>
      <c r="C2081" s="2">
        <v>3741.57</v>
      </c>
      <c r="D2081" s="2">
        <v>3716.09</v>
      </c>
      <c r="E2081" s="2">
        <v>4172012812924</v>
      </c>
      <c r="F2081" s="2">
        <v>0</v>
      </c>
      <c r="G2081">
        <v>2057.63</v>
      </c>
      <c r="H2081">
        <v>2062.67</v>
      </c>
      <c r="I2081">
        <v>2048.7600000000002</v>
      </c>
      <c r="J2081">
        <v>4065138202</v>
      </c>
      <c r="K2081">
        <v>0</v>
      </c>
      <c r="L2081" s="2">
        <f>VLOOKUP(A2081,[1]aaabonddata!$A:$B,2,0)</f>
        <v>2.4300000000000002</v>
      </c>
    </row>
    <row r="2082" spans="1:12" x14ac:dyDescent="0.2">
      <c r="A2082" s="3">
        <v>41792</v>
      </c>
      <c r="B2082" s="2">
        <v>3732.96</v>
      </c>
      <c r="C2082" s="2">
        <v>3740.71</v>
      </c>
      <c r="D2082" s="2">
        <v>3707.89</v>
      </c>
      <c r="E2082" s="2">
        <v>4167703180501</v>
      </c>
      <c r="F2082" s="2">
        <v>710253569</v>
      </c>
      <c r="G2082">
        <v>2063.91</v>
      </c>
      <c r="H2082">
        <v>2067</v>
      </c>
      <c r="I2082">
        <v>2046.06</v>
      </c>
      <c r="J2082">
        <v>4077544811</v>
      </c>
      <c r="K2082">
        <v>536398</v>
      </c>
      <c r="L2082" s="2">
        <f>VLOOKUP(A2082,[1]aaabonddata!$A:$B,2,0)</f>
        <v>2.5299999999999998</v>
      </c>
    </row>
    <row r="2083" spans="1:12" x14ac:dyDescent="0.2">
      <c r="A2083" s="3">
        <v>41793</v>
      </c>
      <c r="B2083" s="2">
        <v>3730.07</v>
      </c>
      <c r="C2083" s="2">
        <v>3735.97</v>
      </c>
      <c r="D2083" s="2">
        <v>3715.46</v>
      </c>
      <c r="E2083" s="2">
        <v>4164476976479</v>
      </c>
      <c r="F2083" s="2">
        <v>0</v>
      </c>
      <c r="G2083">
        <v>2062.79</v>
      </c>
      <c r="H2083">
        <v>2067.15</v>
      </c>
      <c r="I2083">
        <v>2053.29</v>
      </c>
      <c r="J2083">
        <v>4075325563</v>
      </c>
      <c r="K2083">
        <v>0</v>
      </c>
      <c r="L2083" s="2">
        <f>VLOOKUP(A2083,[1]aaabonddata!$A:$B,2,0)</f>
        <v>2.57</v>
      </c>
    </row>
    <row r="2084" spans="1:12" x14ac:dyDescent="0.2">
      <c r="A2084" s="3">
        <v>41794</v>
      </c>
      <c r="B2084" s="2">
        <v>3743.59</v>
      </c>
      <c r="C2084" s="2">
        <v>3750.01</v>
      </c>
      <c r="D2084" s="2">
        <v>3715.24</v>
      </c>
      <c r="E2084" s="2">
        <v>4179574393456</v>
      </c>
      <c r="F2084" s="2">
        <v>53072270</v>
      </c>
      <c r="G2084">
        <v>2067.71</v>
      </c>
      <c r="H2084">
        <v>2070.9499999999998</v>
      </c>
      <c r="I2084">
        <v>2053.42</v>
      </c>
      <c r="J2084">
        <v>4085058339</v>
      </c>
      <c r="K2084">
        <v>0</v>
      </c>
      <c r="L2084" s="2">
        <f>VLOOKUP(A2084,[1]aaabonddata!$A:$B,2,0)</f>
        <v>2.57</v>
      </c>
    </row>
    <row r="2085" spans="1:12" x14ac:dyDescent="0.2">
      <c r="A2085" s="3">
        <v>41795</v>
      </c>
      <c r="B2085" s="2">
        <v>3776.95</v>
      </c>
      <c r="C2085" s="2">
        <v>3782</v>
      </c>
      <c r="D2085" s="2">
        <v>3735.19</v>
      </c>
      <c r="E2085" s="2">
        <v>4216815663472</v>
      </c>
      <c r="F2085" s="2">
        <v>0</v>
      </c>
      <c r="G2085">
        <v>2086.71</v>
      </c>
      <c r="H2085">
        <v>2089.0100000000002</v>
      </c>
      <c r="I2085">
        <v>2064.3200000000002</v>
      </c>
      <c r="J2085">
        <v>4122582399</v>
      </c>
      <c r="K2085">
        <v>0</v>
      </c>
      <c r="L2085" s="2">
        <f>VLOOKUP(A2085,[1]aaabonddata!$A:$B,2,0)</f>
        <v>2.56</v>
      </c>
    </row>
    <row r="2086" spans="1:12" x14ac:dyDescent="0.2">
      <c r="A2086" s="3">
        <v>41796</v>
      </c>
      <c r="B2086" s="2">
        <v>3794.57</v>
      </c>
      <c r="C2086" s="2">
        <v>3795.14</v>
      </c>
      <c r="D2086" s="2">
        <v>3782.12</v>
      </c>
      <c r="E2086" s="2">
        <v>4236487514708</v>
      </c>
      <c r="F2086" s="2">
        <v>146716224</v>
      </c>
      <c r="G2086">
        <v>2103.19</v>
      </c>
      <c r="H2086">
        <v>2106.06</v>
      </c>
      <c r="I2086">
        <v>2092.94</v>
      </c>
      <c r="J2086">
        <v>4155137036</v>
      </c>
      <c r="K2086">
        <v>824176</v>
      </c>
      <c r="L2086" s="2">
        <f>VLOOKUP(A2086,[1]aaabonddata!$A:$B,2,0)</f>
        <v>2.57</v>
      </c>
    </row>
    <row r="2087" spans="1:12" x14ac:dyDescent="0.2">
      <c r="A2087" s="3">
        <v>41799</v>
      </c>
      <c r="B2087" s="2">
        <v>3795.74</v>
      </c>
      <c r="C2087" s="2">
        <v>3804.04</v>
      </c>
      <c r="D2087" s="2">
        <v>3783.9</v>
      </c>
      <c r="E2087" s="2">
        <v>4237797043115</v>
      </c>
      <c r="F2087" s="2">
        <v>0</v>
      </c>
      <c r="G2087">
        <v>2106.36</v>
      </c>
      <c r="H2087">
        <v>2113.62</v>
      </c>
      <c r="I2087">
        <v>2100.4499999999998</v>
      </c>
      <c r="J2087">
        <v>4161413706</v>
      </c>
      <c r="K2087">
        <v>0</v>
      </c>
      <c r="L2087" s="2">
        <f>VLOOKUP(A2087,[1]aaabonddata!$A:$B,2,0)</f>
        <v>2.59</v>
      </c>
    </row>
    <row r="2088" spans="1:12" x14ac:dyDescent="0.2">
      <c r="A2088" s="3">
        <v>41800</v>
      </c>
      <c r="B2088" s="2">
        <v>3800.86</v>
      </c>
      <c r="C2088" s="2">
        <v>3802.46</v>
      </c>
      <c r="D2088" s="2">
        <v>3786.56</v>
      </c>
      <c r="E2088" s="2">
        <v>4243509234719</v>
      </c>
      <c r="F2088" s="2">
        <v>0</v>
      </c>
      <c r="G2088">
        <v>2109.4299999999998</v>
      </c>
      <c r="H2088">
        <v>2110.3200000000002</v>
      </c>
      <c r="I2088">
        <v>2099.31</v>
      </c>
      <c r="J2088">
        <v>4167478876</v>
      </c>
      <c r="K2088">
        <v>0</v>
      </c>
      <c r="L2088" s="2">
        <f>VLOOKUP(A2088,[1]aaabonddata!$A:$B,2,0)</f>
        <v>2.61</v>
      </c>
    </row>
    <row r="2089" spans="1:12" x14ac:dyDescent="0.2">
      <c r="A2089" s="3">
        <v>41801</v>
      </c>
      <c r="B2089" s="2">
        <v>3797.85</v>
      </c>
      <c r="C2089" s="2">
        <v>3803.95</v>
      </c>
      <c r="D2089" s="2">
        <v>3783.61</v>
      </c>
      <c r="E2089" s="2">
        <v>4240148783740</v>
      </c>
      <c r="F2089" s="2">
        <v>1018215373</v>
      </c>
      <c r="G2089">
        <v>2113.09</v>
      </c>
      <c r="H2089">
        <v>2116.8000000000002</v>
      </c>
      <c r="I2089">
        <v>2102.1799999999998</v>
      </c>
      <c r="J2089">
        <v>4174696172</v>
      </c>
      <c r="K2089">
        <v>0</v>
      </c>
      <c r="L2089" s="2">
        <f>VLOOKUP(A2089,[1]aaabonddata!$A:$B,2,0)</f>
        <v>2.6</v>
      </c>
    </row>
    <row r="2090" spans="1:12" x14ac:dyDescent="0.2">
      <c r="A2090" s="3">
        <v>41802</v>
      </c>
      <c r="B2090" s="2">
        <v>3763.8</v>
      </c>
      <c r="C2090" s="2">
        <v>3794.99</v>
      </c>
      <c r="D2090" s="2">
        <v>3751.69</v>
      </c>
      <c r="E2090" s="2">
        <v>4202136863587</v>
      </c>
      <c r="F2090" s="2">
        <v>0</v>
      </c>
      <c r="G2090">
        <v>2101.79</v>
      </c>
      <c r="H2090">
        <v>2115.0500000000002</v>
      </c>
      <c r="I2090">
        <v>2095.17</v>
      </c>
      <c r="J2090">
        <v>4152377077</v>
      </c>
      <c r="K2090">
        <v>0</v>
      </c>
      <c r="L2090" s="2">
        <f>VLOOKUP(A2090,[1]aaabonddata!$A:$B,2,0)</f>
        <v>2.57</v>
      </c>
    </row>
    <row r="2091" spans="1:12" x14ac:dyDescent="0.2">
      <c r="A2091" s="3">
        <v>41803</v>
      </c>
      <c r="B2091" s="2">
        <v>3775.56</v>
      </c>
      <c r="C2091" s="2">
        <v>3784.84</v>
      </c>
      <c r="D2091" s="2">
        <v>3759.87</v>
      </c>
      <c r="E2091" s="2">
        <v>4215267280737</v>
      </c>
      <c r="F2091" s="2">
        <v>93672049</v>
      </c>
      <c r="G2091">
        <v>2117.2399999999998</v>
      </c>
      <c r="H2091">
        <v>2119.88</v>
      </c>
      <c r="I2091">
        <v>2105.44</v>
      </c>
      <c r="J2091">
        <v>4182901205</v>
      </c>
      <c r="K2091">
        <v>871143</v>
      </c>
      <c r="L2091" s="2">
        <f>VLOOKUP(A2091,[1]aaabonddata!$A:$B,2,0)</f>
        <v>2.59</v>
      </c>
    </row>
    <row r="2092" spans="1:12" x14ac:dyDescent="0.2">
      <c r="A2092" s="3">
        <v>41806</v>
      </c>
      <c r="B2092" s="2">
        <v>3779.93</v>
      </c>
      <c r="C2092" s="2">
        <v>3789.93</v>
      </c>
      <c r="D2092" s="2">
        <v>3761.42</v>
      </c>
      <c r="E2092" s="2">
        <v>4220145893996</v>
      </c>
      <c r="F2092" s="2">
        <v>0</v>
      </c>
      <c r="G2092">
        <v>2123.35</v>
      </c>
      <c r="H2092">
        <v>2126.61</v>
      </c>
      <c r="I2092">
        <v>2110.59</v>
      </c>
      <c r="J2092">
        <v>4194979692</v>
      </c>
      <c r="K2092">
        <v>0</v>
      </c>
      <c r="L2092" s="2">
        <f>VLOOKUP(A2092,[1]aaabonddata!$A:$B,2,0)</f>
        <v>2.58</v>
      </c>
    </row>
    <row r="2093" spans="1:12" x14ac:dyDescent="0.2">
      <c r="A2093" s="3">
        <v>41807</v>
      </c>
      <c r="B2093" s="2">
        <v>3781.32</v>
      </c>
      <c r="C2093" s="2">
        <v>3790.92</v>
      </c>
      <c r="D2093" s="2">
        <v>3769.94</v>
      </c>
      <c r="E2093" s="2">
        <v>4221692785697</v>
      </c>
      <c r="F2093" s="2">
        <v>72413705</v>
      </c>
      <c r="G2093">
        <v>2132.89</v>
      </c>
      <c r="H2093">
        <v>2136.7800000000002</v>
      </c>
      <c r="I2093">
        <v>2119.7199999999998</v>
      </c>
      <c r="J2093">
        <v>4213823160</v>
      </c>
      <c r="K2093">
        <v>453834</v>
      </c>
      <c r="L2093" s="2">
        <f>VLOOKUP(A2093,[1]aaabonddata!$A:$B,2,0)</f>
        <v>2.62</v>
      </c>
    </row>
    <row r="2094" spans="1:12" x14ac:dyDescent="0.2">
      <c r="A2094" s="3">
        <v>41808</v>
      </c>
      <c r="B2094" s="2">
        <v>3804.61</v>
      </c>
      <c r="C2094" s="2">
        <v>3807.49</v>
      </c>
      <c r="D2094" s="2">
        <v>3764.53</v>
      </c>
      <c r="E2094" s="2">
        <v>4247691668761</v>
      </c>
      <c r="F2094" s="2">
        <v>0</v>
      </c>
      <c r="G2094">
        <v>2143.23</v>
      </c>
      <c r="H2094">
        <v>2144.75</v>
      </c>
      <c r="I2094">
        <v>2121.2600000000002</v>
      </c>
      <c r="J2094">
        <v>4234243594</v>
      </c>
      <c r="K2094">
        <v>0</v>
      </c>
      <c r="L2094" s="2">
        <f>VLOOKUP(A2094,[1]aaabonddata!$A:$B,2,0)</f>
        <v>2.6</v>
      </c>
    </row>
    <row r="2095" spans="1:12" x14ac:dyDescent="0.2">
      <c r="A2095" s="3">
        <v>41809</v>
      </c>
      <c r="B2095" s="2">
        <v>3800.8</v>
      </c>
      <c r="C2095" s="2">
        <v>3811.24</v>
      </c>
      <c r="D2095" s="2">
        <v>3783.3</v>
      </c>
      <c r="E2095" s="2">
        <v>4243439470754</v>
      </c>
      <c r="F2095" s="2">
        <v>0</v>
      </c>
      <c r="G2095">
        <v>2137.14</v>
      </c>
      <c r="H2095">
        <v>2144.64</v>
      </c>
      <c r="I2095">
        <v>2126.0100000000002</v>
      </c>
      <c r="J2095">
        <v>4222210665</v>
      </c>
      <c r="K2095">
        <v>0</v>
      </c>
      <c r="L2095" s="2">
        <f>VLOOKUP(A2095,[1]aaabonddata!$A:$B,2,0)</f>
        <v>2.59</v>
      </c>
    </row>
    <row r="2096" spans="1:12" x14ac:dyDescent="0.2">
      <c r="A2096" s="3">
        <v>41810</v>
      </c>
      <c r="B2096" s="2">
        <v>3802.64</v>
      </c>
      <c r="C2096" s="2">
        <v>3807.92</v>
      </c>
      <c r="D2096" s="2">
        <v>3794.51</v>
      </c>
      <c r="E2096" s="2">
        <v>4245494828954</v>
      </c>
      <c r="F2096" s="2">
        <v>0</v>
      </c>
      <c r="G2096">
        <v>2138.3200000000002</v>
      </c>
      <c r="H2096">
        <v>2139.08</v>
      </c>
      <c r="I2096">
        <v>2129.15</v>
      </c>
      <c r="J2096">
        <v>4224540790</v>
      </c>
      <c r="K2096">
        <v>0</v>
      </c>
      <c r="L2096" s="2">
        <f>VLOOKUP(A2096,[1]aaabonddata!$A:$B,2,0)</f>
        <v>2.6</v>
      </c>
    </row>
    <row r="2097" spans="1:12" x14ac:dyDescent="0.2">
      <c r="A2097" s="3">
        <v>41813</v>
      </c>
      <c r="B2097" s="2">
        <v>3805.31</v>
      </c>
      <c r="C2097" s="2">
        <v>3806.19</v>
      </c>
      <c r="D2097" s="2">
        <v>3794.85</v>
      </c>
      <c r="E2097" s="2">
        <v>4252537204391</v>
      </c>
      <c r="F2097" s="2">
        <v>0</v>
      </c>
      <c r="G2097">
        <v>2137.5</v>
      </c>
      <c r="H2097">
        <v>2139.9699999999998</v>
      </c>
      <c r="I2097">
        <v>2130.9499999999998</v>
      </c>
      <c r="J2097">
        <v>4098432676</v>
      </c>
      <c r="K2097">
        <v>0</v>
      </c>
      <c r="L2097" s="2">
        <f>VLOOKUP(A2097,[1]aaabonddata!$A:$B,2,0)</f>
        <v>2.59</v>
      </c>
    </row>
    <row r="2098" spans="1:12" x14ac:dyDescent="0.2">
      <c r="A2098" s="3">
        <v>41814</v>
      </c>
      <c r="B2098" s="2">
        <v>3799.53</v>
      </c>
      <c r="C2098" s="2">
        <v>3837.17</v>
      </c>
      <c r="D2098" s="2">
        <v>3791.12</v>
      </c>
      <c r="E2098" s="2">
        <v>4246074556335</v>
      </c>
      <c r="F2098" s="2">
        <v>0</v>
      </c>
      <c r="G2098">
        <v>2130.2800000000002</v>
      </c>
      <c r="H2098">
        <v>2153.71</v>
      </c>
      <c r="I2098">
        <v>2126.17</v>
      </c>
      <c r="J2098">
        <v>4084588747</v>
      </c>
      <c r="K2098">
        <v>0</v>
      </c>
      <c r="L2098" s="2">
        <f>VLOOKUP(A2098,[1]aaabonddata!$A:$B,2,0)</f>
        <v>2.57</v>
      </c>
    </row>
    <row r="2099" spans="1:12" x14ac:dyDescent="0.2">
      <c r="A2099" s="3">
        <v>41815</v>
      </c>
      <c r="B2099" s="2">
        <v>3827.33</v>
      </c>
      <c r="C2099" s="2">
        <v>3831.85</v>
      </c>
      <c r="D2099" s="2">
        <v>3792.31</v>
      </c>
      <c r="E2099" s="2">
        <v>4277140517337</v>
      </c>
      <c r="F2099" s="2">
        <v>171621752</v>
      </c>
      <c r="G2099">
        <v>2140.38</v>
      </c>
      <c r="H2099">
        <v>2142.5500000000002</v>
      </c>
      <c r="I2099">
        <v>2125.23</v>
      </c>
      <c r="J2099">
        <v>4103959411</v>
      </c>
      <c r="K2099">
        <v>437350</v>
      </c>
      <c r="L2099" s="2">
        <f>VLOOKUP(A2099,[1]aaabonddata!$A:$B,2,0)</f>
        <v>2.5499999999999998</v>
      </c>
    </row>
    <row r="2100" spans="1:12" x14ac:dyDescent="0.2">
      <c r="A2100" s="3">
        <v>41816</v>
      </c>
      <c r="B2100" s="2">
        <v>3826.91</v>
      </c>
      <c r="C2100" s="2">
        <v>3827.7</v>
      </c>
      <c r="D2100" s="2">
        <v>3798.63</v>
      </c>
      <c r="E2100" s="2">
        <v>4276673987426</v>
      </c>
      <c r="F2100" s="2">
        <v>236805264</v>
      </c>
      <c r="G2100">
        <v>2134.04</v>
      </c>
      <c r="H2100">
        <v>2140.83</v>
      </c>
      <c r="I2100">
        <v>2121.27</v>
      </c>
      <c r="J2100">
        <v>4091804737</v>
      </c>
      <c r="K2100">
        <v>0</v>
      </c>
      <c r="L2100" s="2">
        <f>VLOOKUP(A2100,[1]aaabonddata!$A:$B,2,0)</f>
        <v>2.52</v>
      </c>
    </row>
    <row r="2101" spans="1:12" x14ac:dyDescent="0.2">
      <c r="A2101" s="3">
        <v>41817</v>
      </c>
      <c r="B2101" s="2">
        <v>3844.44</v>
      </c>
      <c r="C2101" s="2">
        <v>3844.89</v>
      </c>
      <c r="D2101" s="2">
        <v>3823.21</v>
      </c>
      <c r="E2101" s="2">
        <v>4296260428333</v>
      </c>
      <c r="F2101" s="2">
        <v>0</v>
      </c>
      <c r="G2101">
        <v>2141.69</v>
      </c>
      <c r="H2101">
        <v>2142.27</v>
      </c>
      <c r="I2101">
        <v>2128.9499999999998</v>
      </c>
      <c r="J2101">
        <v>4106471940</v>
      </c>
      <c r="K2101">
        <v>0</v>
      </c>
      <c r="L2101" s="2">
        <f>VLOOKUP(A2101,[1]aaabonddata!$A:$B,2,0)</f>
        <v>2.5299999999999998</v>
      </c>
    </row>
    <row r="2102" spans="1:12" x14ac:dyDescent="0.2">
      <c r="A2102" s="3">
        <v>41820</v>
      </c>
      <c r="B2102" s="2">
        <v>3849.48</v>
      </c>
      <c r="C2102" s="2">
        <v>3860.65</v>
      </c>
      <c r="D2102" s="2">
        <v>3841.7</v>
      </c>
      <c r="E2102" s="2">
        <v>4301893006301</v>
      </c>
      <c r="F2102" s="2">
        <v>482916396</v>
      </c>
      <c r="G2102">
        <v>2153.0700000000002</v>
      </c>
      <c r="H2102">
        <v>2156.2399999999998</v>
      </c>
      <c r="I2102">
        <v>2143.5100000000002</v>
      </c>
      <c r="J2102">
        <v>4128288425</v>
      </c>
      <c r="K2102">
        <v>0</v>
      </c>
      <c r="L2102" s="2">
        <f>VLOOKUP(A2102,[1]aaabonddata!$A:$B,2,0)</f>
        <v>2.5099999999999998</v>
      </c>
    </row>
    <row r="2103" spans="1:12" x14ac:dyDescent="0.2">
      <c r="A2103" s="3">
        <v>41821</v>
      </c>
      <c r="B2103" s="2">
        <v>3894.33</v>
      </c>
      <c r="C2103" s="2">
        <v>3902.93</v>
      </c>
      <c r="D2103" s="2">
        <v>3863.81</v>
      </c>
      <c r="E2103" s="2">
        <v>4352015212007</v>
      </c>
      <c r="F2103" s="2">
        <v>84792787</v>
      </c>
      <c r="G2103">
        <v>2177.77</v>
      </c>
      <c r="H2103">
        <v>2184.21</v>
      </c>
      <c r="I2103">
        <v>2158.92</v>
      </c>
      <c r="J2103">
        <v>4175647365</v>
      </c>
      <c r="K2103">
        <v>0</v>
      </c>
      <c r="L2103" s="2">
        <f>VLOOKUP(A2103,[1]aaabonddata!$A:$B,2,0)</f>
        <v>2.5499999999999998</v>
      </c>
    </row>
    <row r="2104" spans="1:12" x14ac:dyDescent="0.2">
      <c r="A2104" s="3">
        <v>41822</v>
      </c>
      <c r="B2104" s="2">
        <v>3899.27</v>
      </c>
      <c r="C2104" s="2">
        <v>3904.35</v>
      </c>
      <c r="D2104" s="2">
        <v>3890.77</v>
      </c>
      <c r="E2104" s="2">
        <v>4357536724984</v>
      </c>
      <c r="F2104" s="2">
        <v>973311037</v>
      </c>
      <c r="G2104">
        <v>2178.29</v>
      </c>
      <c r="H2104">
        <v>2182.3000000000002</v>
      </c>
      <c r="I2104">
        <v>2174.21</v>
      </c>
      <c r="J2104">
        <v>4176643018</v>
      </c>
      <c r="K2104">
        <v>765203</v>
      </c>
      <c r="L2104" s="2">
        <f>VLOOKUP(A2104,[1]aaabonddata!$A:$B,2,0)</f>
        <v>2.6</v>
      </c>
    </row>
    <row r="2105" spans="1:12" x14ac:dyDescent="0.2">
      <c r="A2105" s="3">
        <v>41823</v>
      </c>
      <c r="B2105" s="2">
        <v>3923.01</v>
      </c>
      <c r="C2105" s="2">
        <v>3923.15</v>
      </c>
      <c r="D2105" s="2">
        <v>3901.32</v>
      </c>
      <c r="E2105" s="2">
        <v>4384066331207</v>
      </c>
      <c r="F2105" s="2">
        <v>0</v>
      </c>
      <c r="G2105">
        <v>2193.3000000000002</v>
      </c>
      <c r="H2105">
        <v>2193.75</v>
      </c>
      <c r="I2105">
        <v>2183.2399999999998</v>
      </c>
      <c r="J2105">
        <v>4205417985</v>
      </c>
      <c r="K2105">
        <v>0</v>
      </c>
      <c r="L2105" s="2">
        <f>VLOOKUP(A2105,[1]aaabonddata!$A:$B,2,0)</f>
        <v>2.62</v>
      </c>
    </row>
    <row r="2106" spans="1:12" x14ac:dyDescent="0.2">
      <c r="A2106" s="3">
        <v>41827</v>
      </c>
      <c r="B2106" s="2">
        <v>3910.71</v>
      </c>
      <c r="C2106" s="2">
        <v>3923.92</v>
      </c>
      <c r="D2106" s="2">
        <v>3904.67</v>
      </c>
      <c r="E2106" s="2">
        <v>4370317995155</v>
      </c>
      <c r="F2106" s="2">
        <v>0</v>
      </c>
      <c r="G2106">
        <v>2180.16</v>
      </c>
      <c r="H2106">
        <v>2191.0700000000002</v>
      </c>
      <c r="I2106">
        <v>2177.48</v>
      </c>
      <c r="J2106">
        <v>4180225870</v>
      </c>
      <c r="K2106">
        <v>0</v>
      </c>
      <c r="L2106" s="2">
        <f>VLOOKUP(A2106,[1]aaabonddata!$A:$B,2,0)</f>
        <v>2.6</v>
      </c>
    </row>
    <row r="2107" spans="1:12" x14ac:dyDescent="0.2">
      <c r="A2107" s="3">
        <v>41828</v>
      </c>
      <c r="B2107" s="2">
        <v>3864.07</v>
      </c>
      <c r="C2107" s="2">
        <v>3906.22</v>
      </c>
      <c r="D2107" s="2">
        <v>3848.18</v>
      </c>
      <c r="E2107" s="2">
        <v>4318194470396</v>
      </c>
      <c r="F2107" s="2">
        <v>108598927</v>
      </c>
      <c r="G2107">
        <v>2154.25</v>
      </c>
      <c r="H2107">
        <v>2178.79</v>
      </c>
      <c r="I2107">
        <v>2139.7800000000002</v>
      </c>
      <c r="J2107">
        <v>4130547495</v>
      </c>
      <c r="K2107">
        <v>700016</v>
      </c>
      <c r="L2107" s="2">
        <f>VLOOKUP(A2107,[1]aaabonddata!$A:$B,2,0)</f>
        <v>2.57</v>
      </c>
    </row>
    <row r="2108" spans="1:12" x14ac:dyDescent="0.2">
      <c r="A2108" s="3">
        <v>41829</v>
      </c>
      <c r="B2108" s="2">
        <v>3892.91</v>
      </c>
      <c r="C2108" s="2">
        <v>3896.38</v>
      </c>
      <c r="D2108" s="2">
        <v>3863.2</v>
      </c>
      <c r="E2108" s="2">
        <v>4350432821344</v>
      </c>
      <c r="F2108" s="2">
        <v>468690219</v>
      </c>
      <c r="G2108">
        <v>2164.87</v>
      </c>
      <c r="H2108">
        <v>2166.04</v>
      </c>
      <c r="I2108">
        <v>2149.4299999999998</v>
      </c>
      <c r="J2108">
        <v>4150924469</v>
      </c>
      <c r="K2108">
        <v>0</v>
      </c>
      <c r="L2108" s="2">
        <f>VLOOKUP(A2108,[1]aaabonddata!$A:$B,2,0)</f>
        <v>2.5499999999999998</v>
      </c>
    </row>
    <row r="2109" spans="1:12" x14ac:dyDescent="0.2">
      <c r="A2109" s="3">
        <v>41830</v>
      </c>
      <c r="B2109" s="2">
        <v>3880.04</v>
      </c>
      <c r="C2109" s="2">
        <v>3895.72</v>
      </c>
      <c r="D2109" s="2">
        <v>3837.16</v>
      </c>
      <c r="E2109" s="2">
        <v>4336043861031</v>
      </c>
      <c r="F2109" s="2">
        <v>0</v>
      </c>
      <c r="G2109">
        <v>2156.6799999999998</v>
      </c>
      <c r="H2109">
        <v>2165.25</v>
      </c>
      <c r="I2109">
        <v>2130.59</v>
      </c>
      <c r="J2109">
        <v>4135217830</v>
      </c>
      <c r="K2109">
        <v>0</v>
      </c>
      <c r="L2109" s="2">
        <f>VLOOKUP(A2109,[1]aaabonddata!$A:$B,2,0)</f>
        <v>2.5299999999999998</v>
      </c>
    </row>
    <row r="2110" spans="1:12" x14ac:dyDescent="0.2">
      <c r="A2110" s="3">
        <v>41831</v>
      </c>
      <c r="B2110" s="2">
        <v>3904.58</v>
      </c>
      <c r="C2110" s="2">
        <v>3905.4</v>
      </c>
      <c r="D2110" s="2">
        <v>3879.4</v>
      </c>
      <c r="E2110" s="2">
        <v>4363469691975</v>
      </c>
      <c r="F2110" s="2">
        <v>0</v>
      </c>
      <c r="G2110">
        <v>2164.08</v>
      </c>
      <c r="H2110">
        <v>2165.38</v>
      </c>
      <c r="I2110">
        <v>2152.86</v>
      </c>
      <c r="J2110">
        <v>4149406010</v>
      </c>
      <c r="K2110">
        <v>0</v>
      </c>
      <c r="L2110" s="2">
        <f>VLOOKUP(A2110,[1]aaabonddata!$A:$B,2,0)</f>
        <v>2.5299999999999998</v>
      </c>
    </row>
    <row r="2111" spans="1:12" x14ac:dyDescent="0.2">
      <c r="A2111" s="3">
        <v>41834</v>
      </c>
      <c r="B2111" s="2">
        <v>3929.46</v>
      </c>
      <c r="C2111" s="2">
        <v>3937.73</v>
      </c>
      <c r="D2111" s="2">
        <v>3916.52</v>
      </c>
      <c r="E2111" s="2">
        <v>4391278615728</v>
      </c>
      <c r="F2111" s="2">
        <v>0</v>
      </c>
      <c r="G2111">
        <v>2174.79</v>
      </c>
      <c r="H2111">
        <v>2182.5500000000002</v>
      </c>
      <c r="I2111">
        <v>2171.34</v>
      </c>
      <c r="J2111">
        <v>4169929189</v>
      </c>
      <c r="K2111">
        <v>0</v>
      </c>
      <c r="L2111" s="2">
        <f>VLOOKUP(A2111,[1]aaabonddata!$A:$B,2,0)</f>
        <v>2.54</v>
      </c>
    </row>
    <row r="2112" spans="1:12" x14ac:dyDescent="0.2">
      <c r="A2112" s="3">
        <v>41835</v>
      </c>
      <c r="B2112" s="2">
        <v>3914.45</v>
      </c>
      <c r="C2112" s="2">
        <v>3940.55</v>
      </c>
      <c r="D2112" s="2">
        <v>3887.5</v>
      </c>
      <c r="E2112" s="2">
        <v>4374505568491</v>
      </c>
      <c r="F2112" s="2">
        <v>0</v>
      </c>
      <c r="G2112">
        <v>2173.04</v>
      </c>
      <c r="H2112">
        <v>2183.56</v>
      </c>
      <c r="I2112">
        <v>2157.42</v>
      </c>
      <c r="J2112">
        <v>4166582018</v>
      </c>
      <c r="K2112">
        <v>0</v>
      </c>
      <c r="L2112" s="2">
        <f>VLOOKUP(A2112,[1]aaabonddata!$A:$B,2,0)</f>
        <v>2.5499999999999998</v>
      </c>
    </row>
    <row r="2113" spans="1:12" x14ac:dyDescent="0.2">
      <c r="A2113" s="3">
        <v>41836</v>
      </c>
      <c r="B2113" s="2">
        <v>3932.33</v>
      </c>
      <c r="C2113" s="2">
        <v>3947.49</v>
      </c>
      <c r="D2113" s="2">
        <v>3927</v>
      </c>
      <c r="E2113" s="2">
        <v>4394486319651</v>
      </c>
      <c r="F2113" s="2">
        <v>0</v>
      </c>
      <c r="G2113">
        <v>2185</v>
      </c>
      <c r="H2113">
        <v>2192.27</v>
      </c>
      <c r="I2113">
        <v>2179.42</v>
      </c>
      <c r="J2113">
        <v>4189513560</v>
      </c>
      <c r="K2113">
        <v>0</v>
      </c>
      <c r="L2113" s="2">
        <f>VLOOKUP(A2113,[1]aaabonddata!$A:$B,2,0)</f>
        <v>2.5499999999999998</v>
      </c>
    </row>
    <row r="2114" spans="1:12" x14ac:dyDescent="0.2">
      <c r="A2114" s="3">
        <v>41837</v>
      </c>
      <c r="B2114" s="2">
        <v>3878.01</v>
      </c>
      <c r="C2114" s="2">
        <v>3933.88</v>
      </c>
      <c r="D2114" s="2">
        <v>3866.22</v>
      </c>
      <c r="E2114" s="2">
        <v>4333775094046</v>
      </c>
      <c r="F2114" s="2">
        <v>0</v>
      </c>
      <c r="G2114">
        <v>2150.08</v>
      </c>
      <c r="H2114">
        <v>2176.65</v>
      </c>
      <c r="I2114">
        <v>2145.37</v>
      </c>
      <c r="J2114">
        <v>4122549957</v>
      </c>
      <c r="K2114">
        <v>0</v>
      </c>
      <c r="L2114" s="2">
        <f>VLOOKUP(A2114,[1]aaabonddata!$A:$B,2,0)</f>
        <v>2.5099999999999998</v>
      </c>
    </row>
    <row r="2115" spans="1:12" x14ac:dyDescent="0.2">
      <c r="A2115" s="3">
        <v>41838</v>
      </c>
      <c r="B2115" s="2">
        <v>3939.89</v>
      </c>
      <c r="C2115" s="2">
        <v>3942.15</v>
      </c>
      <c r="D2115" s="2">
        <v>3894.56</v>
      </c>
      <c r="E2115" s="2">
        <v>4402934316237</v>
      </c>
      <c r="F2115" s="2">
        <v>0</v>
      </c>
      <c r="G2115">
        <v>2176.4</v>
      </c>
      <c r="H2115">
        <v>2176.81</v>
      </c>
      <c r="I2115">
        <v>2155.92</v>
      </c>
      <c r="J2115">
        <v>4173016017</v>
      </c>
      <c r="K2115">
        <v>0</v>
      </c>
      <c r="L2115" s="2">
        <f>VLOOKUP(A2115,[1]aaabonddata!$A:$B,2,0)</f>
        <v>2.52</v>
      </c>
    </row>
    <row r="2116" spans="1:12" x14ac:dyDescent="0.2">
      <c r="A2116" s="3">
        <v>41841</v>
      </c>
      <c r="B2116" s="2">
        <v>3934.14</v>
      </c>
      <c r="C2116" s="2">
        <v>3941.93</v>
      </c>
      <c r="D2116" s="2">
        <v>3917.74</v>
      </c>
      <c r="E2116" s="2">
        <v>4396500552755</v>
      </c>
      <c r="F2116" s="2">
        <v>0</v>
      </c>
      <c r="G2116">
        <v>2176.02</v>
      </c>
      <c r="H2116">
        <v>2180.08</v>
      </c>
      <c r="I2116">
        <v>2165.29</v>
      </c>
      <c r="J2116">
        <v>4172290274</v>
      </c>
      <c r="K2116">
        <v>0</v>
      </c>
      <c r="L2116" s="2">
        <f>VLOOKUP(A2116,[1]aaabonddata!$A:$B,2,0)</f>
        <v>2.52</v>
      </c>
    </row>
    <row r="2117" spans="1:12" x14ac:dyDescent="0.2">
      <c r="A2117" s="3">
        <v>41842</v>
      </c>
      <c r="B2117" s="2">
        <v>3961.62</v>
      </c>
      <c r="C2117" s="2">
        <v>3966.1</v>
      </c>
      <c r="D2117" s="2">
        <v>3949.09</v>
      </c>
      <c r="E2117" s="2">
        <v>4427217813393</v>
      </c>
      <c r="F2117" s="2">
        <v>0</v>
      </c>
      <c r="G2117">
        <v>2190.89</v>
      </c>
      <c r="H2117">
        <v>2196.9699999999998</v>
      </c>
      <c r="I2117">
        <v>2183.69</v>
      </c>
      <c r="J2117">
        <v>4200803513</v>
      </c>
      <c r="K2117">
        <v>0</v>
      </c>
      <c r="L2117" s="2">
        <f>VLOOKUP(A2117,[1]aaabonddata!$A:$B,2,0)</f>
        <v>2.5099999999999998</v>
      </c>
    </row>
    <row r="2118" spans="1:12" x14ac:dyDescent="0.2">
      <c r="A2118" s="3">
        <v>41843</v>
      </c>
      <c r="B2118" s="2">
        <v>3986.19</v>
      </c>
      <c r="C2118" s="2">
        <v>3990.64</v>
      </c>
      <c r="D2118" s="2">
        <v>3967.96</v>
      </c>
      <c r="E2118" s="2">
        <v>4454673893982</v>
      </c>
      <c r="F2118" s="2">
        <v>74159780</v>
      </c>
      <c r="G2118">
        <v>2172.79</v>
      </c>
      <c r="H2118">
        <v>2183.0100000000002</v>
      </c>
      <c r="I2118">
        <v>2170.0300000000002</v>
      </c>
      <c r="J2118">
        <v>4166098006</v>
      </c>
      <c r="K2118">
        <v>0</v>
      </c>
      <c r="L2118" s="2">
        <f>VLOOKUP(A2118,[1]aaabonddata!$A:$B,2,0)</f>
        <v>2.5099999999999998</v>
      </c>
    </row>
    <row r="2119" spans="1:12" x14ac:dyDescent="0.2">
      <c r="A2119" s="3">
        <v>41844</v>
      </c>
      <c r="B2119" s="2">
        <v>3983.19</v>
      </c>
      <c r="C2119" s="2">
        <v>3997.5</v>
      </c>
      <c r="D2119" s="2">
        <v>3975.66</v>
      </c>
      <c r="E2119" s="2">
        <v>4451316825100</v>
      </c>
      <c r="F2119" s="2">
        <v>0</v>
      </c>
      <c r="G2119">
        <v>2185.0300000000002</v>
      </c>
      <c r="H2119">
        <v>2187.66</v>
      </c>
      <c r="I2119">
        <v>2179.3000000000002</v>
      </c>
      <c r="J2119">
        <v>4189572152</v>
      </c>
      <c r="K2119">
        <v>0</v>
      </c>
      <c r="L2119" s="2">
        <f>VLOOKUP(A2119,[1]aaabonddata!$A:$B,2,0)</f>
        <v>2.54</v>
      </c>
    </row>
    <row r="2120" spans="1:12" x14ac:dyDescent="0.2">
      <c r="A2120" s="3">
        <v>41845</v>
      </c>
      <c r="B2120" s="2">
        <v>3965.16</v>
      </c>
      <c r="C2120" s="2">
        <v>3970.44</v>
      </c>
      <c r="D2120" s="2">
        <v>3945.05</v>
      </c>
      <c r="E2120" s="2">
        <v>4431175218893</v>
      </c>
      <c r="F2120" s="2">
        <v>0</v>
      </c>
      <c r="G2120">
        <v>2174.2800000000002</v>
      </c>
      <c r="H2120">
        <v>2179.19</v>
      </c>
      <c r="I2120">
        <v>2165.0100000000002</v>
      </c>
      <c r="J2120">
        <v>4168949953</v>
      </c>
      <c r="K2120">
        <v>0</v>
      </c>
      <c r="L2120" s="2">
        <f>VLOOKUP(A2120,[1]aaabonddata!$A:$B,2,0)</f>
        <v>2.5099999999999998</v>
      </c>
    </row>
    <row r="2121" spans="1:12" x14ac:dyDescent="0.2">
      <c r="A2121" s="3">
        <v>41848</v>
      </c>
      <c r="B2121" s="2">
        <v>3967.24</v>
      </c>
      <c r="C2121" s="2">
        <v>3977</v>
      </c>
      <c r="D2121" s="2">
        <v>3936.72</v>
      </c>
      <c r="E2121" s="2">
        <v>4433499148091</v>
      </c>
      <c r="F2121" s="2">
        <v>0</v>
      </c>
      <c r="G2121">
        <v>2175.84</v>
      </c>
      <c r="H2121">
        <v>2181</v>
      </c>
      <c r="I2121">
        <v>2155.75</v>
      </c>
      <c r="J2121">
        <v>4171942035</v>
      </c>
      <c r="K2121">
        <v>0</v>
      </c>
      <c r="L2121" s="2">
        <f>VLOOKUP(A2121,[1]aaabonddata!$A:$B,2,0)</f>
        <v>2.5299999999999998</v>
      </c>
    </row>
    <row r="2122" spans="1:12" x14ac:dyDescent="0.2">
      <c r="A2122" s="3">
        <v>41849</v>
      </c>
      <c r="B2122" s="2">
        <v>3959.03</v>
      </c>
      <c r="C2122" s="2">
        <v>3983.42</v>
      </c>
      <c r="D2122" s="2">
        <v>3957.22</v>
      </c>
      <c r="E2122" s="2">
        <v>4424323526213</v>
      </c>
      <c r="F2122" s="2">
        <v>323805358</v>
      </c>
      <c r="G2122">
        <v>2168.94</v>
      </c>
      <c r="H2122">
        <v>2185.33</v>
      </c>
      <c r="I2122">
        <v>2167.84</v>
      </c>
      <c r="J2122">
        <v>4158724564</v>
      </c>
      <c r="K2122">
        <v>625782</v>
      </c>
      <c r="L2122" s="2">
        <f>VLOOKUP(A2122,[1]aaabonddata!$A:$B,2,0)</f>
        <v>2.5</v>
      </c>
    </row>
    <row r="2123" spans="1:12" x14ac:dyDescent="0.2">
      <c r="A2123" s="3">
        <v>41850</v>
      </c>
      <c r="B2123" s="2">
        <v>3976.07</v>
      </c>
      <c r="C2123" s="2">
        <v>3989</v>
      </c>
      <c r="D2123" s="2">
        <v>3960.29</v>
      </c>
      <c r="E2123" s="2">
        <v>4443358398937</v>
      </c>
      <c r="F2123" s="2">
        <v>138220853</v>
      </c>
      <c r="G2123">
        <v>2179.4699999999998</v>
      </c>
      <c r="H2123">
        <v>2186.0300000000002</v>
      </c>
      <c r="I2123">
        <v>2170.17</v>
      </c>
      <c r="J2123">
        <v>4178909214</v>
      </c>
      <c r="K2123">
        <v>0</v>
      </c>
      <c r="L2123" s="2">
        <f>VLOOKUP(A2123,[1]aaabonddata!$A:$B,2,0)</f>
        <v>2.57</v>
      </c>
    </row>
    <row r="2124" spans="1:12" x14ac:dyDescent="0.2">
      <c r="A2124" s="3">
        <v>41851</v>
      </c>
      <c r="B2124" s="2">
        <v>3892.5</v>
      </c>
      <c r="C2124" s="2">
        <v>3948.9</v>
      </c>
      <c r="D2124" s="2">
        <v>3889.1</v>
      </c>
      <c r="E2124" s="2">
        <v>4349966186232</v>
      </c>
      <c r="F2124" s="2">
        <v>67863387</v>
      </c>
      <c r="G2124">
        <v>2137.27</v>
      </c>
      <c r="H2124">
        <v>2167.92</v>
      </c>
      <c r="I2124">
        <v>2136.09</v>
      </c>
      <c r="J2124">
        <v>4097999302</v>
      </c>
      <c r="K2124">
        <v>294175</v>
      </c>
      <c r="L2124" s="2">
        <f>VLOOKUP(A2124,[1]aaabonddata!$A:$B,2,0)</f>
        <v>2.59</v>
      </c>
    </row>
    <row r="2125" spans="1:12" x14ac:dyDescent="0.2">
      <c r="A2125" s="3">
        <v>41852</v>
      </c>
      <c r="B2125" s="2">
        <v>3879.67</v>
      </c>
      <c r="C2125" s="2">
        <v>3908.21</v>
      </c>
      <c r="D2125" s="2">
        <v>3855.35</v>
      </c>
      <c r="E2125" s="2">
        <v>4335632447491</v>
      </c>
      <c r="F2125" s="2">
        <v>0</v>
      </c>
      <c r="G2125">
        <v>2128.5500000000002</v>
      </c>
      <c r="H2125">
        <v>2147.87</v>
      </c>
      <c r="I2125">
        <v>2115.86</v>
      </c>
      <c r="J2125">
        <v>4081267706</v>
      </c>
      <c r="K2125">
        <v>0</v>
      </c>
      <c r="L2125" s="2">
        <f>VLOOKUP(A2125,[1]aaabonddata!$A:$B,2,0)</f>
        <v>2.54</v>
      </c>
    </row>
    <row r="2126" spans="1:12" x14ac:dyDescent="0.2">
      <c r="A2126" s="3">
        <v>41855</v>
      </c>
      <c r="B2126" s="2">
        <v>3908.77</v>
      </c>
      <c r="C2126" s="2">
        <v>3922.25</v>
      </c>
      <c r="D2126" s="2">
        <v>3875.1</v>
      </c>
      <c r="E2126" s="2">
        <v>4368152574692</v>
      </c>
      <c r="F2126" s="2">
        <v>77806015</v>
      </c>
      <c r="G2126">
        <v>2143.7199999999998</v>
      </c>
      <c r="H2126">
        <v>2149.9299999999998</v>
      </c>
      <c r="I2126">
        <v>2120.73</v>
      </c>
      <c r="J2126">
        <v>4110366117</v>
      </c>
      <c r="K2126">
        <v>610912</v>
      </c>
      <c r="L2126" s="2">
        <f>VLOOKUP(A2126,[1]aaabonddata!$A:$B,2,0)</f>
        <v>2.5299999999999998</v>
      </c>
    </row>
    <row r="2127" spans="1:12" x14ac:dyDescent="0.2">
      <c r="A2127" s="3">
        <v>41856</v>
      </c>
      <c r="B2127" s="2">
        <v>3874.94</v>
      </c>
      <c r="C2127" s="2">
        <v>3901.17</v>
      </c>
      <c r="D2127" s="2">
        <v>3858.65</v>
      </c>
      <c r="E2127" s="2">
        <v>4330348472340</v>
      </c>
      <c r="F2127" s="2">
        <v>1315778000</v>
      </c>
      <c r="G2127">
        <v>2126.94</v>
      </c>
      <c r="H2127">
        <v>2145.61</v>
      </c>
      <c r="I2127">
        <v>2118.75</v>
      </c>
      <c r="J2127">
        <v>4078180677</v>
      </c>
      <c r="K2127">
        <v>745033</v>
      </c>
      <c r="L2127" s="2">
        <f>VLOOKUP(A2127,[1]aaabonddata!$A:$B,2,0)</f>
        <v>2.5299999999999998</v>
      </c>
    </row>
    <row r="2128" spans="1:12" x14ac:dyDescent="0.2">
      <c r="A2128" s="3">
        <v>41857</v>
      </c>
      <c r="B2128" s="2">
        <v>3874.27</v>
      </c>
      <c r="C2128" s="2">
        <v>3896.65</v>
      </c>
      <c r="D2128" s="2">
        <v>3849.45</v>
      </c>
      <c r="E2128" s="2">
        <v>4329594801714</v>
      </c>
      <c r="F2128" s="2">
        <v>140420447</v>
      </c>
      <c r="G2128">
        <v>2123.36</v>
      </c>
      <c r="H2128">
        <v>2134.9499999999998</v>
      </c>
      <c r="I2128">
        <v>2105.23</v>
      </c>
      <c r="J2128">
        <v>4071329848</v>
      </c>
      <c r="K2128">
        <v>764173</v>
      </c>
      <c r="L2128" s="2">
        <f>VLOOKUP(A2128,[1]aaabonddata!$A:$B,2,0)</f>
        <v>2.52</v>
      </c>
    </row>
    <row r="2129" spans="1:12" x14ac:dyDescent="0.2">
      <c r="A2129" s="3">
        <v>41858</v>
      </c>
      <c r="B2129" s="2">
        <v>3857.94</v>
      </c>
      <c r="C2129" s="2">
        <v>3895.74</v>
      </c>
      <c r="D2129" s="2">
        <v>3845.2</v>
      </c>
      <c r="E2129" s="2">
        <v>4311346940494</v>
      </c>
      <c r="F2129" s="2">
        <v>2890329643</v>
      </c>
      <c r="G2129">
        <v>2109.31</v>
      </c>
      <c r="H2129">
        <v>2137.86</v>
      </c>
      <c r="I2129">
        <v>2102.6</v>
      </c>
      <c r="J2129">
        <v>4044382571</v>
      </c>
      <c r="K2129">
        <v>1030693</v>
      </c>
      <c r="L2129" s="2">
        <f>VLOOKUP(A2129,[1]aaabonddata!$A:$B,2,0)</f>
        <v>2.48</v>
      </c>
    </row>
    <row r="2130" spans="1:12" x14ac:dyDescent="0.2">
      <c r="A2130" s="3">
        <v>41859</v>
      </c>
      <c r="B2130" s="2">
        <v>3888.09</v>
      </c>
      <c r="C2130" s="2">
        <v>3890.63</v>
      </c>
      <c r="D2130" s="2">
        <v>3848.49</v>
      </c>
      <c r="E2130" s="2">
        <v>4345044618752</v>
      </c>
      <c r="F2130" s="2">
        <v>126571521</v>
      </c>
      <c r="G2130">
        <v>2130.0100000000002</v>
      </c>
      <c r="H2130">
        <v>2131.64</v>
      </c>
      <c r="I2130">
        <v>2109.39</v>
      </c>
      <c r="J2130">
        <v>4084072744</v>
      </c>
      <c r="K2130">
        <v>0</v>
      </c>
      <c r="L2130" s="2">
        <f>VLOOKUP(A2130,[1]aaabonddata!$A:$B,2,0)</f>
        <v>2.48</v>
      </c>
    </row>
    <row r="2131" spans="1:12" x14ac:dyDescent="0.2">
      <c r="A2131" s="3">
        <v>41862</v>
      </c>
      <c r="B2131" s="2">
        <v>3910.46</v>
      </c>
      <c r="C2131" s="2">
        <v>3921.19</v>
      </c>
      <c r="D2131" s="2">
        <v>3899.37</v>
      </c>
      <c r="E2131" s="2">
        <v>4370042897811</v>
      </c>
      <c r="F2131" s="2">
        <v>0</v>
      </c>
      <c r="G2131">
        <v>2143.83</v>
      </c>
      <c r="H2131">
        <v>2151.3000000000002</v>
      </c>
      <c r="I2131">
        <v>2136.11</v>
      </c>
      <c r="J2131">
        <v>4110566376</v>
      </c>
      <c r="K2131">
        <v>0</v>
      </c>
      <c r="L2131" s="2">
        <f>VLOOKUP(A2131,[1]aaabonddata!$A:$B,2,0)</f>
        <v>2.4900000000000002</v>
      </c>
    </row>
    <row r="2132" spans="1:12" x14ac:dyDescent="0.2">
      <c r="A2132" s="3">
        <v>41863</v>
      </c>
      <c r="B2132" s="2">
        <v>3905.22</v>
      </c>
      <c r="C2132" s="2">
        <v>3916.73</v>
      </c>
      <c r="D2132" s="2">
        <v>3887.58</v>
      </c>
      <c r="E2132" s="2">
        <v>4364190973251</v>
      </c>
      <c r="F2132" s="2">
        <v>461783205</v>
      </c>
      <c r="G2132">
        <v>2137.9299999999998</v>
      </c>
      <c r="H2132">
        <v>2145.42</v>
      </c>
      <c r="I2132">
        <v>2125.2199999999998</v>
      </c>
      <c r="J2132">
        <v>4099256240</v>
      </c>
      <c r="K2132">
        <v>0</v>
      </c>
      <c r="L2132" s="2">
        <f>VLOOKUP(A2132,[1]aaabonddata!$A:$B,2,0)</f>
        <v>2.5</v>
      </c>
    </row>
    <row r="2133" spans="1:12" x14ac:dyDescent="0.2">
      <c r="A2133" s="3">
        <v>41864</v>
      </c>
      <c r="B2133" s="2">
        <v>3949.2</v>
      </c>
      <c r="C2133" s="2">
        <v>3949.69</v>
      </c>
      <c r="D2133" s="2">
        <v>3921.44</v>
      </c>
      <c r="E2133" s="2">
        <v>4413338211391</v>
      </c>
      <c r="F2133" s="2">
        <v>141903183</v>
      </c>
      <c r="G2133">
        <v>2159.9499999999998</v>
      </c>
      <c r="H2133">
        <v>2160.0100000000002</v>
      </c>
      <c r="I2133">
        <v>2145.56</v>
      </c>
      <c r="J2133">
        <v>4141481019</v>
      </c>
      <c r="K2133">
        <v>565564</v>
      </c>
      <c r="L2133" s="2">
        <f>VLOOKUP(A2133,[1]aaabonddata!$A:$B,2,0)</f>
        <v>2.4700000000000002</v>
      </c>
    </row>
    <row r="2134" spans="1:12" x14ac:dyDescent="0.2">
      <c r="A2134" s="3">
        <v>41865</v>
      </c>
      <c r="B2134" s="2">
        <v>3969.11</v>
      </c>
      <c r="C2134" s="2">
        <v>3969.24</v>
      </c>
      <c r="D2134" s="2">
        <v>3949.08</v>
      </c>
      <c r="E2134" s="2">
        <v>4435588426553</v>
      </c>
      <c r="F2134" s="2">
        <v>105072315</v>
      </c>
      <c r="G2134">
        <v>2167.86</v>
      </c>
      <c r="H2134">
        <v>2168.02</v>
      </c>
      <c r="I2134">
        <v>2158.9</v>
      </c>
      <c r="J2134">
        <v>4156655176</v>
      </c>
      <c r="K2134">
        <v>714286</v>
      </c>
      <c r="L2134" s="2">
        <f>VLOOKUP(A2134,[1]aaabonddata!$A:$B,2,0)</f>
        <v>2.4500000000000002</v>
      </c>
    </row>
    <row r="2135" spans="1:12" x14ac:dyDescent="0.2">
      <c r="A2135" s="3">
        <v>41866</v>
      </c>
      <c r="B2135" s="2">
        <v>3987.51</v>
      </c>
      <c r="C2135" s="2">
        <v>3997.08</v>
      </c>
      <c r="D2135" s="2">
        <v>3951.25</v>
      </c>
      <c r="E2135" s="2">
        <v>4456148210134</v>
      </c>
      <c r="F2135" s="2">
        <v>0</v>
      </c>
      <c r="G2135">
        <v>2174.13</v>
      </c>
      <c r="H2135">
        <v>2185.25</v>
      </c>
      <c r="I2135">
        <v>2155.2800000000002</v>
      </c>
      <c r="J2135">
        <v>4168667886</v>
      </c>
      <c r="K2135">
        <v>0</v>
      </c>
      <c r="L2135" s="2">
        <f>VLOOKUP(A2135,[1]aaabonddata!$A:$B,2,0)</f>
        <v>2.42</v>
      </c>
    </row>
    <row r="2136" spans="1:12" x14ac:dyDescent="0.2">
      <c r="A2136" s="3">
        <v>41869</v>
      </c>
      <c r="B2136" s="2">
        <v>4020.5</v>
      </c>
      <c r="C2136" s="2">
        <v>4022.48</v>
      </c>
      <c r="D2136" s="2">
        <v>4003.46</v>
      </c>
      <c r="E2136" s="2">
        <v>4493009806580</v>
      </c>
      <c r="F2136" s="2">
        <v>0</v>
      </c>
      <c r="G2136">
        <v>2189.7600000000002</v>
      </c>
      <c r="H2136">
        <v>2189.7600000000002</v>
      </c>
      <c r="I2136">
        <v>2177.7199999999998</v>
      </c>
      <c r="J2136">
        <v>4198644520</v>
      </c>
      <c r="K2136">
        <v>0</v>
      </c>
      <c r="L2136" s="2">
        <f>VLOOKUP(A2136,[1]aaabonddata!$A:$B,2,0)</f>
        <v>2.4500000000000002</v>
      </c>
    </row>
    <row r="2137" spans="1:12" x14ac:dyDescent="0.2">
      <c r="A2137" s="3">
        <v>41870</v>
      </c>
      <c r="B2137" s="2">
        <v>4040.13</v>
      </c>
      <c r="C2137" s="2">
        <v>4041.5</v>
      </c>
      <c r="D2137" s="2">
        <v>4024.17</v>
      </c>
      <c r="E2137" s="2">
        <v>4514950766545</v>
      </c>
      <c r="F2137" s="2">
        <v>2730530659</v>
      </c>
      <c r="G2137">
        <v>2201.87</v>
      </c>
      <c r="H2137">
        <v>2203.38</v>
      </c>
      <c r="I2137">
        <v>2190.4499999999998</v>
      </c>
      <c r="J2137">
        <v>4221864484</v>
      </c>
      <c r="K2137">
        <v>3240416</v>
      </c>
      <c r="L2137" s="2">
        <f>VLOOKUP(A2137,[1]aaabonddata!$A:$B,2,0)</f>
        <v>2.4700000000000002</v>
      </c>
    </row>
    <row r="2138" spans="1:12" x14ac:dyDescent="0.2">
      <c r="A2138" s="3">
        <v>41871</v>
      </c>
      <c r="B2138" s="2">
        <v>4040.7</v>
      </c>
      <c r="C2138" s="2">
        <v>4046.97</v>
      </c>
      <c r="D2138" s="2">
        <v>4032.2</v>
      </c>
      <c r="E2138" s="2">
        <v>4515593196926</v>
      </c>
      <c r="F2138" s="2">
        <v>0</v>
      </c>
      <c r="G2138">
        <v>2209.04</v>
      </c>
      <c r="H2138">
        <v>2211.58</v>
      </c>
      <c r="I2138">
        <v>2199.25</v>
      </c>
      <c r="J2138">
        <v>4235608941</v>
      </c>
      <c r="K2138">
        <v>0</v>
      </c>
      <c r="L2138" s="2">
        <f>VLOOKUP(A2138,[1]aaabonddata!$A:$B,2,0)</f>
        <v>2.5</v>
      </c>
    </row>
    <row r="2139" spans="1:12" x14ac:dyDescent="0.2">
      <c r="A2139" s="3">
        <v>41872</v>
      </c>
      <c r="B2139" s="2">
        <v>4047.03</v>
      </c>
      <c r="C2139" s="2">
        <v>4048.95</v>
      </c>
      <c r="D2139" s="2">
        <v>4035.75</v>
      </c>
      <c r="E2139" s="2">
        <v>4522657887660</v>
      </c>
      <c r="F2139" s="2">
        <v>0</v>
      </c>
      <c r="G2139">
        <v>2214.62</v>
      </c>
      <c r="H2139">
        <v>2215.2600000000002</v>
      </c>
      <c r="I2139">
        <v>2206.52</v>
      </c>
      <c r="J2139">
        <v>4246304929</v>
      </c>
      <c r="K2139">
        <v>0</v>
      </c>
      <c r="L2139" s="2">
        <f>VLOOKUP(A2139,[1]aaabonddata!$A:$B,2,0)</f>
        <v>2.4900000000000002</v>
      </c>
    </row>
    <row r="2140" spans="1:12" x14ac:dyDescent="0.2">
      <c r="A2140" s="3">
        <v>41873</v>
      </c>
      <c r="B2140" s="2">
        <v>4052.75</v>
      </c>
      <c r="C2140" s="2">
        <v>4060.9</v>
      </c>
      <c r="D2140" s="2">
        <v>4040.22</v>
      </c>
      <c r="E2140" s="2">
        <v>4529056287985</v>
      </c>
      <c r="F2140" s="2">
        <v>0</v>
      </c>
      <c r="G2140">
        <v>2212.6</v>
      </c>
      <c r="H2140">
        <v>2218.0500000000002</v>
      </c>
      <c r="I2140">
        <v>2209.4899999999998</v>
      </c>
      <c r="J2140">
        <v>4242430297</v>
      </c>
      <c r="K2140">
        <v>0</v>
      </c>
      <c r="L2140" s="2">
        <f>VLOOKUP(A2140,[1]aaabonddata!$A:$B,2,0)</f>
        <v>2.5</v>
      </c>
    </row>
    <row r="2141" spans="1:12" x14ac:dyDescent="0.2">
      <c r="A2141" s="3">
        <v>41876</v>
      </c>
      <c r="B2141" s="2">
        <v>4067.48</v>
      </c>
      <c r="C2141" s="2">
        <v>4079.52</v>
      </c>
      <c r="D2141" s="2">
        <v>4058.6</v>
      </c>
      <c r="E2141" s="2">
        <v>4545510991763</v>
      </c>
      <c r="F2141" s="2">
        <v>253736239</v>
      </c>
      <c r="G2141">
        <v>2210.4899999999998</v>
      </c>
      <c r="H2141">
        <v>2222.69</v>
      </c>
      <c r="I2141">
        <v>2205.79</v>
      </c>
      <c r="J2141">
        <v>4238381891</v>
      </c>
      <c r="K2141">
        <v>674764</v>
      </c>
      <c r="L2141" s="2">
        <f>VLOOKUP(A2141,[1]aaabonddata!$A:$B,2,0)</f>
        <v>2.5</v>
      </c>
    </row>
    <row r="2142" spans="1:12" x14ac:dyDescent="0.2">
      <c r="A2142" s="3">
        <v>41877</v>
      </c>
      <c r="B2142" s="2">
        <v>4071.67</v>
      </c>
      <c r="C2142" s="2">
        <v>4076.54</v>
      </c>
      <c r="D2142" s="2">
        <v>4062.73</v>
      </c>
      <c r="E2142" s="2">
        <v>4550197763734</v>
      </c>
      <c r="F2142" s="2">
        <v>0</v>
      </c>
      <c r="G2142">
        <v>2213.5</v>
      </c>
      <c r="H2142">
        <v>2217.5</v>
      </c>
      <c r="I2142">
        <v>2211.63</v>
      </c>
      <c r="J2142">
        <v>4244152765</v>
      </c>
      <c r="K2142">
        <v>0</v>
      </c>
      <c r="L2142" s="2">
        <f>VLOOKUP(A2142,[1]aaabonddata!$A:$B,2,0)</f>
        <v>2.5</v>
      </c>
    </row>
    <row r="2143" spans="1:12" x14ac:dyDescent="0.2">
      <c r="A2143" s="3">
        <v>41878</v>
      </c>
      <c r="B2143" s="2">
        <v>4073.18</v>
      </c>
      <c r="C2143" s="2">
        <v>4078.19</v>
      </c>
      <c r="D2143" s="2">
        <v>4064.06</v>
      </c>
      <c r="E2143" s="2">
        <v>4551881859604</v>
      </c>
      <c r="F2143" s="2">
        <v>91533560</v>
      </c>
      <c r="G2143">
        <v>2210.77</v>
      </c>
      <c r="H2143">
        <v>2217.8000000000002</v>
      </c>
      <c r="I2143">
        <v>2206.65</v>
      </c>
      <c r="J2143">
        <v>4238917120</v>
      </c>
      <c r="K2143">
        <v>313480</v>
      </c>
      <c r="L2143" s="2">
        <f>VLOOKUP(A2143,[1]aaabonddata!$A:$B,2,0)</f>
        <v>2.48</v>
      </c>
    </row>
    <row r="2144" spans="1:12" x14ac:dyDescent="0.2">
      <c r="A2144" s="3">
        <v>41879</v>
      </c>
      <c r="B2144" s="2">
        <v>4066.27</v>
      </c>
      <c r="C2144" s="2">
        <v>4072.29</v>
      </c>
      <c r="D2144" s="2">
        <v>4054.61</v>
      </c>
      <c r="E2144" s="2">
        <v>4544166718116</v>
      </c>
      <c r="F2144" s="2">
        <v>0</v>
      </c>
      <c r="G2144">
        <v>2212.0500000000002</v>
      </c>
      <c r="H2144">
        <v>2213.9499999999998</v>
      </c>
      <c r="I2144">
        <v>2197.63</v>
      </c>
      <c r="J2144">
        <v>4241386327</v>
      </c>
      <c r="K2144">
        <v>0</v>
      </c>
      <c r="L2144" s="2">
        <f>VLOOKUP(A2144,[1]aaabonddata!$A:$B,2,0)</f>
        <v>2.46</v>
      </c>
    </row>
    <row r="2145" spans="1:12" x14ac:dyDescent="0.2">
      <c r="A2145" s="3">
        <v>41880</v>
      </c>
      <c r="B2145" s="2">
        <v>4082.56</v>
      </c>
      <c r="C2145" s="2">
        <v>4082.97</v>
      </c>
      <c r="D2145" s="2">
        <v>4062.18</v>
      </c>
      <c r="E2145" s="2">
        <v>4562366412054</v>
      </c>
      <c r="F2145" s="2">
        <v>708906883</v>
      </c>
      <c r="G2145">
        <v>2226.98</v>
      </c>
      <c r="H2145">
        <v>2227.81</v>
      </c>
      <c r="I2145">
        <v>2215.46</v>
      </c>
      <c r="J2145">
        <v>4270012130</v>
      </c>
      <c r="K2145">
        <v>525920</v>
      </c>
      <c r="L2145" s="2">
        <f>VLOOKUP(A2145,[1]aaabonddata!$A:$B,2,0)</f>
        <v>2.46</v>
      </c>
    </row>
    <row r="2146" spans="1:12" x14ac:dyDescent="0.2">
      <c r="A2146" s="3">
        <v>41884</v>
      </c>
      <c r="B2146" s="2">
        <v>4095.81</v>
      </c>
      <c r="C2146" s="2">
        <v>4095.87</v>
      </c>
      <c r="D2146" s="2">
        <v>4078.19</v>
      </c>
      <c r="E2146" s="2">
        <v>4577174456531</v>
      </c>
      <c r="F2146" s="2">
        <v>0</v>
      </c>
      <c r="G2146">
        <v>2231.89</v>
      </c>
      <c r="H2146">
        <v>2235.15</v>
      </c>
      <c r="I2146">
        <v>2221.4499999999998</v>
      </c>
      <c r="J2146">
        <v>4279414318</v>
      </c>
      <c r="K2146">
        <v>0</v>
      </c>
      <c r="L2146" s="2">
        <f>VLOOKUP(A2146,[1]aaabonddata!$A:$B,2,0)</f>
        <v>2.52</v>
      </c>
    </row>
    <row r="2147" spans="1:12" x14ac:dyDescent="0.2">
      <c r="A2147" s="3">
        <v>41885</v>
      </c>
      <c r="B2147" s="2">
        <v>4070.96</v>
      </c>
      <c r="C2147" s="2">
        <v>4104.43</v>
      </c>
      <c r="D2147" s="2">
        <v>4063.49</v>
      </c>
      <c r="E2147" s="2">
        <v>4549401367180</v>
      </c>
      <c r="F2147" s="2">
        <v>210667208</v>
      </c>
      <c r="G2147">
        <v>2233.91</v>
      </c>
      <c r="H2147">
        <v>2243.58</v>
      </c>
      <c r="I2147">
        <v>2230.11</v>
      </c>
      <c r="J2147">
        <v>4283295672</v>
      </c>
      <c r="K2147">
        <v>676541</v>
      </c>
      <c r="L2147" s="2">
        <f>VLOOKUP(A2147,[1]aaabonddata!$A:$B,2,0)</f>
        <v>2.52</v>
      </c>
    </row>
    <row r="2148" spans="1:12" x14ac:dyDescent="0.2">
      <c r="A2148" s="3">
        <v>41886</v>
      </c>
      <c r="B2148" s="2">
        <v>4066.13</v>
      </c>
      <c r="C2148" s="2">
        <v>4100.78</v>
      </c>
      <c r="D2148" s="2">
        <v>4056.53</v>
      </c>
      <c r="E2148" s="2">
        <v>4544008308239</v>
      </c>
      <c r="F2148" s="2">
        <v>0</v>
      </c>
      <c r="G2148">
        <v>2236.37</v>
      </c>
      <c r="H2148">
        <v>2250.7800000000002</v>
      </c>
      <c r="I2148">
        <v>2230.56</v>
      </c>
      <c r="J2148">
        <v>4288013700</v>
      </c>
      <c r="K2148">
        <v>0</v>
      </c>
      <c r="L2148" s="2">
        <f>VLOOKUP(A2148,[1]aaabonddata!$A:$B,2,0)</f>
        <v>2.5499999999999998</v>
      </c>
    </row>
    <row r="2149" spans="1:12" x14ac:dyDescent="0.2">
      <c r="A2149" s="3">
        <v>41887</v>
      </c>
      <c r="B2149" s="2">
        <v>4089.92</v>
      </c>
      <c r="C2149" s="2">
        <v>4089.98</v>
      </c>
      <c r="D2149" s="2">
        <v>4051.75</v>
      </c>
      <c r="E2149" s="2">
        <v>4570591030484</v>
      </c>
      <c r="F2149" s="2">
        <v>0</v>
      </c>
      <c r="G2149">
        <v>2255.85</v>
      </c>
      <c r="H2149">
        <v>2255.87</v>
      </c>
      <c r="I2149">
        <v>2236.54</v>
      </c>
      <c r="J2149">
        <v>4325366678</v>
      </c>
      <c r="K2149">
        <v>0</v>
      </c>
      <c r="L2149" s="2">
        <f>VLOOKUP(A2149,[1]aaabonddata!$A:$B,2,0)</f>
        <v>2.54</v>
      </c>
    </row>
    <row r="2150" spans="1:12" x14ac:dyDescent="0.2">
      <c r="A2150" s="3">
        <v>41890</v>
      </c>
      <c r="B2150" s="2">
        <v>4095.46</v>
      </c>
      <c r="C2150" s="2">
        <v>4105.5</v>
      </c>
      <c r="D2150" s="2">
        <v>4076.63</v>
      </c>
      <c r="E2150" s="2">
        <v>4576789380136</v>
      </c>
      <c r="F2150" s="2">
        <v>178479714</v>
      </c>
      <c r="G2150">
        <v>2263.4499999999998</v>
      </c>
      <c r="H2150">
        <v>2272.4899999999998</v>
      </c>
      <c r="I2150">
        <v>2253.33</v>
      </c>
      <c r="J2150">
        <v>4339925286</v>
      </c>
      <c r="K2150">
        <v>0</v>
      </c>
      <c r="L2150" s="2">
        <f>VLOOKUP(A2150,[1]aaabonddata!$A:$B,2,0)</f>
        <v>2.5499999999999998</v>
      </c>
    </row>
    <row r="2151" spans="1:12" x14ac:dyDescent="0.2">
      <c r="A2151" s="3">
        <v>41891</v>
      </c>
      <c r="B2151" s="2">
        <v>4061.88</v>
      </c>
      <c r="C2151" s="2">
        <v>4110.8599999999997</v>
      </c>
      <c r="D2151" s="2">
        <v>4053.11</v>
      </c>
      <c r="E2151" s="2">
        <v>4539257847621</v>
      </c>
      <c r="F2151" s="2">
        <v>0</v>
      </c>
      <c r="G2151">
        <v>2243.1</v>
      </c>
      <c r="H2151">
        <v>2265.04</v>
      </c>
      <c r="I2151">
        <v>2240.5100000000002</v>
      </c>
      <c r="J2151">
        <v>4300904598</v>
      </c>
      <c r="K2151">
        <v>0</v>
      </c>
      <c r="L2151" s="2">
        <f>VLOOKUP(A2151,[1]aaabonddata!$A:$B,2,0)</f>
        <v>2.58</v>
      </c>
    </row>
    <row r="2152" spans="1:12" x14ac:dyDescent="0.2">
      <c r="A2152" s="3">
        <v>41892</v>
      </c>
      <c r="B2152" s="2">
        <v>4094.97</v>
      </c>
      <c r="C2152" s="2">
        <v>4095.91</v>
      </c>
      <c r="D2152" s="2">
        <v>4054.61</v>
      </c>
      <c r="E2152" s="2">
        <v>4576236816331</v>
      </c>
      <c r="F2152" s="2">
        <v>231409071</v>
      </c>
      <c r="G2152">
        <v>2252.34</v>
      </c>
      <c r="H2152">
        <v>2253.9299999999998</v>
      </c>
      <c r="I2152">
        <v>2237.02</v>
      </c>
      <c r="J2152">
        <v>4318637178</v>
      </c>
      <c r="K2152">
        <v>0</v>
      </c>
      <c r="L2152" s="2">
        <f>VLOOKUP(A2152,[1]aaabonddata!$A:$B,2,0)</f>
        <v>2.61</v>
      </c>
    </row>
    <row r="2153" spans="1:12" x14ac:dyDescent="0.2">
      <c r="A2153" s="3">
        <v>41893</v>
      </c>
      <c r="B2153" s="2">
        <v>4092.65</v>
      </c>
      <c r="C2153" s="2">
        <v>4092.79</v>
      </c>
      <c r="D2153" s="2">
        <v>4060.92</v>
      </c>
      <c r="E2153" s="2">
        <v>4573639641001</v>
      </c>
      <c r="F2153" s="2">
        <v>218517321</v>
      </c>
      <c r="G2153">
        <v>2254.92</v>
      </c>
      <c r="H2153">
        <v>2255.0100000000002</v>
      </c>
      <c r="I2153">
        <v>2237.86</v>
      </c>
      <c r="J2153">
        <v>4323581847</v>
      </c>
      <c r="K2153">
        <v>799334</v>
      </c>
      <c r="L2153" s="2">
        <f>VLOOKUP(A2153,[1]aaabonddata!$A:$B,2,0)</f>
        <v>2.6</v>
      </c>
    </row>
    <row r="2154" spans="1:12" x14ac:dyDescent="0.2">
      <c r="A2154" s="3">
        <v>41894</v>
      </c>
      <c r="B2154" s="2">
        <v>4069.23</v>
      </c>
      <c r="C2154" s="2">
        <v>4089.62</v>
      </c>
      <c r="D2154" s="2">
        <v>4057.53</v>
      </c>
      <c r="E2154" s="2">
        <v>4547474863157</v>
      </c>
      <c r="F2154" s="2">
        <v>0</v>
      </c>
      <c r="G2154">
        <v>2241.0700000000002</v>
      </c>
      <c r="H2154">
        <v>2253.86</v>
      </c>
      <c r="I2154">
        <v>2235.7800000000002</v>
      </c>
      <c r="J2154">
        <v>4297019397</v>
      </c>
      <c r="K2154">
        <v>0</v>
      </c>
      <c r="L2154" s="2">
        <f>VLOOKUP(A2154,[1]aaabonddata!$A:$B,2,0)</f>
        <v>2.65</v>
      </c>
    </row>
    <row r="2155" spans="1:12" x14ac:dyDescent="0.2">
      <c r="A2155" s="3">
        <v>41897</v>
      </c>
      <c r="B2155" s="2">
        <v>4029.89</v>
      </c>
      <c r="C2155" s="2">
        <v>4070.82</v>
      </c>
      <c r="D2155" s="2">
        <v>4018.3</v>
      </c>
      <c r="E2155" s="2">
        <v>4503503295859</v>
      </c>
      <c r="F2155" s="2">
        <v>0</v>
      </c>
      <c r="G2155">
        <v>2216.15</v>
      </c>
      <c r="H2155">
        <v>2244.21</v>
      </c>
      <c r="I2155">
        <v>2212.63</v>
      </c>
      <c r="J2155">
        <v>4249238629</v>
      </c>
      <c r="K2155">
        <v>0</v>
      </c>
      <c r="L2155" s="2">
        <f>VLOOKUP(A2155,[1]aaabonddata!$A:$B,2,0)</f>
        <v>2.63</v>
      </c>
    </row>
    <row r="2156" spans="1:12" x14ac:dyDescent="0.2">
      <c r="A2156" s="3">
        <v>41898</v>
      </c>
      <c r="B2156" s="2">
        <v>4067.27</v>
      </c>
      <c r="C2156" s="2">
        <v>4073.14</v>
      </c>
      <c r="D2156" s="2">
        <v>4009.98</v>
      </c>
      <c r="E2156" s="2">
        <v>4545285049426</v>
      </c>
      <c r="F2156" s="2">
        <v>0</v>
      </c>
      <c r="G2156">
        <v>2240.48</v>
      </c>
      <c r="H2156">
        <v>2243.19</v>
      </c>
      <c r="I2156">
        <v>2211.08</v>
      </c>
      <c r="J2156">
        <v>4295896027</v>
      </c>
      <c r="K2156">
        <v>0</v>
      </c>
      <c r="L2156" s="2">
        <f>VLOOKUP(A2156,[1]aaabonddata!$A:$B,2,0)</f>
        <v>2.62</v>
      </c>
    </row>
    <row r="2157" spans="1:12" x14ac:dyDescent="0.2">
      <c r="A2157" s="3">
        <v>41899</v>
      </c>
      <c r="B2157" s="2">
        <v>4073.57</v>
      </c>
      <c r="C2157" s="2">
        <v>4090.95</v>
      </c>
      <c r="D2157" s="2">
        <v>4048.58</v>
      </c>
      <c r="E2157" s="2">
        <v>4552318001256</v>
      </c>
      <c r="F2157" s="2">
        <v>79945711</v>
      </c>
      <c r="G2157">
        <v>2246.0100000000002</v>
      </c>
      <c r="H2157">
        <v>2256.96</v>
      </c>
      <c r="I2157">
        <v>2232.8200000000002</v>
      </c>
      <c r="J2157">
        <v>4306494330</v>
      </c>
      <c r="K2157">
        <v>447115</v>
      </c>
      <c r="L2157" s="2">
        <f>VLOOKUP(A2157,[1]aaabonddata!$A:$B,2,0)</f>
        <v>2.64</v>
      </c>
    </row>
    <row r="2158" spans="1:12" x14ac:dyDescent="0.2">
      <c r="A2158" s="3">
        <v>41900</v>
      </c>
      <c r="B2158" s="2">
        <v>4103.08</v>
      </c>
      <c r="C2158" s="2">
        <v>4103.42</v>
      </c>
      <c r="D2158" s="2">
        <v>4080.82</v>
      </c>
      <c r="E2158" s="2">
        <v>4585302824555</v>
      </c>
      <c r="F2158" s="2">
        <v>0</v>
      </c>
      <c r="G2158">
        <v>2272.64</v>
      </c>
      <c r="H2158">
        <v>2272.81</v>
      </c>
      <c r="I2158">
        <v>2251.4499999999998</v>
      </c>
      <c r="J2158">
        <v>4357551818</v>
      </c>
      <c r="K2158">
        <v>0</v>
      </c>
      <c r="L2158" s="2">
        <f>VLOOKUP(A2158,[1]aaabonddata!$A:$B,2,0)</f>
        <v>2.65</v>
      </c>
    </row>
    <row r="2159" spans="1:12" x14ac:dyDescent="0.2">
      <c r="A2159" s="3">
        <v>41901</v>
      </c>
      <c r="B2159" s="2">
        <v>4100.09</v>
      </c>
      <c r="C2159" s="2">
        <v>4118.91</v>
      </c>
      <c r="D2159" s="2">
        <v>4084.45</v>
      </c>
      <c r="E2159" s="2">
        <v>4581961375936</v>
      </c>
      <c r="F2159" s="2">
        <v>0</v>
      </c>
      <c r="G2159">
        <v>2252</v>
      </c>
      <c r="H2159">
        <v>2280.37</v>
      </c>
      <c r="I2159">
        <v>2243.41</v>
      </c>
      <c r="J2159">
        <v>4317969680</v>
      </c>
      <c r="K2159">
        <v>0</v>
      </c>
      <c r="L2159" s="2">
        <f>VLOOKUP(A2159,[1]aaabonddata!$A:$B,2,0)</f>
        <v>2.63</v>
      </c>
    </row>
    <row r="2160" spans="1:12" x14ac:dyDescent="0.2">
      <c r="A2160" s="3">
        <v>41904</v>
      </c>
      <c r="B2160" s="2">
        <v>4061.23</v>
      </c>
      <c r="C2160" s="2">
        <v>4092.14</v>
      </c>
      <c r="D2160" s="2">
        <v>4044.99</v>
      </c>
      <c r="E2160" s="2">
        <v>4523702958224</v>
      </c>
      <c r="F2160" s="2">
        <v>0</v>
      </c>
      <c r="G2160">
        <v>2223.15</v>
      </c>
      <c r="H2160">
        <v>2242.7600000000002</v>
      </c>
      <c r="I2160">
        <v>2217.0300000000002</v>
      </c>
      <c r="J2160">
        <v>4047488619</v>
      </c>
      <c r="K2160">
        <v>0</v>
      </c>
      <c r="L2160" s="2">
        <f>VLOOKUP(A2160,[1]aaabonddata!$A:$B,2,0)</f>
        <v>2.61</v>
      </c>
    </row>
    <row r="2161" spans="1:12" x14ac:dyDescent="0.2">
      <c r="A2161" s="3">
        <v>41905</v>
      </c>
      <c r="B2161" s="2">
        <v>4051.57</v>
      </c>
      <c r="C2161" s="2">
        <v>4069.21</v>
      </c>
      <c r="D2161" s="2">
        <v>4043.26</v>
      </c>
      <c r="E2161" s="2">
        <v>4512941187003</v>
      </c>
      <c r="F2161" s="2">
        <v>0</v>
      </c>
      <c r="G2161">
        <v>2216.5100000000002</v>
      </c>
      <c r="H2161">
        <v>2231.48</v>
      </c>
      <c r="I2161">
        <v>2211.9</v>
      </c>
      <c r="J2161">
        <v>4035396275</v>
      </c>
      <c r="K2161">
        <v>0</v>
      </c>
      <c r="L2161" s="2">
        <f>VLOOKUP(A2161,[1]aaabonddata!$A:$B,2,0)</f>
        <v>2.58</v>
      </c>
    </row>
    <row r="2162" spans="1:12" x14ac:dyDescent="0.2">
      <c r="A2162" s="3">
        <v>41906</v>
      </c>
      <c r="B2162" s="2">
        <v>4094.31</v>
      </c>
      <c r="C2162" s="2">
        <v>4096.2700000000004</v>
      </c>
      <c r="D2162" s="2">
        <v>4041.72</v>
      </c>
      <c r="E2162" s="2">
        <v>4560548135780</v>
      </c>
      <c r="F2162" s="2">
        <v>120653565</v>
      </c>
      <c r="G2162">
        <v>2238.71</v>
      </c>
      <c r="H2162">
        <v>2240.0700000000002</v>
      </c>
      <c r="I2162">
        <v>2212.0500000000002</v>
      </c>
      <c r="J2162">
        <v>4075817892</v>
      </c>
      <c r="K2162">
        <v>0</v>
      </c>
      <c r="L2162" s="2">
        <f>VLOOKUP(A2162,[1]aaabonddata!$A:$B,2,0)</f>
        <v>2.61</v>
      </c>
    </row>
    <row r="2163" spans="1:12" x14ac:dyDescent="0.2">
      <c r="A2163" s="3">
        <v>41907</v>
      </c>
      <c r="B2163" s="2">
        <v>4007.82</v>
      </c>
      <c r="C2163" s="2">
        <v>4087.19</v>
      </c>
      <c r="D2163" s="2">
        <v>4007.63</v>
      </c>
      <c r="E2163" s="2">
        <v>4464207321453</v>
      </c>
      <c r="F2163" s="2">
        <v>0</v>
      </c>
      <c r="G2163">
        <v>2195.27</v>
      </c>
      <c r="H2163">
        <v>2235.96</v>
      </c>
      <c r="I2163">
        <v>2192.92</v>
      </c>
      <c r="J2163">
        <v>3996732778</v>
      </c>
      <c r="K2163">
        <v>0</v>
      </c>
      <c r="L2163" s="2">
        <f>VLOOKUP(A2163,[1]aaabonddata!$A:$B,2,0)</f>
        <v>2.57</v>
      </c>
    </row>
    <row r="2164" spans="1:12" x14ac:dyDescent="0.2">
      <c r="A2164" s="3">
        <v>41908</v>
      </c>
      <c r="B2164" s="2">
        <v>4053.72</v>
      </c>
      <c r="C2164" s="2">
        <v>4057.47</v>
      </c>
      <c r="D2164" s="2">
        <v>4015.02</v>
      </c>
      <c r="E2164" s="2">
        <v>4515331908179</v>
      </c>
      <c r="F2164" s="2">
        <v>252883257</v>
      </c>
      <c r="G2164">
        <v>2219.7199999999998</v>
      </c>
      <c r="H2164">
        <v>2223.59</v>
      </c>
      <c r="I2164">
        <v>2201.41</v>
      </c>
      <c r="J2164">
        <v>4041233018</v>
      </c>
      <c r="K2164">
        <v>0</v>
      </c>
      <c r="L2164" s="2">
        <f>VLOOKUP(A2164,[1]aaabonddata!$A:$B,2,0)</f>
        <v>2.59</v>
      </c>
    </row>
    <row r="2165" spans="1:12" x14ac:dyDescent="0.2">
      <c r="A2165" s="3">
        <v>41911</v>
      </c>
      <c r="B2165" s="2">
        <v>4047.18</v>
      </c>
      <c r="C2165" s="2">
        <v>4056.43</v>
      </c>
      <c r="D2165" s="2">
        <v>4008.58</v>
      </c>
      <c r="E2165" s="2">
        <v>4508043075884</v>
      </c>
      <c r="F2165" s="2">
        <v>483654699</v>
      </c>
      <c r="G2165">
        <v>2221.88</v>
      </c>
      <c r="H2165">
        <v>2226.35</v>
      </c>
      <c r="I2165">
        <v>2194.29</v>
      </c>
      <c r="J2165">
        <v>4045165485</v>
      </c>
      <c r="K2165">
        <v>0</v>
      </c>
      <c r="L2165" s="2">
        <f>VLOOKUP(A2165,[1]aaabonddata!$A:$B,2,0)</f>
        <v>2.56</v>
      </c>
    </row>
    <row r="2166" spans="1:12" x14ac:dyDescent="0.2">
      <c r="A2166" s="3">
        <v>41912</v>
      </c>
      <c r="B2166" s="2">
        <v>4049.44</v>
      </c>
      <c r="C2166" s="2">
        <v>4070.44</v>
      </c>
      <c r="D2166" s="2">
        <v>4031.7</v>
      </c>
      <c r="E2166" s="2">
        <v>4510570847364</v>
      </c>
      <c r="F2166" s="2">
        <v>973311037</v>
      </c>
      <c r="G2166">
        <v>2216.81</v>
      </c>
      <c r="H2166">
        <v>2229.7199999999998</v>
      </c>
      <c r="I2166">
        <v>2207.0700000000002</v>
      </c>
      <c r="J2166">
        <v>4035943432</v>
      </c>
      <c r="K2166">
        <v>753968</v>
      </c>
      <c r="L2166" s="2">
        <f>VLOOKUP(A2166,[1]aaabonddata!$A:$B,2,0)</f>
        <v>2.68</v>
      </c>
    </row>
    <row r="2167" spans="1:12" x14ac:dyDescent="0.2">
      <c r="A2167" s="3">
        <v>41913</v>
      </c>
      <c r="B2167" s="2">
        <v>3984.74</v>
      </c>
      <c r="C2167" s="2">
        <v>4043.44</v>
      </c>
      <c r="D2167" s="2">
        <v>3972.9</v>
      </c>
      <c r="E2167" s="2">
        <v>4433675931268</v>
      </c>
      <c r="F2167" s="2">
        <v>134210086</v>
      </c>
      <c r="G2167">
        <v>2170.5100000000002</v>
      </c>
      <c r="H2167">
        <v>2210.84</v>
      </c>
      <c r="I2167">
        <v>2165.31</v>
      </c>
      <c r="J2167">
        <v>3951650140</v>
      </c>
      <c r="K2167">
        <v>406009</v>
      </c>
      <c r="L2167" s="2">
        <f>VLOOKUP(A2167,[1]aaabonddata!$A:$B,2,0)</f>
        <v>2.61</v>
      </c>
    </row>
    <row r="2168" spans="1:12" x14ac:dyDescent="0.2">
      <c r="A2168" s="3">
        <v>41914</v>
      </c>
      <c r="B2168" s="2">
        <v>3985.87</v>
      </c>
      <c r="C2168" s="2">
        <v>3996.75</v>
      </c>
      <c r="D2168" s="2">
        <v>3934.94</v>
      </c>
      <c r="E2168" s="2">
        <v>4434926519484</v>
      </c>
      <c r="F2168" s="2">
        <v>0</v>
      </c>
      <c r="G2168">
        <v>2169.4699999999998</v>
      </c>
      <c r="H2168">
        <v>2176.27</v>
      </c>
      <c r="I2168">
        <v>2135.0300000000002</v>
      </c>
      <c r="J2168">
        <v>3949751613</v>
      </c>
      <c r="K2168">
        <v>0</v>
      </c>
      <c r="L2168" s="2">
        <f>VLOOKUP(A2168,[1]aaabonddata!$A:$B,2,0)</f>
        <v>2.63</v>
      </c>
    </row>
    <row r="2169" spans="1:12" x14ac:dyDescent="0.2">
      <c r="A2169" s="3">
        <v>41915</v>
      </c>
      <c r="B2169" s="2">
        <v>4027.31</v>
      </c>
      <c r="C2169" s="2">
        <v>4040.56</v>
      </c>
      <c r="D2169" s="2">
        <v>3995.81</v>
      </c>
      <c r="E2169" s="2">
        <v>4481035459133</v>
      </c>
      <c r="F2169" s="2">
        <v>0</v>
      </c>
      <c r="G2169">
        <v>2186.16</v>
      </c>
      <c r="H2169">
        <v>2195.33</v>
      </c>
      <c r="I2169">
        <v>2174.96</v>
      </c>
      <c r="J2169">
        <v>3980140221</v>
      </c>
      <c r="K2169">
        <v>0</v>
      </c>
      <c r="L2169" s="2">
        <f>VLOOKUP(A2169,[1]aaabonddata!$A:$B,2,0)</f>
        <v>2.65</v>
      </c>
    </row>
    <row r="2170" spans="1:12" x14ac:dyDescent="0.2">
      <c r="A2170" s="3">
        <v>41918</v>
      </c>
      <c r="B2170" s="2">
        <v>4016.27</v>
      </c>
      <c r="C2170" s="2">
        <v>4046.71</v>
      </c>
      <c r="D2170" s="2">
        <v>4004.21</v>
      </c>
      <c r="E2170" s="2">
        <v>4468750427552</v>
      </c>
      <c r="F2170" s="2">
        <v>0</v>
      </c>
      <c r="G2170">
        <v>2174.0700000000002</v>
      </c>
      <c r="H2170">
        <v>2197.66</v>
      </c>
      <c r="I2170">
        <v>2165.48</v>
      </c>
      <c r="J2170">
        <v>3958122453</v>
      </c>
      <c r="K2170">
        <v>0</v>
      </c>
      <c r="L2170" s="2">
        <f>VLOOKUP(A2170,[1]aaabonddata!$A:$B,2,0)</f>
        <v>2.62</v>
      </c>
    </row>
    <row r="2171" spans="1:12" x14ac:dyDescent="0.2">
      <c r="A2171" s="3">
        <v>41919</v>
      </c>
      <c r="B2171" s="2">
        <v>3958.59</v>
      </c>
      <c r="C2171" s="2">
        <v>4007.94</v>
      </c>
      <c r="D2171" s="2">
        <v>3958.44</v>
      </c>
      <c r="E2171" s="2">
        <v>4404575339254</v>
      </c>
      <c r="F2171" s="2">
        <v>0</v>
      </c>
      <c r="G2171">
        <v>2135.2800000000002</v>
      </c>
      <c r="H2171">
        <v>2168.6999999999998</v>
      </c>
      <c r="I2171">
        <v>2134.98</v>
      </c>
      <c r="J2171">
        <v>3887501786</v>
      </c>
      <c r="K2171">
        <v>0</v>
      </c>
      <c r="L2171" s="2">
        <f>VLOOKUP(A2171,[1]aaabonddata!$A:$B,2,0)</f>
        <v>2.57</v>
      </c>
    </row>
    <row r="2172" spans="1:12" x14ac:dyDescent="0.2">
      <c r="A2172" s="3">
        <v>41920</v>
      </c>
      <c r="B2172" s="2">
        <v>4041.12</v>
      </c>
      <c r="C2172" s="2">
        <v>4048.79</v>
      </c>
      <c r="D2172" s="2">
        <v>3938.16</v>
      </c>
      <c r="E2172" s="2">
        <v>4496407847442</v>
      </c>
      <c r="F2172" s="2">
        <v>123648971</v>
      </c>
      <c r="G2172">
        <v>2176.5700000000002</v>
      </c>
      <c r="H2172">
        <v>2179.5500000000002</v>
      </c>
      <c r="I2172">
        <v>2116.4299999999998</v>
      </c>
      <c r="J2172">
        <v>3962676431</v>
      </c>
      <c r="K2172">
        <v>672005</v>
      </c>
      <c r="L2172" s="2">
        <f>VLOOKUP(A2172,[1]aaabonddata!$A:$B,2,0)</f>
        <v>2.54</v>
      </c>
    </row>
    <row r="2173" spans="1:12" x14ac:dyDescent="0.2">
      <c r="A2173" s="3">
        <v>41921</v>
      </c>
      <c r="B2173" s="2">
        <v>3969.32</v>
      </c>
      <c r="C2173" s="2">
        <v>4040.54</v>
      </c>
      <c r="D2173" s="2">
        <v>3965.37</v>
      </c>
      <c r="E2173" s="2">
        <v>4416516724160</v>
      </c>
      <c r="F2173" s="2">
        <v>0</v>
      </c>
      <c r="G2173">
        <v>2126.7600000000002</v>
      </c>
      <c r="H2173">
        <v>2173.21</v>
      </c>
      <c r="I2173">
        <v>2124.87</v>
      </c>
      <c r="J2173">
        <v>3872003075</v>
      </c>
      <c r="K2173">
        <v>0</v>
      </c>
      <c r="L2173" s="2">
        <f>VLOOKUP(A2173,[1]aaabonddata!$A:$B,2,0)</f>
        <v>2.54</v>
      </c>
    </row>
    <row r="2174" spans="1:12" x14ac:dyDescent="0.2">
      <c r="A2174" s="3">
        <v>41922</v>
      </c>
      <c r="B2174" s="2">
        <v>3870.85</v>
      </c>
      <c r="C2174" s="2">
        <v>3969.48</v>
      </c>
      <c r="D2174" s="2">
        <v>3870.85</v>
      </c>
      <c r="E2174" s="2">
        <v>4306956764964</v>
      </c>
      <c r="F2174" s="2">
        <v>0</v>
      </c>
      <c r="G2174">
        <v>2032.76</v>
      </c>
      <c r="H2174">
        <v>2094.02</v>
      </c>
      <c r="I2174">
        <v>2032.76</v>
      </c>
      <c r="J2174">
        <v>3700850433</v>
      </c>
      <c r="K2174">
        <v>0</v>
      </c>
      <c r="L2174" s="2">
        <f>VLOOKUP(A2174,[1]aaabonddata!$A:$B,2,0)</f>
        <v>2.5299999999999998</v>
      </c>
    </row>
    <row r="2175" spans="1:12" x14ac:dyDescent="0.2">
      <c r="A2175" s="3">
        <v>41925</v>
      </c>
      <c r="B2175" s="2">
        <v>3808</v>
      </c>
      <c r="C2175" s="2">
        <v>3893.66</v>
      </c>
      <c r="D2175" s="2">
        <v>3807.89</v>
      </c>
      <c r="E2175" s="2">
        <v>4237015402882</v>
      </c>
      <c r="F2175" s="2">
        <v>0</v>
      </c>
      <c r="G2175">
        <v>2001.32</v>
      </c>
      <c r="H2175">
        <v>2052.5100000000002</v>
      </c>
      <c r="I2175">
        <v>2000.72</v>
      </c>
      <c r="J2175">
        <v>3643623017</v>
      </c>
      <c r="K2175">
        <v>0</v>
      </c>
      <c r="L2175" s="2">
        <f>VLOOKUP(A2175,[1]aaabonddata!$A:$B,2,0)</f>
        <v>2.52</v>
      </c>
    </row>
    <row r="2176" spans="1:12" x14ac:dyDescent="0.2">
      <c r="A2176" s="3">
        <v>41926</v>
      </c>
      <c r="B2176" s="2">
        <v>3810.45</v>
      </c>
      <c r="C2176" s="2">
        <v>3860.04</v>
      </c>
      <c r="D2176" s="2">
        <v>3801.16</v>
      </c>
      <c r="E2176" s="2">
        <v>4239748786322</v>
      </c>
      <c r="F2176" s="2">
        <v>0</v>
      </c>
      <c r="G2176">
        <v>2014.61</v>
      </c>
      <c r="H2176">
        <v>2043.7</v>
      </c>
      <c r="I2176">
        <v>2007.47</v>
      </c>
      <c r="J2176">
        <v>3667815494</v>
      </c>
      <c r="K2176">
        <v>0</v>
      </c>
      <c r="L2176" s="2">
        <f>VLOOKUP(A2176,[1]aaabonddata!$A:$B,2,0)</f>
        <v>2.44</v>
      </c>
    </row>
    <row r="2177" spans="1:12" x14ac:dyDescent="0.2">
      <c r="A2177" s="3">
        <v>41927</v>
      </c>
      <c r="B2177" s="2">
        <v>3785.97</v>
      </c>
      <c r="C2177" s="2">
        <v>3801.42</v>
      </c>
      <c r="D2177" s="2">
        <v>3700.22</v>
      </c>
      <c r="E2177" s="2">
        <v>4228869321508</v>
      </c>
      <c r="F2177" s="2">
        <v>326684046</v>
      </c>
      <c r="G2177">
        <v>2017.03</v>
      </c>
      <c r="H2177">
        <v>2026.13</v>
      </c>
      <c r="I2177">
        <v>1966.2</v>
      </c>
      <c r="J2177">
        <v>3672213103</v>
      </c>
      <c r="K2177">
        <v>0</v>
      </c>
      <c r="L2177" s="2">
        <f>VLOOKUP(A2177,[1]aaabonddata!$A:$B,2,0)</f>
        <v>2.37</v>
      </c>
    </row>
    <row r="2178" spans="1:12" x14ac:dyDescent="0.2">
      <c r="A2178" s="3">
        <v>41928</v>
      </c>
      <c r="B2178" s="2">
        <v>3765.28</v>
      </c>
      <c r="C2178" s="2">
        <v>3795.08</v>
      </c>
      <c r="D2178" s="2">
        <v>3704.82</v>
      </c>
      <c r="E2178" s="2">
        <v>4205755256140</v>
      </c>
      <c r="F2178" s="2">
        <v>0</v>
      </c>
      <c r="G2178">
        <v>2023.41</v>
      </c>
      <c r="H2178">
        <v>2037.99</v>
      </c>
      <c r="I2178">
        <v>1979.44</v>
      </c>
      <c r="J2178">
        <v>3683830519</v>
      </c>
      <c r="K2178">
        <v>0</v>
      </c>
      <c r="L2178" s="2">
        <f>VLOOKUP(A2178,[1]aaabonddata!$A:$B,2,0)</f>
        <v>2.4300000000000002</v>
      </c>
    </row>
    <row r="2179" spans="1:12" x14ac:dyDescent="0.2">
      <c r="A2179" s="3">
        <v>41929</v>
      </c>
      <c r="B2179" s="2">
        <v>3815.47</v>
      </c>
      <c r="C2179" s="2">
        <v>3848.98</v>
      </c>
      <c r="D2179" s="2">
        <v>3791.16</v>
      </c>
      <c r="E2179" s="2">
        <v>4261816494959</v>
      </c>
      <c r="F2179" s="2">
        <v>0</v>
      </c>
      <c r="G2179">
        <v>2048.17</v>
      </c>
      <c r="H2179">
        <v>2068.96</v>
      </c>
      <c r="I2179">
        <v>2040.46</v>
      </c>
      <c r="J2179">
        <v>3728907928</v>
      </c>
      <c r="K2179">
        <v>0</v>
      </c>
      <c r="L2179" s="2">
        <f>VLOOKUP(A2179,[1]aaabonddata!$A:$B,2,0)</f>
        <v>2.4700000000000002</v>
      </c>
    </row>
    <row r="2180" spans="1:12" x14ac:dyDescent="0.2">
      <c r="A2180" s="3">
        <v>41932</v>
      </c>
      <c r="B2180" s="2">
        <v>3870.08</v>
      </c>
      <c r="C2180" s="2">
        <v>3872.36</v>
      </c>
      <c r="D2180" s="2">
        <v>3804.97</v>
      </c>
      <c r="E2180" s="2">
        <v>4322811685012</v>
      </c>
      <c r="F2180" s="2">
        <v>0</v>
      </c>
      <c r="G2180">
        <v>2069.3200000000002</v>
      </c>
      <c r="H2180">
        <v>2070.0700000000002</v>
      </c>
      <c r="I2180">
        <v>2033.92</v>
      </c>
      <c r="J2180">
        <v>3767421068</v>
      </c>
      <c r="K2180">
        <v>0</v>
      </c>
      <c r="L2180" s="2">
        <f>VLOOKUP(A2180,[1]aaabonddata!$A:$B,2,0)</f>
        <v>2.44</v>
      </c>
    </row>
    <row r="2181" spans="1:12" x14ac:dyDescent="0.2">
      <c r="A2181" s="3">
        <v>41933</v>
      </c>
      <c r="B2181" s="2">
        <v>3971.39</v>
      </c>
      <c r="C2181" s="2">
        <v>3971.4</v>
      </c>
      <c r="D2181" s="2">
        <v>3908.83</v>
      </c>
      <c r="E2181" s="2">
        <v>4435978338385</v>
      </c>
      <c r="F2181" s="2">
        <v>0</v>
      </c>
      <c r="G2181">
        <v>2128.86</v>
      </c>
      <c r="H2181">
        <v>2130.88</v>
      </c>
      <c r="I2181">
        <v>2087.52</v>
      </c>
      <c r="J2181">
        <v>3875819335</v>
      </c>
      <c r="K2181">
        <v>0</v>
      </c>
      <c r="L2181" s="2">
        <f>VLOOKUP(A2181,[1]aaabonddata!$A:$B,2,0)</f>
        <v>2.46</v>
      </c>
    </row>
    <row r="2182" spans="1:12" x14ac:dyDescent="0.2">
      <c r="A2182" s="3">
        <v>41934</v>
      </c>
      <c r="B2182" s="2">
        <v>3949.59</v>
      </c>
      <c r="C2182" s="2">
        <v>3988.4</v>
      </c>
      <c r="D2182" s="2">
        <v>3947.98</v>
      </c>
      <c r="E2182" s="2">
        <v>4411622181294</v>
      </c>
      <c r="F2182" s="2">
        <v>74192517</v>
      </c>
      <c r="G2182">
        <v>2108.0300000000002</v>
      </c>
      <c r="H2182">
        <v>2142.31</v>
      </c>
      <c r="I2182">
        <v>2106.8200000000002</v>
      </c>
      <c r="J2182">
        <v>3837887786</v>
      </c>
      <c r="K2182">
        <v>0</v>
      </c>
      <c r="L2182" s="2">
        <f>VLOOKUP(A2182,[1]aaabonddata!$A:$B,2,0)</f>
        <v>2.48</v>
      </c>
    </row>
    <row r="2183" spans="1:12" x14ac:dyDescent="0.2">
      <c r="A2183" s="3">
        <v>41935</v>
      </c>
      <c r="B2183" s="2">
        <v>4012.27</v>
      </c>
      <c r="C2183" s="2">
        <v>4032.22</v>
      </c>
      <c r="D2183" s="2">
        <v>3984.15</v>
      </c>
      <c r="E2183" s="2">
        <v>4481226932187</v>
      </c>
      <c r="F2183" s="2">
        <v>0</v>
      </c>
      <c r="G2183">
        <v>2138.46</v>
      </c>
      <c r="H2183">
        <v>2147.92</v>
      </c>
      <c r="I2183">
        <v>2125.4699999999998</v>
      </c>
      <c r="J2183">
        <v>3893301832</v>
      </c>
      <c r="K2183">
        <v>0</v>
      </c>
      <c r="L2183" s="2">
        <f>VLOOKUP(A2183,[1]aaabonddata!$A:$B,2,0)</f>
        <v>2.52</v>
      </c>
    </row>
    <row r="2184" spans="1:12" x14ac:dyDescent="0.2">
      <c r="A2184" s="3">
        <v>41936</v>
      </c>
      <c r="B2184" s="2">
        <v>4042.02</v>
      </c>
      <c r="C2184" s="2">
        <v>4045.19</v>
      </c>
      <c r="D2184" s="2">
        <v>4003.43</v>
      </c>
      <c r="E2184" s="2">
        <v>4514452774325</v>
      </c>
      <c r="F2184" s="2">
        <v>0</v>
      </c>
      <c r="G2184">
        <v>2167.5500000000002</v>
      </c>
      <c r="H2184">
        <v>2168.9699999999998</v>
      </c>
      <c r="I2184">
        <v>2139.4899999999998</v>
      </c>
      <c r="J2184">
        <v>3946250122</v>
      </c>
      <c r="K2184">
        <v>0</v>
      </c>
      <c r="L2184" s="2">
        <f>VLOOKUP(A2184,[1]aaabonddata!$A:$B,2,0)</f>
        <v>2.52</v>
      </c>
    </row>
    <row r="2185" spans="1:12" x14ac:dyDescent="0.2">
      <c r="A2185" s="3">
        <v>41939</v>
      </c>
      <c r="B2185" s="2">
        <v>4046.02</v>
      </c>
      <c r="C2185" s="2">
        <v>4052.5</v>
      </c>
      <c r="D2185" s="2">
        <v>4019.23</v>
      </c>
      <c r="E2185" s="2">
        <v>4518918463656</v>
      </c>
      <c r="F2185" s="2">
        <v>0</v>
      </c>
      <c r="G2185">
        <v>2173.58</v>
      </c>
      <c r="H2185">
        <v>2177.7600000000002</v>
      </c>
      <c r="I2185">
        <v>2153.7800000000002</v>
      </c>
      <c r="J2185">
        <v>3957243738</v>
      </c>
      <c r="K2185">
        <v>0</v>
      </c>
      <c r="L2185" s="2">
        <f>VLOOKUP(A2185,[1]aaabonddata!$A:$B,2,0)</f>
        <v>2.5099999999999998</v>
      </c>
    </row>
    <row r="2186" spans="1:12" x14ac:dyDescent="0.2">
      <c r="A2186" s="3">
        <v>41940</v>
      </c>
      <c r="B2186" s="2">
        <v>4106.63</v>
      </c>
      <c r="C2186" s="2">
        <v>4107.1899999999996</v>
      </c>
      <c r="D2186" s="2">
        <v>4062.21</v>
      </c>
      <c r="E2186" s="2">
        <v>4586612791756</v>
      </c>
      <c r="F2186" s="2">
        <v>0</v>
      </c>
      <c r="G2186">
        <v>2208.6999999999998</v>
      </c>
      <c r="H2186">
        <v>2208.92</v>
      </c>
      <c r="I2186">
        <v>2181.71</v>
      </c>
      <c r="J2186">
        <v>4021167027</v>
      </c>
      <c r="K2186">
        <v>0</v>
      </c>
      <c r="L2186" s="2">
        <f>VLOOKUP(A2186,[1]aaabonddata!$A:$B,2,0)</f>
        <v>2.5299999999999998</v>
      </c>
    </row>
    <row r="2187" spans="1:12" x14ac:dyDescent="0.2">
      <c r="A2187" s="3">
        <v>41941</v>
      </c>
      <c r="B2187" s="2">
        <v>4090.55</v>
      </c>
      <c r="C2187" s="2">
        <v>4104.07</v>
      </c>
      <c r="D2187" s="2">
        <v>4062.49</v>
      </c>
      <c r="E2187" s="2">
        <v>4568661973845</v>
      </c>
      <c r="F2187" s="2">
        <v>362968897</v>
      </c>
      <c r="G2187">
        <v>2197.84</v>
      </c>
      <c r="H2187">
        <v>2208.67</v>
      </c>
      <c r="I2187">
        <v>2182.35</v>
      </c>
      <c r="J2187">
        <v>4001410921</v>
      </c>
      <c r="K2187">
        <v>697436</v>
      </c>
      <c r="L2187" s="2">
        <f>VLOOKUP(A2187,[1]aaabonddata!$A:$B,2,0)</f>
        <v>2.57</v>
      </c>
    </row>
    <row r="2188" spans="1:12" x14ac:dyDescent="0.2">
      <c r="A2188" s="3">
        <v>41942</v>
      </c>
      <c r="B2188" s="2">
        <v>4100.6400000000003</v>
      </c>
      <c r="C2188" s="2">
        <v>4109.0600000000004</v>
      </c>
      <c r="D2188" s="2">
        <v>4064.45</v>
      </c>
      <c r="E2188" s="2">
        <v>4579924231801</v>
      </c>
      <c r="F2188" s="2">
        <v>205246429</v>
      </c>
      <c r="G2188">
        <v>2212.88</v>
      </c>
      <c r="H2188">
        <v>2216.67</v>
      </c>
      <c r="I2188">
        <v>2187.54</v>
      </c>
      <c r="J2188">
        <v>4028788373</v>
      </c>
      <c r="K2188">
        <v>296677</v>
      </c>
      <c r="L2188" s="2">
        <f>VLOOKUP(A2188,[1]aaabonddata!$A:$B,2,0)</f>
        <v>2.5499999999999998</v>
      </c>
    </row>
    <row r="2189" spans="1:12" x14ac:dyDescent="0.2">
      <c r="A2189" s="3">
        <v>41943</v>
      </c>
      <c r="B2189" s="2">
        <v>4158.21</v>
      </c>
      <c r="C2189" s="2">
        <v>4170.87</v>
      </c>
      <c r="D2189" s="2">
        <v>4143.2</v>
      </c>
      <c r="E2189" s="2">
        <v>4644227552756</v>
      </c>
      <c r="F2189" s="2">
        <v>0</v>
      </c>
      <c r="G2189">
        <v>2263.5100000000002</v>
      </c>
      <c r="H2189">
        <v>2268.56</v>
      </c>
      <c r="I2189">
        <v>2253.08</v>
      </c>
      <c r="J2189">
        <v>4120962700</v>
      </c>
      <c r="K2189">
        <v>0</v>
      </c>
      <c r="L2189" s="2">
        <f>VLOOKUP(A2189,[1]aaabonddata!$A:$B,2,0)</f>
        <v>2.58</v>
      </c>
    </row>
    <row r="2190" spans="1:12" x14ac:dyDescent="0.2">
      <c r="A2190" s="3">
        <v>41946</v>
      </c>
      <c r="B2190" s="2">
        <v>4169.28</v>
      </c>
      <c r="C2190" s="2">
        <v>4179.3599999999997</v>
      </c>
      <c r="D2190" s="2">
        <v>4156.78</v>
      </c>
      <c r="E2190" s="2">
        <v>4656595677438</v>
      </c>
      <c r="F2190" s="2">
        <v>77859734</v>
      </c>
      <c r="G2190">
        <v>2272.79</v>
      </c>
      <c r="H2190">
        <v>2284.02</v>
      </c>
      <c r="I2190">
        <v>2262.79</v>
      </c>
      <c r="J2190">
        <v>4137857089</v>
      </c>
      <c r="K2190">
        <v>657746</v>
      </c>
      <c r="L2190" s="2">
        <f>VLOOKUP(A2190,[1]aaabonddata!$A:$B,2,0)</f>
        <v>2.59</v>
      </c>
    </row>
    <row r="2191" spans="1:12" x14ac:dyDescent="0.2">
      <c r="A2191" s="3">
        <v>41947</v>
      </c>
      <c r="B2191" s="2">
        <v>4156.2299999999996</v>
      </c>
      <c r="C2191" s="2">
        <v>4165.05</v>
      </c>
      <c r="D2191" s="2">
        <v>4126.72</v>
      </c>
      <c r="E2191" s="2">
        <v>4642013123689</v>
      </c>
      <c r="F2191" s="2">
        <v>0</v>
      </c>
      <c r="G2191">
        <v>2275.9</v>
      </c>
      <c r="H2191">
        <v>2281.69</v>
      </c>
      <c r="I2191">
        <v>2259.81</v>
      </c>
      <c r="J2191">
        <v>4143527991</v>
      </c>
      <c r="K2191">
        <v>0</v>
      </c>
      <c r="L2191" s="2">
        <f>VLOOKUP(A2191,[1]aaabonddata!$A:$B,2,0)</f>
        <v>2.59</v>
      </c>
    </row>
    <row r="2192" spans="1:12" x14ac:dyDescent="0.2">
      <c r="A2192" s="3">
        <v>41948</v>
      </c>
      <c r="B2192" s="2">
        <v>4153.2700000000004</v>
      </c>
      <c r="C2192" s="2">
        <v>4179.93</v>
      </c>
      <c r="D2192" s="2">
        <v>4140.21</v>
      </c>
      <c r="E2192" s="2">
        <v>4634790091855</v>
      </c>
      <c r="F2192" s="2">
        <v>1113975000</v>
      </c>
      <c r="G2192">
        <v>2290.94</v>
      </c>
      <c r="H2192">
        <v>2292.59</v>
      </c>
      <c r="I2192">
        <v>2277.52</v>
      </c>
      <c r="J2192">
        <v>4170899452</v>
      </c>
      <c r="K2192">
        <v>646180</v>
      </c>
      <c r="L2192" s="2">
        <f>VLOOKUP(A2192,[1]aaabonddata!$A:$B,2,0)</f>
        <v>2.59</v>
      </c>
    </row>
    <row r="2193" spans="1:12" x14ac:dyDescent="0.2">
      <c r="A2193" s="3">
        <v>41949</v>
      </c>
      <c r="B2193" s="2">
        <v>4164.08</v>
      </c>
      <c r="C2193" s="2">
        <v>4165.7700000000004</v>
      </c>
      <c r="D2193" s="2">
        <v>4133.9799999999996</v>
      </c>
      <c r="E2193" s="2">
        <v>4646855641669</v>
      </c>
      <c r="F2193" s="2">
        <v>3046392400</v>
      </c>
      <c r="G2193">
        <v>2287.48</v>
      </c>
      <c r="H2193">
        <v>2291.7600000000002</v>
      </c>
      <c r="I2193">
        <v>2273.85</v>
      </c>
      <c r="J2193">
        <v>4164599420</v>
      </c>
      <c r="K2193">
        <v>1885037</v>
      </c>
      <c r="L2193" s="2">
        <f>VLOOKUP(A2193,[1]aaabonddata!$A:$B,2,0)</f>
        <v>2.61</v>
      </c>
    </row>
    <row r="2194" spans="1:12" x14ac:dyDescent="0.2">
      <c r="A2194" s="3">
        <v>41950</v>
      </c>
      <c r="B2194" s="2">
        <v>4160.5</v>
      </c>
      <c r="C2194" s="2">
        <v>4171.13</v>
      </c>
      <c r="D2194" s="2">
        <v>4139.46</v>
      </c>
      <c r="E2194" s="2">
        <v>4642763753757</v>
      </c>
      <c r="F2194" s="2">
        <v>152022516</v>
      </c>
      <c r="G2194">
        <v>2280.3000000000002</v>
      </c>
      <c r="H2194">
        <v>2291.29</v>
      </c>
      <c r="I2194">
        <v>2267.92</v>
      </c>
      <c r="J2194">
        <v>4151527467</v>
      </c>
      <c r="K2194">
        <v>0</v>
      </c>
      <c r="L2194" s="2">
        <f>VLOOKUP(A2194,[1]aaabonddata!$A:$B,2,0)</f>
        <v>2.57</v>
      </c>
    </row>
    <row r="2195" spans="1:12" x14ac:dyDescent="0.2">
      <c r="A2195" s="3">
        <v>41953</v>
      </c>
      <c r="B2195" s="2">
        <v>4175.95</v>
      </c>
      <c r="C2195" s="2">
        <v>4179.9799999999996</v>
      </c>
      <c r="D2195" s="2">
        <v>4151.4799999999996</v>
      </c>
      <c r="E2195" s="2">
        <v>4659995455357</v>
      </c>
      <c r="F2195" s="2">
        <v>703744410</v>
      </c>
      <c r="G2195">
        <v>2293.79</v>
      </c>
      <c r="H2195">
        <v>2295.39</v>
      </c>
      <c r="I2195">
        <v>2277.6</v>
      </c>
      <c r="J2195">
        <v>4176088236</v>
      </c>
      <c r="K2195">
        <v>0</v>
      </c>
      <c r="L2195" s="2">
        <f>VLOOKUP(A2195,[1]aaabonddata!$A:$B,2,0)</f>
        <v>2.6</v>
      </c>
    </row>
    <row r="2196" spans="1:12" x14ac:dyDescent="0.2">
      <c r="A2196" s="3">
        <v>41954</v>
      </c>
      <c r="B2196" s="2">
        <v>4187.16</v>
      </c>
      <c r="C2196" s="2">
        <v>4187.3100000000004</v>
      </c>
      <c r="D2196" s="2">
        <v>4165.25</v>
      </c>
      <c r="E2196" s="2">
        <v>4672512595743</v>
      </c>
      <c r="F2196" s="2">
        <v>0</v>
      </c>
      <c r="G2196">
        <v>2291.13</v>
      </c>
      <c r="H2196">
        <v>2294.08</v>
      </c>
      <c r="I2196">
        <v>2282.86</v>
      </c>
      <c r="J2196">
        <v>4171246512</v>
      </c>
      <c r="K2196">
        <v>0</v>
      </c>
      <c r="L2196" s="2">
        <f>VLOOKUP(A2196,[1]aaabonddata!$A:$B,2,0)</f>
        <v>2.6</v>
      </c>
    </row>
    <row r="2197" spans="1:12" x14ac:dyDescent="0.2">
      <c r="A2197" s="3">
        <v>41955</v>
      </c>
      <c r="B2197" s="2">
        <v>4195.3999999999996</v>
      </c>
      <c r="C2197" s="2">
        <v>4199.1899999999996</v>
      </c>
      <c r="D2197" s="2">
        <v>4173.0200000000004</v>
      </c>
      <c r="E2197" s="2">
        <v>4681704728403</v>
      </c>
      <c r="F2197" s="2">
        <v>298042143</v>
      </c>
      <c r="G2197">
        <v>2293.71</v>
      </c>
      <c r="H2197">
        <v>2296.16</v>
      </c>
      <c r="I2197">
        <v>2280.7199999999998</v>
      </c>
      <c r="J2197">
        <v>4175938760</v>
      </c>
      <c r="K2197">
        <v>593929</v>
      </c>
      <c r="L2197" s="2">
        <f>VLOOKUP(A2197,[1]aaabonddata!$A:$B,2,0)</f>
        <v>2.6</v>
      </c>
    </row>
    <row r="2198" spans="1:12" x14ac:dyDescent="0.2">
      <c r="A2198" s="3">
        <v>41956</v>
      </c>
      <c r="B2198" s="2">
        <v>4213.49</v>
      </c>
      <c r="C2198" s="2">
        <v>4228.68</v>
      </c>
      <c r="D2198" s="2">
        <v>4194.33</v>
      </c>
      <c r="E2198" s="2">
        <v>4701885297383</v>
      </c>
      <c r="F2198" s="2">
        <v>104712325</v>
      </c>
      <c r="G2198">
        <v>2296.98</v>
      </c>
      <c r="H2198">
        <v>2310.15</v>
      </c>
      <c r="I2198">
        <v>2288.7600000000002</v>
      </c>
      <c r="J2198">
        <v>4181898124</v>
      </c>
      <c r="K2198">
        <v>619042</v>
      </c>
      <c r="L2198" s="2">
        <f>VLOOKUP(A2198,[1]aaabonddata!$A:$B,2,0)</f>
        <v>2.59</v>
      </c>
    </row>
    <row r="2199" spans="1:12" x14ac:dyDescent="0.2">
      <c r="A2199" s="3">
        <v>41957</v>
      </c>
      <c r="B2199" s="2">
        <v>4224.99</v>
      </c>
      <c r="C2199" s="2">
        <v>4225.18</v>
      </c>
      <c r="D2199" s="2">
        <v>4198.59</v>
      </c>
      <c r="E2199" s="2">
        <v>4714719795387</v>
      </c>
      <c r="F2199" s="2">
        <v>0</v>
      </c>
      <c r="G2199">
        <v>2316.4499999999998</v>
      </c>
      <c r="H2199">
        <v>2317.4</v>
      </c>
      <c r="I2199">
        <v>2289.0500000000002</v>
      </c>
      <c r="J2199">
        <v>4217347864</v>
      </c>
      <c r="K2199">
        <v>0</v>
      </c>
      <c r="L2199" s="2">
        <f>VLOOKUP(A2199,[1]aaabonddata!$A:$B,2,0)</f>
        <v>2.56</v>
      </c>
    </row>
    <row r="2200" spans="1:12" x14ac:dyDescent="0.2">
      <c r="A2200" s="3">
        <v>41960</v>
      </c>
      <c r="B2200" s="2">
        <v>4213.79</v>
      </c>
      <c r="C2200" s="2">
        <v>4225.4799999999996</v>
      </c>
      <c r="D2200" s="2">
        <v>4194.18</v>
      </c>
      <c r="E2200" s="2">
        <v>4702224237034</v>
      </c>
      <c r="F2200" s="2">
        <v>0</v>
      </c>
      <c r="G2200">
        <v>2310.62</v>
      </c>
      <c r="H2200">
        <v>2314.17</v>
      </c>
      <c r="I2200">
        <v>2295.65</v>
      </c>
      <c r="J2200">
        <v>4206738054</v>
      </c>
      <c r="K2200">
        <v>0</v>
      </c>
      <c r="L2200" s="2">
        <f>VLOOKUP(A2200,[1]aaabonddata!$A:$B,2,0)</f>
        <v>2.58</v>
      </c>
    </row>
    <row r="2201" spans="1:12" x14ac:dyDescent="0.2">
      <c r="A2201" s="3">
        <v>41961</v>
      </c>
      <c r="B2201" s="2">
        <v>4242.1899999999996</v>
      </c>
      <c r="C2201" s="2">
        <v>4248.1899999999996</v>
      </c>
      <c r="D2201" s="2">
        <v>4214.32</v>
      </c>
      <c r="E2201" s="2">
        <v>4733912773141</v>
      </c>
      <c r="F2201" s="2">
        <v>2945663959</v>
      </c>
      <c r="G2201">
        <v>2326.4499999999998</v>
      </c>
      <c r="H2201">
        <v>2330.86</v>
      </c>
      <c r="I2201">
        <v>2310.09</v>
      </c>
      <c r="J2201">
        <v>4235548219</v>
      </c>
      <c r="K2201">
        <v>2878018</v>
      </c>
      <c r="L2201" s="2">
        <f>VLOOKUP(A2201,[1]aaabonddata!$A:$B,2,0)</f>
        <v>2.57</v>
      </c>
    </row>
    <row r="2202" spans="1:12" x14ac:dyDescent="0.2">
      <c r="A2202" s="3">
        <v>41962</v>
      </c>
      <c r="B2202" s="2">
        <v>4222.66</v>
      </c>
      <c r="C2202" s="2">
        <v>4235.84</v>
      </c>
      <c r="D2202" s="2">
        <v>4204.16</v>
      </c>
      <c r="E2202" s="2">
        <v>4712126196321</v>
      </c>
      <c r="F2202" s="2">
        <v>46062784</v>
      </c>
      <c r="G2202">
        <v>2313.48</v>
      </c>
      <c r="H2202">
        <v>2322.77</v>
      </c>
      <c r="I2202">
        <v>2302.8000000000002</v>
      </c>
      <c r="J2202">
        <v>4211932626</v>
      </c>
      <c r="K2202">
        <v>445493</v>
      </c>
      <c r="L2202" s="2">
        <f>VLOOKUP(A2202,[1]aaabonddata!$A:$B,2,0)</f>
        <v>2.61</v>
      </c>
    </row>
    <row r="2203" spans="1:12" x14ac:dyDescent="0.2">
      <c r="A2203" s="3">
        <v>41963</v>
      </c>
      <c r="B2203" s="2">
        <v>4242.09</v>
      </c>
      <c r="C2203" s="2">
        <v>4245.17</v>
      </c>
      <c r="D2203" s="2">
        <v>4202.3599999999997</v>
      </c>
      <c r="E2203" s="2">
        <v>4733806408623</v>
      </c>
      <c r="F2203" s="2">
        <v>444290422</v>
      </c>
      <c r="G2203">
        <v>2324.36</v>
      </c>
      <c r="H2203">
        <v>2326.09</v>
      </c>
      <c r="I2203">
        <v>2297.8000000000002</v>
      </c>
      <c r="J2203">
        <v>4231749914</v>
      </c>
      <c r="K2203">
        <v>615006</v>
      </c>
      <c r="L2203" s="2">
        <f>VLOOKUP(A2203,[1]aaabonddata!$A:$B,2,0)</f>
        <v>2.59</v>
      </c>
    </row>
    <row r="2204" spans="1:12" x14ac:dyDescent="0.2">
      <c r="A2204" s="3">
        <v>41964</v>
      </c>
      <c r="B2204" s="2">
        <v>4251.32</v>
      </c>
      <c r="C2204" s="2">
        <v>4285.2700000000004</v>
      </c>
      <c r="D2204" s="2">
        <v>4237.38</v>
      </c>
      <c r="E2204" s="2">
        <v>4744109820477</v>
      </c>
      <c r="F2204" s="2">
        <v>0</v>
      </c>
      <c r="G2204">
        <v>2343</v>
      </c>
      <c r="H2204">
        <v>2352.5700000000002</v>
      </c>
      <c r="I2204">
        <v>2332.56</v>
      </c>
      <c r="J2204">
        <v>4265688805</v>
      </c>
      <c r="K2204">
        <v>0</v>
      </c>
      <c r="L2204" s="2">
        <f>VLOOKUP(A2204,[1]aaabonddata!$A:$B,2,0)</f>
        <v>2.58</v>
      </c>
    </row>
    <row r="2205" spans="1:12" x14ac:dyDescent="0.2">
      <c r="A2205" s="3">
        <v>41967</v>
      </c>
      <c r="B2205" s="2">
        <v>4284.32</v>
      </c>
      <c r="C2205" s="2">
        <v>4285</v>
      </c>
      <c r="D2205" s="2">
        <v>4258.41</v>
      </c>
      <c r="E2205" s="2">
        <v>4780928545394</v>
      </c>
      <c r="F2205" s="2">
        <v>128382185</v>
      </c>
      <c r="G2205">
        <v>2361.41</v>
      </c>
      <c r="H2205">
        <v>2361.69</v>
      </c>
      <c r="I2205">
        <v>2343.9899999999998</v>
      </c>
      <c r="J2205">
        <v>4299208635</v>
      </c>
      <c r="K2205">
        <v>0</v>
      </c>
      <c r="L2205" s="2">
        <f>VLOOKUP(A2205,[1]aaabonddata!$A:$B,2,0)</f>
        <v>2.58</v>
      </c>
    </row>
    <row r="2206" spans="1:12" x14ac:dyDescent="0.2">
      <c r="A2206" s="3">
        <v>41968</v>
      </c>
      <c r="B2206" s="2">
        <v>4288.2299999999996</v>
      </c>
      <c r="C2206" s="2">
        <v>4302.4399999999996</v>
      </c>
      <c r="D2206" s="2">
        <v>4279.8999999999996</v>
      </c>
      <c r="E2206" s="2">
        <v>4785292970129</v>
      </c>
      <c r="F2206" s="2">
        <v>0</v>
      </c>
      <c r="G2206">
        <v>2359.13</v>
      </c>
      <c r="H2206">
        <v>2370.59</v>
      </c>
      <c r="I2206">
        <v>2356.98</v>
      </c>
      <c r="J2206">
        <v>4295041625</v>
      </c>
      <c r="K2206">
        <v>0</v>
      </c>
      <c r="L2206" s="2">
        <f>VLOOKUP(A2206,[1]aaabonddata!$A:$B,2,0)</f>
        <v>2.52</v>
      </c>
    </row>
    <row r="2207" spans="1:12" x14ac:dyDescent="0.2">
      <c r="A2207" s="3">
        <v>41969</v>
      </c>
      <c r="B2207" s="2">
        <v>4317.99</v>
      </c>
      <c r="C2207" s="2">
        <v>4319.41</v>
      </c>
      <c r="D2207" s="2">
        <v>4289.51</v>
      </c>
      <c r="E2207" s="2">
        <v>4815754307436</v>
      </c>
      <c r="F2207" s="2">
        <v>858652482</v>
      </c>
      <c r="G2207">
        <v>2385.1</v>
      </c>
      <c r="H2207">
        <v>2385.85</v>
      </c>
      <c r="I2207">
        <v>2360.13</v>
      </c>
      <c r="J2207">
        <v>4342340051</v>
      </c>
      <c r="K2207">
        <v>849541</v>
      </c>
      <c r="L2207" s="2">
        <f>VLOOKUP(A2207,[1]aaabonddata!$A:$B,2,0)</f>
        <v>2.5</v>
      </c>
    </row>
    <row r="2208" spans="1:12" x14ac:dyDescent="0.2">
      <c r="A2208" s="3">
        <v>41971</v>
      </c>
      <c r="B2208" s="2">
        <v>4337.78</v>
      </c>
      <c r="C2208" s="2">
        <v>4347.09</v>
      </c>
      <c r="D2208" s="2">
        <v>4326.2</v>
      </c>
      <c r="E2208" s="2">
        <v>4837832931984</v>
      </c>
      <c r="F2208" s="2">
        <v>0</v>
      </c>
      <c r="G2208">
        <v>2396.16</v>
      </c>
      <c r="H2208">
        <v>2403.3200000000002</v>
      </c>
      <c r="I2208">
        <v>2384.69</v>
      </c>
      <c r="J2208">
        <v>4362468191</v>
      </c>
      <c r="K2208">
        <v>0</v>
      </c>
      <c r="L2208" s="2">
        <f>VLOOKUP(A2208,[1]aaabonddata!$A:$B,2,0)</f>
        <v>2.46</v>
      </c>
    </row>
    <row r="2209" spans="1:12" x14ac:dyDescent="0.2">
      <c r="A2209" s="3">
        <v>41974</v>
      </c>
      <c r="B2209" s="2">
        <v>4287.8100000000004</v>
      </c>
      <c r="C2209" s="2">
        <v>4332.55</v>
      </c>
      <c r="D2209" s="2">
        <v>4274.68</v>
      </c>
      <c r="E2209" s="2">
        <v>4782100061305</v>
      </c>
      <c r="F2209" s="2">
        <v>0</v>
      </c>
      <c r="G2209">
        <v>2368.63</v>
      </c>
      <c r="H2209">
        <v>2391.04</v>
      </c>
      <c r="I2209">
        <v>2362.8000000000002</v>
      </c>
      <c r="J2209">
        <v>4312345809</v>
      </c>
      <c r="K2209">
        <v>0</v>
      </c>
      <c r="L2209" s="2">
        <f>VLOOKUP(A2209,[1]aaabonddata!$A:$B,2,0)</f>
        <v>2.4700000000000002</v>
      </c>
    </row>
    <row r="2210" spans="1:12" x14ac:dyDescent="0.2">
      <c r="A2210" s="3">
        <v>41975</v>
      </c>
      <c r="B2210" s="2">
        <v>4305.96</v>
      </c>
      <c r="C2210" s="2">
        <v>4312.92</v>
      </c>
      <c r="D2210" s="2">
        <v>4283.8900000000003</v>
      </c>
      <c r="E2210" s="2">
        <v>4802341506370</v>
      </c>
      <c r="F2210" s="2">
        <v>0</v>
      </c>
      <c r="G2210">
        <v>2378.9</v>
      </c>
      <c r="H2210">
        <v>2381.37</v>
      </c>
      <c r="I2210">
        <v>2362.64</v>
      </c>
      <c r="J2210">
        <v>4331036539</v>
      </c>
      <c r="K2210">
        <v>0</v>
      </c>
      <c r="L2210" s="2">
        <f>VLOOKUP(A2210,[1]aaabonddata!$A:$B,2,0)</f>
        <v>2.52</v>
      </c>
    </row>
    <row r="2211" spans="1:12" x14ac:dyDescent="0.2">
      <c r="A2211" s="3">
        <v>41976</v>
      </c>
      <c r="B2211" s="2">
        <v>4312.93</v>
      </c>
      <c r="C2211" s="2">
        <v>4319.0200000000004</v>
      </c>
      <c r="D2211" s="2">
        <v>4287.04</v>
      </c>
      <c r="E2211" s="2">
        <v>4810115653524</v>
      </c>
      <c r="F2211" s="2">
        <v>116258730</v>
      </c>
      <c r="G2211">
        <v>2400.23</v>
      </c>
      <c r="H2211">
        <v>2403.52</v>
      </c>
      <c r="I2211">
        <v>2377.4</v>
      </c>
      <c r="J2211">
        <v>4369872689</v>
      </c>
      <c r="K2211">
        <v>740148</v>
      </c>
      <c r="L2211" s="2">
        <f>VLOOKUP(A2211,[1]aaabonddata!$A:$B,2,0)</f>
        <v>2.54</v>
      </c>
    </row>
    <row r="2212" spans="1:12" x14ac:dyDescent="0.2">
      <c r="A2212" s="3">
        <v>41977</v>
      </c>
      <c r="B2212" s="2">
        <v>4311.93</v>
      </c>
      <c r="C2212" s="2">
        <v>4327.55</v>
      </c>
      <c r="D2212" s="2">
        <v>4293.9399999999996</v>
      </c>
      <c r="E2212" s="2">
        <v>4808998604459</v>
      </c>
      <c r="F2212" s="2">
        <v>0</v>
      </c>
      <c r="G2212">
        <v>2401.58</v>
      </c>
      <c r="H2212">
        <v>2409.34</v>
      </c>
      <c r="I2212">
        <v>2386.9699999999998</v>
      </c>
      <c r="J2212">
        <v>4372342282</v>
      </c>
      <c r="K2212">
        <v>0</v>
      </c>
      <c r="L2212" s="2">
        <f>VLOOKUP(A2212,[1]aaabonddata!$A:$B,2,0)</f>
        <v>2.5099999999999998</v>
      </c>
    </row>
    <row r="2213" spans="1:12" x14ac:dyDescent="0.2">
      <c r="A2213" s="3">
        <v>41978</v>
      </c>
      <c r="B2213" s="2">
        <v>4311.57</v>
      </c>
      <c r="C2213" s="2">
        <v>4324.42</v>
      </c>
      <c r="D2213" s="2">
        <v>4302.04</v>
      </c>
      <c r="E2213" s="2">
        <v>4808599453396</v>
      </c>
      <c r="F2213" s="2">
        <v>0</v>
      </c>
      <c r="G2213">
        <v>2411.06</v>
      </c>
      <c r="H2213">
        <v>2411.06</v>
      </c>
      <c r="I2213">
        <v>2400.8000000000002</v>
      </c>
      <c r="J2213">
        <v>4389590697</v>
      </c>
      <c r="K2213">
        <v>0</v>
      </c>
      <c r="L2213" s="2">
        <f>VLOOKUP(A2213,[1]aaabonddata!$A:$B,2,0)</f>
        <v>2.57</v>
      </c>
    </row>
    <row r="2214" spans="1:12" x14ac:dyDescent="0.2">
      <c r="A2214" s="3">
        <v>41981</v>
      </c>
      <c r="B2214" s="2">
        <v>4278.34</v>
      </c>
      <c r="C2214" s="2">
        <v>4320.08</v>
      </c>
      <c r="D2214" s="2">
        <v>4259.01</v>
      </c>
      <c r="E2214" s="2">
        <v>4771532873923</v>
      </c>
      <c r="F2214" s="2">
        <v>42318732</v>
      </c>
      <c r="G2214">
        <v>2384.7199999999998</v>
      </c>
      <c r="H2214">
        <v>2412.7399999999998</v>
      </c>
      <c r="I2214">
        <v>2370.58</v>
      </c>
      <c r="J2214">
        <v>4341641452</v>
      </c>
      <c r="K2214">
        <v>0</v>
      </c>
      <c r="L2214" s="2">
        <f>VLOOKUP(A2214,[1]aaabonddata!$A:$B,2,0)</f>
        <v>2.5499999999999998</v>
      </c>
    </row>
    <row r="2215" spans="1:12" x14ac:dyDescent="0.2">
      <c r="A2215" s="3">
        <v>41982</v>
      </c>
      <c r="B2215" s="2">
        <v>4294.67</v>
      </c>
      <c r="C2215" s="2">
        <v>4297.7299999999996</v>
      </c>
      <c r="D2215" s="2">
        <v>4216.8599999999997</v>
      </c>
      <c r="E2215" s="2">
        <v>4789745352512</v>
      </c>
      <c r="F2215" s="2">
        <v>0</v>
      </c>
      <c r="G2215">
        <v>2390.29</v>
      </c>
      <c r="H2215">
        <v>2394.2600000000002</v>
      </c>
      <c r="I2215">
        <v>2353.65</v>
      </c>
      <c r="J2215">
        <v>4351783098</v>
      </c>
      <c r="K2215">
        <v>0</v>
      </c>
      <c r="L2215" s="2">
        <f>VLOOKUP(A2215,[1]aaabonddata!$A:$B,2,0)</f>
        <v>2.52</v>
      </c>
    </row>
    <row r="2216" spans="1:12" x14ac:dyDescent="0.2">
      <c r="A2216" s="3">
        <v>41983</v>
      </c>
      <c r="B2216" s="2">
        <v>4224.87</v>
      </c>
      <c r="C2216" s="2">
        <v>4297</v>
      </c>
      <c r="D2216" s="2">
        <v>4218.8599999999997</v>
      </c>
      <c r="E2216" s="2">
        <v>4711904066718</v>
      </c>
      <c r="F2216" s="2">
        <v>235646932</v>
      </c>
      <c r="G2216">
        <v>2349.16</v>
      </c>
      <c r="H2216">
        <v>2392.42</v>
      </c>
      <c r="I2216">
        <v>2345.9299999999998</v>
      </c>
      <c r="J2216">
        <v>4276905249</v>
      </c>
      <c r="K2216">
        <v>0</v>
      </c>
      <c r="L2216" s="2">
        <f>VLOOKUP(A2216,[1]aaabonddata!$A:$B,2,0)</f>
        <v>2.48</v>
      </c>
    </row>
    <row r="2217" spans="1:12" x14ac:dyDescent="0.2">
      <c r="A2217" s="3">
        <v>41984</v>
      </c>
      <c r="B2217" s="2">
        <v>4246.4799999999996</v>
      </c>
      <c r="C2217" s="2">
        <v>4296.8100000000004</v>
      </c>
      <c r="D2217" s="2">
        <v>4238.29</v>
      </c>
      <c r="E2217" s="2">
        <v>4735999243100</v>
      </c>
      <c r="F2217" s="2">
        <v>271158973</v>
      </c>
      <c r="G2217">
        <v>2361.15</v>
      </c>
      <c r="H2217">
        <v>2386.88</v>
      </c>
      <c r="I2217">
        <v>2356.4899999999998</v>
      </c>
      <c r="J2217">
        <v>4298733990</v>
      </c>
      <c r="K2217">
        <v>921305</v>
      </c>
      <c r="L2217" s="2">
        <f>VLOOKUP(A2217,[1]aaabonddata!$A:$B,2,0)</f>
        <v>2.4900000000000002</v>
      </c>
    </row>
    <row r="2218" spans="1:12" x14ac:dyDescent="0.2">
      <c r="A2218" s="3">
        <v>41985</v>
      </c>
      <c r="B2218" s="2">
        <v>4199.28</v>
      </c>
      <c r="C2218" s="2">
        <v>4254.43</v>
      </c>
      <c r="D2218" s="2">
        <v>4199.28</v>
      </c>
      <c r="E2218" s="2">
        <v>4683366938625</v>
      </c>
      <c r="F2218" s="2">
        <v>0</v>
      </c>
      <c r="G2218">
        <v>2328.98</v>
      </c>
      <c r="H2218">
        <v>2360.7800000000002</v>
      </c>
      <c r="I2218">
        <v>2328.98</v>
      </c>
      <c r="J2218">
        <v>4240156924</v>
      </c>
      <c r="K2218">
        <v>0</v>
      </c>
      <c r="L2218" s="2">
        <f>VLOOKUP(A2218,[1]aaabonddata!$A:$B,2,0)</f>
        <v>2.4300000000000002</v>
      </c>
    </row>
    <row r="2219" spans="1:12" x14ac:dyDescent="0.2">
      <c r="A2219" s="3">
        <v>41988</v>
      </c>
      <c r="B2219" s="2">
        <v>4157.41</v>
      </c>
      <c r="C2219" s="2">
        <v>4236.0600000000004</v>
      </c>
      <c r="D2219" s="2">
        <v>4145.01</v>
      </c>
      <c r="E2219" s="2">
        <v>4636670467670</v>
      </c>
      <c r="F2219" s="2">
        <v>0</v>
      </c>
      <c r="G2219">
        <v>2313.21</v>
      </c>
      <c r="H2219">
        <v>2354.11</v>
      </c>
      <c r="I2219">
        <v>2302.67</v>
      </c>
      <c r="J2219">
        <v>4211456562</v>
      </c>
      <c r="K2219">
        <v>0</v>
      </c>
      <c r="L2219" s="2">
        <f>VLOOKUP(A2219,[1]aaabonddata!$A:$B,2,0)</f>
        <v>2.4500000000000002</v>
      </c>
    </row>
    <row r="2220" spans="1:12" x14ac:dyDescent="0.2">
      <c r="A2220" s="3">
        <v>41989</v>
      </c>
      <c r="B2220" s="2">
        <v>4089.6</v>
      </c>
      <c r="C2220" s="2">
        <v>4190.42</v>
      </c>
      <c r="D2220" s="2">
        <v>4089.19</v>
      </c>
      <c r="E2220" s="2">
        <v>4561039520405</v>
      </c>
      <c r="F2220" s="2">
        <v>0</v>
      </c>
      <c r="G2220">
        <v>2288.2399999999998</v>
      </c>
      <c r="H2220">
        <v>2337.9899999999998</v>
      </c>
      <c r="I2220">
        <v>2287.79</v>
      </c>
      <c r="J2220">
        <v>4165986844</v>
      </c>
      <c r="K2220">
        <v>0</v>
      </c>
      <c r="L2220" s="2">
        <f>VLOOKUP(A2220,[1]aaabonddata!$A:$B,2,0)</f>
        <v>2.42</v>
      </c>
    </row>
    <row r="2221" spans="1:12" x14ac:dyDescent="0.2">
      <c r="A2221" s="3">
        <v>41990</v>
      </c>
      <c r="B2221" s="2">
        <v>4165.1000000000004</v>
      </c>
      <c r="C2221" s="2">
        <v>4175.97</v>
      </c>
      <c r="D2221" s="2">
        <v>4089.09</v>
      </c>
      <c r="E2221" s="2">
        <v>4644878647135</v>
      </c>
      <c r="F2221" s="2">
        <v>88101011</v>
      </c>
      <c r="G2221">
        <v>2330.2199999999998</v>
      </c>
      <c r="H2221">
        <v>2335.8000000000002</v>
      </c>
      <c r="I2221">
        <v>2283.5500000000002</v>
      </c>
      <c r="J2221">
        <v>4242423313</v>
      </c>
      <c r="K2221">
        <v>392817</v>
      </c>
      <c r="L2221" s="2">
        <f>VLOOKUP(A2221,[1]aaabonddata!$A:$B,2,0)</f>
        <v>2.5</v>
      </c>
    </row>
    <row r="2222" spans="1:12" x14ac:dyDescent="0.2">
      <c r="A2222" s="3">
        <v>41991</v>
      </c>
      <c r="B2222" s="2">
        <v>4267.7700000000004</v>
      </c>
      <c r="C2222" s="2">
        <v>4267.7700000000004</v>
      </c>
      <c r="D2222" s="2">
        <v>4213.21</v>
      </c>
      <c r="E2222" s="2">
        <v>4759381717957</v>
      </c>
      <c r="F2222" s="2">
        <v>0</v>
      </c>
      <c r="G2222">
        <v>2382.09</v>
      </c>
      <c r="H2222">
        <v>2382.09</v>
      </c>
      <c r="I2222">
        <v>2355.7199999999998</v>
      </c>
      <c r="J2222">
        <v>4336842992</v>
      </c>
      <c r="K2222">
        <v>0</v>
      </c>
      <c r="L2222" s="2">
        <f>VLOOKUP(A2222,[1]aaabonddata!$A:$B,2,0)</f>
        <v>2.5299999999999998</v>
      </c>
    </row>
    <row r="2223" spans="1:12" x14ac:dyDescent="0.2">
      <c r="A2223" s="3">
        <v>41992</v>
      </c>
      <c r="B2223" s="2">
        <v>4281.78</v>
      </c>
      <c r="C2223" s="2">
        <v>4300.3999999999996</v>
      </c>
      <c r="D2223" s="2">
        <v>4258.33</v>
      </c>
      <c r="E2223" s="2">
        <v>4775003773249</v>
      </c>
      <c r="F2223" s="2">
        <v>0</v>
      </c>
      <c r="G2223">
        <v>2385.29</v>
      </c>
      <c r="H2223">
        <v>2394.25</v>
      </c>
      <c r="I2223">
        <v>2375.02</v>
      </c>
      <c r="J2223">
        <v>4342678628</v>
      </c>
      <c r="K2223">
        <v>0</v>
      </c>
      <c r="L2223" s="2">
        <f>VLOOKUP(A2223,[1]aaabonddata!$A:$B,2,0)</f>
        <v>2.52</v>
      </c>
    </row>
    <row r="2224" spans="1:12" x14ac:dyDescent="0.2">
      <c r="A2224" s="3">
        <v>41995</v>
      </c>
      <c r="B2224" s="2">
        <v>4293.67</v>
      </c>
      <c r="C2224" s="2">
        <v>4295.2700000000004</v>
      </c>
      <c r="D2224" s="2">
        <v>4270.54</v>
      </c>
      <c r="E2224" s="2">
        <v>4887943742295</v>
      </c>
      <c r="F2224" s="2">
        <v>0</v>
      </c>
      <c r="G2224">
        <v>2412.14</v>
      </c>
      <c r="H2224">
        <v>2412.34</v>
      </c>
      <c r="I2224">
        <v>2392.94</v>
      </c>
      <c r="J2224">
        <v>3943898093</v>
      </c>
      <c r="K2224">
        <v>0</v>
      </c>
      <c r="L2224" s="2">
        <f>VLOOKUP(A2224,[1]aaabonddata!$A:$B,2,0)</f>
        <v>2.5099999999999998</v>
      </c>
    </row>
    <row r="2225" spans="1:12" x14ac:dyDescent="0.2">
      <c r="A2225" s="3">
        <v>41996</v>
      </c>
      <c r="B2225" s="2">
        <v>4279.3</v>
      </c>
      <c r="C2225" s="2">
        <v>4309.03</v>
      </c>
      <c r="D2225" s="2">
        <v>4274.51</v>
      </c>
      <c r="E2225" s="2">
        <v>4871583623163</v>
      </c>
      <c r="F2225" s="2">
        <v>400629294</v>
      </c>
      <c r="G2225">
        <v>2413.0300000000002</v>
      </c>
      <c r="H2225">
        <v>2426.2600000000002</v>
      </c>
      <c r="I2225">
        <v>2412.83</v>
      </c>
      <c r="J2225">
        <v>3945355108</v>
      </c>
      <c r="K2225">
        <v>0</v>
      </c>
      <c r="L2225" s="2">
        <f>VLOOKUP(A2225,[1]aaabonddata!$A:$B,2,0)</f>
        <v>2.58</v>
      </c>
    </row>
    <row r="2226" spans="1:12" x14ac:dyDescent="0.2">
      <c r="A2226" s="3">
        <v>41997</v>
      </c>
      <c r="B2226" s="2">
        <v>4283.1000000000004</v>
      </c>
      <c r="C2226" s="2">
        <v>4298.87</v>
      </c>
      <c r="D2226" s="2">
        <v>4281.8</v>
      </c>
      <c r="E2226" s="2">
        <v>4875904798996</v>
      </c>
      <c r="F2226" s="2">
        <v>0</v>
      </c>
      <c r="G2226">
        <v>2413.98</v>
      </c>
      <c r="H2226">
        <v>2422.17</v>
      </c>
      <c r="I2226">
        <v>2412.37</v>
      </c>
      <c r="J2226">
        <v>3946907371</v>
      </c>
      <c r="K2226">
        <v>0</v>
      </c>
      <c r="L2226" s="2">
        <f>VLOOKUP(A2226,[1]aaabonddata!$A:$B,2,0)</f>
        <v>2.57</v>
      </c>
    </row>
    <row r="2227" spans="1:12" x14ac:dyDescent="0.2">
      <c r="A2227" s="3">
        <v>41999</v>
      </c>
      <c r="B2227" s="2">
        <v>4314.09</v>
      </c>
      <c r="C2227" s="2">
        <v>4322.45</v>
      </c>
      <c r="D2227" s="2">
        <v>4294.8</v>
      </c>
      <c r="E2227" s="2">
        <v>4911191811856</v>
      </c>
      <c r="F2227" s="2">
        <v>0</v>
      </c>
      <c r="G2227">
        <v>2416.44</v>
      </c>
      <c r="H2227">
        <v>2423.64</v>
      </c>
      <c r="I2227">
        <v>2414.9899999999998</v>
      </c>
      <c r="J2227">
        <v>3950921497</v>
      </c>
      <c r="K2227">
        <v>0</v>
      </c>
      <c r="L2227" s="2">
        <f>VLOOKUP(A2227,[1]aaabonddata!$A:$B,2,0)</f>
        <v>2.57</v>
      </c>
    </row>
    <row r="2228" spans="1:12" x14ac:dyDescent="0.2">
      <c r="A2228" s="3">
        <v>42002</v>
      </c>
      <c r="B2228" s="2">
        <v>4312.6400000000003</v>
      </c>
      <c r="C2228" s="2">
        <v>4321.2</v>
      </c>
      <c r="D2228" s="2">
        <v>4306.67</v>
      </c>
      <c r="E2228" s="2">
        <v>4909540591850</v>
      </c>
      <c r="F2228" s="2">
        <v>251988476</v>
      </c>
      <c r="G2228">
        <v>2405.17</v>
      </c>
      <c r="H2228">
        <v>2413.88</v>
      </c>
      <c r="I2228">
        <v>2404.0300000000002</v>
      </c>
      <c r="J2228">
        <v>3932500279</v>
      </c>
      <c r="K2228">
        <v>0</v>
      </c>
      <c r="L2228" s="2">
        <f>VLOOKUP(A2228,[1]aaabonddata!$A:$B,2,0)</f>
        <v>2.52</v>
      </c>
    </row>
    <row r="2229" spans="1:12" x14ac:dyDescent="0.2">
      <c r="A2229" s="3">
        <v>42003</v>
      </c>
      <c r="B2229" s="2">
        <v>4282.3500000000004</v>
      </c>
      <c r="C2229" s="2">
        <v>4309.13</v>
      </c>
      <c r="D2229" s="2">
        <v>4277.75</v>
      </c>
      <c r="E2229" s="2">
        <v>4875050810079</v>
      </c>
      <c r="F2229" s="2">
        <v>92892108</v>
      </c>
      <c r="G2229">
        <v>2390.7199999999998</v>
      </c>
      <c r="H2229">
        <v>2403.29</v>
      </c>
      <c r="I2229">
        <v>2387.0700000000002</v>
      </c>
      <c r="J2229">
        <v>3908875019</v>
      </c>
      <c r="K2229">
        <v>351247</v>
      </c>
      <c r="L2229" s="2">
        <f>VLOOKUP(A2229,[1]aaabonddata!$A:$B,2,0)</f>
        <v>2.5</v>
      </c>
    </row>
    <row r="2230" spans="1:12" x14ac:dyDescent="0.2">
      <c r="A2230" s="3">
        <v>42004</v>
      </c>
      <c r="B2230" s="2">
        <v>4236.28</v>
      </c>
      <c r="C2230" s="2">
        <v>4307.01</v>
      </c>
      <c r="D2230" s="2">
        <v>4233.71</v>
      </c>
      <c r="E2230" s="2">
        <v>4822605697425</v>
      </c>
      <c r="F2230" s="2">
        <v>0</v>
      </c>
      <c r="G2230">
        <v>2367.85</v>
      </c>
      <c r="H2230">
        <v>2405.62</v>
      </c>
      <c r="I2230">
        <v>2366.2399999999998</v>
      </c>
      <c r="J2230">
        <v>3871488987</v>
      </c>
      <c r="K2230">
        <v>0</v>
      </c>
      <c r="L2230" s="2">
        <f>VLOOKUP(A2230,[1]aaabonddata!$A:$B,2,0)</f>
        <v>2.5</v>
      </c>
    </row>
    <row r="2231" spans="1:12" x14ac:dyDescent="0.2">
      <c r="A2231" s="3">
        <v>42006</v>
      </c>
      <c r="B2231" s="2">
        <v>4230.24</v>
      </c>
      <c r="C2231" s="2">
        <v>4276.71</v>
      </c>
      <c r="D2231" s="2">
        <v>4206.46</v>
      </c>
      <c r="E2231" s="2">
        <v>4815727507106</v>
      </c>
      <c r="F2231" s="2">
        <v>971581748</v>
      </c>
      <c r="G2231">
        <v>2365.38</v>
      </c>
      <c r="H2231">
        <v>2387.81</v>
      </c>
      <c r="I2231">
        <v>2347.27</v>
      </c>
      <c r="J2231">
        <v>3867440700</v>
      </c>
      <c r="K2231">
        <v>684192</v>
      </c>
      <c r="L2231" s="2">
        <f>VLOOKUP(A2231,[1]aaabonddata!$A:$B,2,0)</f>
        <v>2.46</v>
      </c>
    </row>
    <row r="2232" spans="1:12" x14ac:dyDescent="0.2">
      <c r="A2232" s="3">
        <v>42009</v>
      </c>
      <c r="B2232" s="2">
        <v>4160.96</v>
      </c>
      <c r="C2232" s="2">
        <v>4210.96</v>
      </c>
      <c r="D2232" s="2">
        <v>4151.8500000000004</v>
      </c>
      <c r="E2232" s="2">
        <v>4736867322563</v>
      </c>
      <c r="F2232" s="2">
        <v>577541922</v>
      </c>
      <c r="G2232">
        <v>2327.11</v>
      </c>
      <c r="H2232">
        <v>2359.1999999999998</v>
      </c>
      <c r="I2232">
        <v>2321.5700000000002</v>
      </c>
      <c r="J2232">
        <v>3804879677</v>
      </c>
      <c r="K2232">
        <v>0</v>
      </c>
      <c r="L2232" s="2">
        <f>VLOOKUP(A2232,[1]aaabonddata!$A:$B,2,0)</f>
        <v>2.41</v>
      </c>
    </row>
    <row r="2233" spans="1:12" x14ac:dyDescent="0.2">
      <c r="A2233" s="3">
        <v>42010</v>
      </c>
      <c r="B2233" s="2">
        <v>4110.83</v>
      </c>
      <c r="C2233" s="2">
        <v>4176.26</v>
      </c>
      <c r="D2233" s="2">
        <v>4090.33</v>
      </c>
      <c r="E2233" s="2">
        <v>4679794205276</v>
      </c>
      <c r="F2233" s="2">
        <v>0</v>
      </c>
      <c r="G2233">
        <v>2283.38</v>
      </c>
      <c r="H2233">
        <v>2330.61</v>
      </c>
      <c r="I2233">
        <v>2274.29</v>
      </c>
      <c r="J2233">
        <v>3733366670</v>
      </c>
      <c r="K2233">
        <v>0</v>
      </c>
      <c r="L2233" s="2">
        <f>VLOOKUP(A2233,[1]aaabonddata!$A:$B,2,0)</f>
        <v>2.35</v>
      </c>
    </row>
    <row r="2234" spans="1:12" x14ac:dyDescent="0.2">
      <c r="A2234" s="3">
        <v>42011</v>
      </c>
      <c r="B2234" s="2">
        <v>4160</v>
      </c>
      <c r="C2234" s="2">
        <v>4169.97</v>
      </c>
      <c r="D2234" s="2">
        <v>4126.3900000000003</v>
      </c>
      <c r="E2234" s="2">
        <v>4735768909582</v>
      </c>
      <c r="F2234" s="2">
        <v>122810490</v>
      </c>
      <c r="G2234">
        <v>2300.44</v>
      </c>
      <c r="H2234">
        <v>2310.48</v>
      </c>
      <c r="I2234">
        <v>2284.14</v>
      </c>
      <c r="J2234">
        <v>3761272672</v>
      </c>
      <c r="K2234">
        <v>650441</v>
      </c>
      <c r="L2234" s="2">
        <f>VLOOKUP(A2234,[1]aaabonddata!$A:$B,2,0)</f>
        <v>2.34</v>
      </c>
    </row>
    <row r="2235" spans="1:12" x14ac:dyDescent="0.2">
      <c r="A2235" s="3">
        <v>42012</v>
      </c>
      <c r="B2235" s="2">
        <v>4240.55</v>
      </c>
      <c r="C2235" s="2">
        <v>4247.93</v>
      </c>
      <c r="D2235" s="2">
        <v>4192.63</v>
      </c>
      <c r="E2235" s="2">
        <v>4827467535640</v>
      </c>
      <c r="F2235" s="2">
        <v>0</v>
      </c>
      <c r="G2235">
        <v>2354.94</v>
      </c>
      <c r="H2235">
        <v>2359.81</v>
      </c>
      <c r="I2235">
        <v>2320.29</v>
      </c>
      <c r="J2235">
        <v>3850379320</v>
      </c>
      <c r="K2235">
        <v>0</v>
      </c>
      <c r="L2235" s="2">
        <f>VLOOKUP(A2235,[1]aaabonddata!$A:$B,2,0)</f>
        <v>2.38</v>
      </c>
    </row>
    <row r="2236" spans="1:12" x14ac:dyDescent="0.2">
      <c r="A2236" s="3">
        <v>42013</v>
      </c>
      <c r="B2236" s="2">
        <v>4213.28</v>
      </c>
      <c r="C2236" s="2">
        <v>4253.97</v>
      </c>
      <c r="D2236" s="2">
        <v>4188.6099999999997</v>
      </c>
      <c r="E2236" s="2">
        <v>4796418985369</v>
      </c>
      <c r="F2236" s="2">
        <v>46577742</v>
      </c>
      <c r="G2236">
        <v>2350.0700000000002</v>
      </c>
      <c r="H2236">
        <v>2368.66</v>
      </c>
      <c r="I2236">
        <v>2331.98</v>
      </c>
      <c r="J2236">
        <v>3842411266</v>
      </c>
      <c r="K2236">
        <v>0</v>
      </c>
      <c r="L2236" s="2">
        <f>VLOOKUP(A2236,[1]aaabonddata!$A:$B,2,0)</f>
        <v>2.34</v>
      </c>
    </row>
    <row r="2237" spans="1:12" x14ac:dyDescent="0.2">
      <c r="A2237" s="3">
        <v>42016</v>
      </c>
      <c r="B2237" s="2">
        <v>4169.97</v>
      </c>
      <c r="C2237" s="2">
        <v>4223.88</v>
      </c>
      <c r="D2237" s="2">
        <v>4158.1099999999997</v>
      </c>
      <c r="E2237" s="2">
        <v>4747119862311</v>
      </c>
      <c r="F2237" s="2">
        <v>0</v>
      </c>
      <c r="G2237">
        <v>2314.4</v>
      </c>
      <c r="H2237">
        <v>2343.46</v>
      </c>
      <c r="I2237">
        <v>2305.16</v>
      </c>
      <c r="J2237">
        <v>3784085618</v>
      </c>
      <c r="K2237">
        <v>0</v>
      </c>
      <c r="L2237" s="2">
        <f>VLOOKUP(A2237,[1]aaabonddata!$A:$B,2,0)</f>
        <v>2.29</v>
      </c>
    </row>
    <row r="2238" spans="1:12" x14ac:dyDescent="0.2">
      <c r="A2238" s="3">
        <v>42017</v>
      </c>
      <c r="B2238" s="2">
        <v>4166.2</v>
      </c>
      <c r="C2238" s="2">
        <v>4252.7</v>
      </c>
      <c r="D2238" s="2">
        <v>4134.9399999999996</v>
      </c>
      <c r="E2238" s="2">
        <v>4742830412205</v>
      </c>
      <c r="F2238" s="2">
        <v>0</v>
      </c>
      <c r="G2238">
        <v>2298.7399999999998</v>
      </c>
      <c r="H2238">
        <v>2359.21</v>
      </c>
      <c r="I2238">
        <v>2282.3000000000002</v>
      </c>
      <c r="J2238">
        <v>3758484527</v>
      </c>
      <c r="K2238">
        <v>0</v>
      </c>
      <c r="L2238" s="2">
        <f>VLOOKUP(A2238,[1]aaabonddata!$A:$B,2,0)</f>
        <v>2.27</v>
      </c>
    </row>
    <row r="2239" spans="1:12" x14ac:dyDescent="0.2">
      <c r="A2239" s="3">
        <v>42018</v>
      </c>
      <c r="B2239" s="2">
        <v>4145.84</v>
      </c>
      <c r="C2239" s="2">
        <v>4165</v>
      </c>
      <c r="D2239" s="2">
        <v>4108.3100000000004</v>
      </c>
      <c r="E2239" s="2">
        <v>4719651226772</v>
      </c>
      <c r="F2239" s="2">
        <v>46767123</v>
      </c>
      <c r="G2239">
        <v>2285.5300000000002</v>
      </c>
      <c r="H2239">
        <v>2300.1</v>
      </c>
      <c r="I2239">
        <v>2263.5500000000002</v>
      </c>
      <c r="J2239">
        <v>3736891812</v>
      </c>
      <c r="K2239">
        <v>0</v>
      </c>
      <c r="L2239" s="2">
        <f>VLOOKUP(A2239,[1]aaabonddata!$A:$B,2,0)</f>
        <v>2.23</v>
      </c>
    </row>
    <row r="2240" spans="1:12" x14ac:dyDescent="0.2">
      <c r="A2240" s="3">
        <v>42019</v>
      </c>
      <c r="B2240" s="2">
        <v>4089.65</v>
      </c>
      <c r="C2240" s="2">
        <v>4169.4399999999996</v>
      </c>
      <c r="D2240" s="2">
        <v>4085.7</v>
      </c>
      <c r="E2240" s="2">
        <v>4655680569249</v>
      </c>
      <c r="F2240" s="2">
        <v>0</v>
      </c>
      <c r="G2240">
        <v>2257.67</v>
      </c>
      <c r="H2240">
        <v>2302.62</v>
      </c>
      <c r="I2240">
        <v>2255.92</v>
      </c>
      <c r="J2240">
        <v>3691332286</v>
      </c>
      <c r="K2240">
        <v>0</v>
      </c>
      <c r="L2240" s="2">
        <f>VLOOKUP(A2240,[1]aaabonddata!$A:$B,2,0)</f>
        <v>2.19</v>
      </c>
    </row>
    <row r="2241" spans="1:12" x14ac:dyDescent="0.2">
      <c r="A2241" s="3">
        <v>42020</v>
      </c>
      <c r="B2241" s="2">
        <v>4142.1400000000003</v>
      </c>
      <c r="C2241" s="2">
        <v>4143.53</v>
      </c>
      <c r="D2241" s="2">
        <v>4078.85</v>
      </c>
      <c r="E2241" s="2">
        <v>4715437641599</v>
      </c>
      <c r="F2241" s="2">
        <v>0</v>
      </c>
      <c r="G2241">
        <v>2292.4299999999998</v>
      </c>
      <c r="H2241">
        <v>2294.39</v>
      </c>
      <c r="I2241">
        <v>2248.3200000000002</v>
      </c>
      <c r="J2241">
        <v>3748175759</v>
      </c>
      <c r="K2241">
        <v>0</v>
      </c>
      <c r="L2241" s="2" t="e">
        <f>VLOOKUP(A2241,[1]aaabonddata!$A:$B,2,0)</f>
        <v>#N/A</v>
      </c>
    </row>
    <row r="2242" spans="1:12" x14ac:dyDescent="0.2">
      <c r="A2242" s="3">
        <v>42024</v>
      </c>
      <c r="B2242" s="2">
        <v>4171.21</v>
      </c>
      <c r="C2242" s="2">
        <v>4181.34</v>
      </c>
      <c r="D2242" s="2">
        <v>4117.1499999999996</v>
      </c>
      <c r="E2242" s="2">
        <v>4748535904324</v>
      </c>
      <c r="F2242" s="2">
        <v>0</v>
      </c>
      <c r="G2242">
        <v>2306.42</v>
      </c>
      <c r="H2242">
        <v>2314.56</v>
      </c>
      <c r="I2242">
        <v>2279.77</v>
      </c>
      <c r="J2242">
        <v>3771051876</v>
      </c>
      <c r="K2242">
        <v>0</v>
      </c>
      <c r="L2242" s="2">
        <f>VLOOKUP(A2242,[1]aaabonddata!$A:$B,2,0)</f>
        <v>2.2200000000000002</v>
      </c>
    </row>
    <row r="2243" spans="1:12" x14ac:dyDescent="0.2">
      <c r="A2243" s="3">
        <v>42025</v>
      </c>
      <c r="B2243" s="2">
        <v>4192.09</v>
      </c>
      <c r="C2243" s="2">
        <v>4211.28</v>
      </c>
      <c r="D2243" s="2">
        <v>4145.82</v>
      </c>
      <c r="E2243" s="2">
        <v>4772304775216</v>
      </c>
      <c r="F2243" s="2">
        <v>0</v>
      </c>
      <c r="G2243">
        <v>2317.6799999999998</v>
      </c>
      <c r="H2243">
        <v>2325.21</v>
      </c>
      <c r="I2243">
        <v>2290.08</v>
      </c>
      <c r="J2243">
        <v>3789454131</v>
      </c>
      <c r="K2243">
        <v>0</v>
      </c>
      <c r="L2243" s="2">
        <f>VLOOKUP(A2243,[1]aaabonddata!$A:$B,2,0)</f>
        <v>2.25</v>
      </c>
    </row>
    <row r="2244" spans="1:12" x14ac:dyDescent="0.2">
      <c r="A2244" s="3">
        <v>42026</v>
      </c>
      <c r="B2244" s="2">
        <v>4270.3599999999997</v>
      </c>
      <c r="C2244" s="2">
        <v>4274.1499999999996</v>
      </c>
      <c r="D2244" s="2">
        <v>4173.54</v>
      </c>
      <c r="E2244" s="2">
        <v>4861407192022</v>
      </c>
      <c r="F2244" s="2">
        <v>0</v>
      </c>
      <c r="G2244">
        <v>2344.62</v>
      </c>
      <c r="H2244">
        <v>2347.86</v>
      </c>
      <c r="I2244">
        <v>2285.6</v>
      </c>
      <c r="J2244">
        <v>3833507808</v>
      </c>
      <c r="K2244">
        <v>0</v>
      </c>
      <c r="L2244" s="2">
        <f>VLOOKUP(A2244,[1]aaabonddata!$A:$B,2,0)</f>
        <v>2.27</v>
      </c>
    </row>
    <row r="2245" spans="1:12" x14ac:dyDescent="0.2">
      <c r="A2245" s="3">
        <v>42027</v>
      </c>
      <c r="B2245" s="2">
        <v>4278.1400000000003</v>
      </c>
      <c r="C2245" s="2">
        <v>4292.88</v>
      </c>
      <c r="D2245" s="2">
        <v>4258.4799999999996</v>
      </c>
      <c r="E2245" s="2">
        <v>4870263465025</v>
      </c>
      <c r="F2245" s="2">
        <v>0</v>
      </c>
      <c r="G2245">
        <v>2343.3000000000002</v>
      </c>
      <c r="H2245">
        <v>2351.4899999999998</v>
      </c>
      <c r="I2245">
        <v>2330.9499999999998</v>
      </c>
      <c r="J2245">
        <v>3831342349</v>
      </c>
      <c r="K2245">
        <v>0</v>
      </c>
      <c r="L2245" s="2">
        <f>VLOOKUP(A2245,[1]aaabonddata!$A:$B,2,0)</f>
        <v>2.2200000000000002</v>
      </c>
    </row>
    <row r="2246" spans="1:12" x14ac:dyDescent="0.2">
      <c r="A2246" s="3">
        <v>42030</v>
      </c>
      <c r="B2246" s="2">
        <v>4275.72</v>
      </c>
      <c r="C2246" s="2">
        <v>4282.4799999999996</v>
      </c>
      <c r="D2246" s="2">
        <v>4254.47</v>
      </c>
      <c r="E2246" s="2">
        <v>4867500601612</v>
      </c>
      <c r="F2246" s="2">
        <v>0</v>
      </c>
      <c r="G2246">
        <v>2333.0500000000002</v>
      </c>
      <c r="H2246">
        <v>2336.75</v>
      </c>
      <c r="I2246">
        <v>2315.04</v>
      </c>
      <c r="J2246">
        <v>3814583728</v>
      </c>
      <c r="K2246">
        <v>0</v>
      </c>
      <c r="L2246" s="2">
        <f>VLOOKUP(A2246,[1]aaabonddata!$A:$B,2,0)</f>
        <v>2.23</v>
      </c>
    </row>
    <row r="2247" spans="1:12" x14ac:dyDescent="0.2">
      <c r="A2247" s="3">
        <v>42031</v>
      </c>
      <c r="B2247" s="2">
        <v>4165.5</v>
      </c>
      <c r="C2247" s="2">
        <v>4209.41</v>
      </c>
      <c r="D2247" s="2">
        <v>4151.1499999999996</v>
      </c>
      <c r="E2247" s="2">
        <v>4742032656100</v>
      </c>
      <c r="F2247" s="2">
        <v>0</v>
      </c>
      <c r="G2247">
        <v>2278.09</v>
      </c>
      <c r="H2247">
        <v>2301.41</v>
      </c>
      <c r="I2247">
        <v>2265.65</v>
      </c>
      <c r="J2247">
        <v>3724729244</v>
      </c>
      <c r="K2247">
        <v>0</v>
      </c>
      <c r="L2247" s="2">
        <f>VLOOKUP(A2247,[1]aaabonddata!$A:$B,2,0)</f>
        <v>2.2200000000000002</v>
      </c>
    </row>
    <row r="2248" spans="1:12" x14ac:dyDescent="0.2">
      <c r="A2248" s="3">
        <v>42032</v>
      </c>
      <c r="B2248" s="2">
        <v>4140.38</v>
      </c>
      <c r="C2248" s="2">
        <v>4235.1499999999996</v>
      </c>
      <c r="D2248" s="2">
        <v>4140.38</v>
      </c>
      <c r="E2248" s="2">
        <v>4713428968901</v>
      </c>
      <c r="F2248" s="2">
        <v>442145404</v>
      </c>
      <c r="G2248">
        <v>2254.9499999999998</v>
      </c>
      <c r="H2248">
        <v>2310.86</v>
      </c>
      <c r="I2248">
        <v>2254.9499999999998</v>
      </c>
      <c r="J2248">
        <v>3686893664</v>
      </c>
      <c r="K2248">
        <v>626959</v>
      </c>
      <c r="L2248" s="2">
        <f>VLOOKUP(A2248,[1]aaabonddata!$A:$B,2,0)</f>
        <v>2.15</v>
      </c>
    </row>
    <row r="2249" spans="1:12" x14ac:dyDescent="0.2">
      <c r="A2249" s="3">
        <v>42033</v>
      </c>
      <c r="B2249" s="2">
        <v>4181.3500000000004</v>
      </c>
      <c r="C2249" s="2">
        <v>4189.54</v>
      </c>
      <c r="D2249" s="2">
        <v>4103.71</v>
      </c>
      <c r="E2249" s="2">
        <v>4760076025050</v>
      </c>
      <c r="F2249" s="2">
        <v>137874513</v>
      </c>
      <c r="G2249">
        <v>2271.71</v>
      </c>
      <c r="H2249">
        <v>2276.4</v>
      </c>
      <c r="I2249">
        <v>2232.14</v>
      </c>
      <c r="J2249">
        <v>3714296713</v>
      </c>
      <c r="K2249">
        <v>0</v>
      </c>
      <c r="L2249" s="2">
        <f>VLOOKUP(A2249,[1]aaabonddata!$A:$B,2,0)</f>
        <v>2.17</v>
      </c>
    </row>
    <row r="2250" spans="1:12" x14ac:dyDescent="0.2">
      <c r="A2250" s="3">
        <v>42034</v>
      </c>
      <c r="B2250" s="2">
        <v>4148.43</v>
      </c>
      <c r="C2250" s="2">
        <v>4210.8500000000004</v>
      </c>
      <c r="D2250" s="2">
        <v>4144.03</v>
      </c>
      <c r="E2250" s="2">
        <v>4722598362556</v>
      </c>
      <c r="F2250" s="2">
        <v>0</v>
      </c>
      <c r="G2250">
        <v>2229.54</v>
      </c>
      <c r="H2250">
        <v>2270.0100000000002</v>
      </c>
      <c r="I2250">
        <v>2227.06</v>
      </c>
      <c r="J2250">
        <v>3645338141</v>
      </c>
      <c r="K2250">
        <v>0</v>
      </c>
      <c r="L2250" s="2">
        <f>VLOOKUP(A2250,[1]aaabonddata!$A:$B,2,0)</f>
        <v>2.1</v>
      </c>
    </row>
    <row r="2251" spans="1:12" x14ac:dyDescent="0.2">
      <c r="A2251" s="3">
        <v>42037</v>
      </c>
      <c r="B2251" s="2">
        <v>4188.59</v>
      </c>
      <c r="C2251" s="2">
        <v>4189.09</v>
      </c>
      <c r="D2251" s="2">
        <v>4094.73</v>
      </c>
      <c r="E2251" s="2">
        <v>4768312043438</v>
      </c>
      <c r="F2251" s="2">
        <v>76692032</v>
      </c>
      <c r="G2251">
        <v>2243.15</v>
      </c>
      <c r="H2251">
        <v>2246.61</v>
      </c>
      <c r="I2251">
        <v>2194.16</v>
      </c>
      <c r="J2251">
        <v>3667603436</v>
      </c>
      <c r="K2251">
        <v>674340</v>
      </c>
      <c r="L2251" s="2">
        <f>VLOOKUP(A2251,[1]aaabonddata!$A:$B,2,0)</f>
        <v>2.11</v>
      </c>
    </row>
    <row r="2252" spans="1:12" x14ac:dyDescent="0.2">
      <c r="A2252" s="3">
        <v>42038</v>
      </c>
      <c r="B2252" s="2">
        <v>4229.1499999999996</v>
      </c>
      <c r="C2252" s="2">
        <v>4229.1499999999996</v>
      </c>
      <c r="D2252" s="2">
        <v>4174.2299999999996</v>
      </c>
      <c r="E2252" s="2">
        <v>4814489375230</v>
      </c>
      <c r="F2252" s="2">
        <v>239456000</v>
      </c>
      <c r="G2252">
        <v>2280.5</v>
      </c>
      <c r="H2252">
        <v>2280.96</v>
      </c>
      <c r="I2252">
        <v>2248.7399999999998</v>
      </c>
      <c r="J2252">
        <v>3728663948</v>
      </c>
      <c r="K2252">
        <v>0</v>
      </c>
      <c r="L2252" s="2">
        <f>VLOOKUP(A2252,[1]aaabonddata!$A:$B,2,0)</f>
        <v>2.2000000000000002</v>
      </c>
    </row>
    <row r="2253" spans="1:12" x14ac:dyDescent="0.2">
      <c r="A2253" s="3">
        <v>42039</v>
      </c>
      <c r="B2253" s="2">
        <v>4221.2</v>
      </c>
      <c r="C2253" s="2">
        <v>4248.84</v>
      </c>
      <c r="D2253" s="2">
        <v>4198.74</v>
      </c>
      <c r="E2253" s="2">
        <v>4805438722982</v>
      </c>
      <c r="F2253" s="2">
        <v>1160400000</v>
      </c>
      <c r="G2253">
        <v>2286.83</v>
      </c>
      <c r="H2253">
        <v>2301.9699999999998</v>
      </c>
      <c r="I2253">
        <v>2278.36</v>
      </c>
      <c r="J2253">
        <v>3739017173</v>
      </c>
      <c r="K2253">
        <v>659885</v>
      </c>
      <c r="L2253" s="2">
        <f>VLOOKUP(A2253,[1]aaabonddata!$A:$B,2,0)</f>
        <v>2.21</v>
      </c>
    </row>
    <row r="2254" spans="1:12" x14ac:dyDescent="0.2">
      <c r="A2254" s="3">
        <v>42040</v>
      </c>
      <c r="B2254" s="2">
        <v>4256.18</v>
      </c>
      <c r="C2254" s="2">
        <v>4258</v>
      </c>
      <c r="D2254" s="2">
        <v>4220.17</v>
      </c>
      <c r="E2254" s="2">
        <v>4843055907747</v>
      </c>
      <c r="F2254" s="2">
        <v>2828201156</v>
      </c>
      <c r="G2254">
        <v>2303.3200000000002</v>
      </c>
      <c r="H2254">
        <v>2304.17</v>
      </c>
      <c r="I2254">
        <v>2284.9899999999998</v>
      </c>
      <c r="J2254">
        <v>3765979393</v>
      </c>
      <c r="K2254">
        <v>420469</v>
      </c>
      <c r="L2254" s="2">
        <f>VLOOKUP(A2254,[1]aaabonddata!$A:$B,2,0)</f>
        <v>2.21</v>
      </c>
    </row>
    <row r="2255" spans="1:12" x14ac:dyDescent="0.2">
      <c r="A2255" s="3">
        <v>42041</v>
      </c>
      <c r="B2255" s="2">
        <v>4228.68</v>
      </c>
      <c r="C2255" s="2">
        <v>4271.28</v>
      </c>
      <c r="D2255" s="2">
        <v>4214.8900000000003</v>
      </c>
      <c r="E2255" s="2">
        <v>4811764520054</v>
      </c>
      <c r="F2255" s="2">
        <v>231576015</v>
      </c>
      <c r="G2255">
        <v>2290.92</v>
      </c>
      <c r="H2255">
        <v>2318.59</v>
      </c>
      <c r="I2255">
        <v>2284</v>
      </c>
      <c r="J2255">
        <v>3745694411</v>
      </c>
      <c r="K2255">
        <v>1273085</v>
      </c>
      <c r="L2255" s="2">
        <f>VLOOKUP(A2255,[1]aaabonddata!$A:$B,2,0)</f>
        <v>2.3199999999999998</v>
      </c>
    </row>
    <row r="2256" spans="1:12" x14ac:dyDescent="0.2">
      <c r="A2256" s="3">
        <v>42044</v>
      </c>
      <c r="B2256" s="2">
        <v>4216.09</v>
      </c>
      <c r="C2256" s="2">
        <v>4235.24</v>
      </c>
      <c r="D2256" s="2">
        <v>4206.76</v>
      </c>
      <c r="E2256" s="2">
        <v>4797432496917</v>
      </c>
      <c r="F2256" s="2">
        <v>0</v>
      </c>
      <c r="G2256">
        <v>2281.1799999999998</v>
      </c>
      <c r="H2256">
        <v>2291.09</v>
      </c>
      <c r="I2256">
        <v>2275.12</v>
      </c>
      <c r="J2256">
        <v>3729772444</v>
      </c>
      <c r="K2256">
        <v>0</v>
      </c>
      <c r="L2256" s="2">
        <f>VLOOKUP(A2256,[1]aaabonddata!$A:$B,2,0)</f>
        <v>2.3199999999999998</v>
      </c>
    </row>
    <row r="2257" spans="1:12" x14ac:dyDescent="0.2">
      <c r="A2257" s="3">
        <v>42045</v>
      </c>
      <c r="B2257" s="2">
        <v>4281.1499999999996</v>
      </c>
      <c r="C2257" s="2">
        <v>4286.43</v>
      </c>
      <c r="D2257" s="2">
        <v>4232.99</v>
      </c>
      <c r="E2257" s="2">
        <v>4871473149436</v>
      </c>
      <c r="F2257" s="2">
        <v>600929300</v>
      </c>
      <c r="G2257">
        <v>2327.52</v>
      </c>
      <c r="H2257">
        <v>2329.04</v>
      </c>
      <c r="I2257">
        <v>2289.08</v>
      </c>
      <c r="J2257">
        <v>3805535383</v>
      </c>
      <c r="K2257">
        <v>0</v>
      </c>
      <c r="L2257" s="2">
        <f>VLOOKUP(A2257,[1]aaabonddata!$A:$B,2,0)</f>
        <v>2.36</v>
      </c>
    </row>
    <row r="2258" spans="1:12" x14ac:dyDescent="0.2">
      <c r="A2258" s="3">
        <v>42046</v>
      </c>
      <c r="B2258" s="2">
        <v>4297.28</v>
      </c>
      <c r="C2258" s="2">
        <v>4305.3500000000004</v>
      </c>
      <c r="D2258" s="2">
        <v>4277.6499999999996</v>
      </c>
      <c r="E2258" s="2">
        <v>4887853597877</v>
      </c>
      <c r="F2258" s="2">
        <v>532772672</v>
      </c>
      <c r="G2258">
        <v>2334.59</v>
      </c>
      <c r="H2258">
        <v>2341.06</v>
      </c>
      <c r="I2258">
        <v>2323.85</v>
      </c>
      <c r="J2258">
        <v>3817100663</v>
      </c>
      <c r="K2258">
        <v>979529</v>
      </c>
      <c r="L2258" s="2">
        <f>VLOOKUP(A2258,[1]aaabonddata!$A:$B,2,0)</f>
        <v>2.36</v>
      </c>
    </row>
    <row r="2259" spans="1:12" x14ac:dyDescent="0.2">
      <c r="A2259" s="3">
        <v>42047</v>
      </c>
      <c r="B2259" s="2">
        <v>4347.97</v>
      </c>
      <c r="C2259" s="2">
        <v>4347.97</v>
      </c>
      <c r="D2259" s="2">
        <v>4317.9799999999996</v>
      </c>
      <c r="E2259" s="2">
        <v>4945510111022</v>
      </c>
      <c r="F2259" s="2">
        <v>82238490</v>
      </c>
      <c r="G2259">
        <v>2372.83</v>
      </c>
      <c r="H2259">
        <v>2372.91</v>
      </c>
      <c r="I2259">
        <v>2343.7399999999998</v>
      </c>
      <c r="J2259">
        <v>3879628493</v>
      </c>
      <c r="K2259">
        <v>717155</v>
      </c>
      <c r="L2259" s="2">
        <f>VLOOKUP(A2259,[1]aaabonddata!$A:$B,2,0)</f>
        <v>2.34</v>
      </c>
    </row>
    <row r="2260" spans="1:12" x14ac:dyDescent="0.2">
      <c r="A2260" s="3">
        <v>42048</v>
      </c>
      <c r="B2260" s="2">
        <v>4384.03</v>
      </c>
      <c r="C2260" s="2">
        <v>4384.03</v>
      </c>
      <c r="D2260" s="2">
        <v>4351.0200000000004</v>
      </c>
      <c r="E2260" s="2">
        <v>4986520829669</v>
      </c>
      <c r="F2260" s="2">
        <v>121839432</v>
      </c>
      <c r="G2260">
        <v>2394.36</v>
      </c>
      <c r="H2260">
        <v>2394.36</v>
      </c>
      <c r="I2260">
        <v>2379.19</v>
      </c>
      <c r="J2260">
        <v>3914820337</v>
      </c>
      <c r="K2260">
        <v>401768</v>
      </c>
      <c r="L2260" s="2">
        <f>VLOOKUP(A2260,[1]aaabonddata!$A:$B,2,0)</f>
        <v>2.38</v>
      </c>
    </row>
    <row r="2261" spans="1:12" x14ac:dyDescent="0.2">
      <c r="A2261" s="3">
        <v>42052</v>
      </c>
      <c r="B2261" s="2">
        <v>4385.34</v>
      </c>
      <c r="C2261" s="2">
        <v>4387.32</v>
      </c>
      <c r="D2261" s="2">
        <v>4370.63</v>
      </c>
      <c r="E2261" s="2">
        <v>4988015638031</v>
      </c>
      <c r="F2261" s="2">
        <v>2795265088</v>
      </c>
      <c r="G2261">
        <v>2394.7600000000002</v>
      </c>
      <c r="H2261">
        <v>2395.04</v>
      </c>
      <c r="I2261">
        <v>2380.58</v>
      </c>
      <c r="J2261">
        <v>3915489438</v>
      </c>
      <c r="K2261">
        <v>1459110</v>
      </c>
      <c r="L2261" s="2">
        <f>VLOOKUP(A2261,[1]aaabonddata!$A:$B,2,0)</f>
        <v>2.46</v>
      </c>
    </row>
    <row r="2262" spans="1:12" x14ac:dyDescent="0.2">
      <c r="A2262" s="3">
        <v>42053</v>
      </c>
      <c r="B2262" s="2">
        <v>4390.91</v>
      </c>
      <c r="C2262" s="2">
        <v>4393.1899999999996</v>
      </c>
      <c r="D2262" s="2">
        <v>4374.2299999999996</v>
      </c>
      <c r="E2262" s="2">
        <v>4994350690932</v>
      </c>
      <c r="F2262" s="2">
        <v>0</v>
      </c>
      <c r="G2262">
        <v>2387.71</v>
      </c>
      <c r="H2262">
        <v>2392.52</v>
      </c>
      <c r="I2262">
        <v>2376.11</v>
      </c>
      <c r="J2262">
        <v>3903949641</v>
      </c>
      <c r="K2262">
        <v>0</v>
      </c>
      <c r="L2262" s="2">
        <f>VLOOKUP(A2262,[1]aaabonddata!$A:$B,2,0)</f>
        <v>2.38</v>
      </c>
    </row>
    <row r="2263" spans="1:12" x14ac:dyDescent="0.2">
      <c r="A2263" s="3">
        <v>42054</v>
      </c>
      <c r="B2263" s="2">
        <v>4411.8599999999997</v>
      </c>
      <c r="C2263" s="2">
        <v>4415.79</v>
      </c>
      <c r="D2263" s="2">
        <v>4388.4399999999996</v>
      </c>
      <c r="E2263" s="2">
        <v>5018181837450</v>
      </c>
      <c r="F2263" s="2">
        <v>21750219</v>
      </c>
      <c r="G2263">
        <v>2398.9699999999998</v>
      </c>
      <c r="H2263">
        <v>2400.66</v>
      </c>
      <c r="I2263">
        <v>2383.0100000000002</v>
      </c>
      <c r="J2263">
        <v>3922369137</v>
      </c>
      <c r="K2263">
        <v>0</v>
      </c>
      <c r="L2263" s="2">
        <f>VLOOKUP(A2263,[1]aaabonddata!$A:$B,2,0)</f>
        <v>2.41</v>
      </c>
    </row>
    <row r="2264" spans="1:12" x14ac:dyDescent="0.2">
      <c r="A2264" s="3">
        <v>42055</v>
      </c>
      <c r="B2264" s="2">
        <v>4443.05</v>
      </c>
      <c r="C2264" s="2">
        <v>4444.62</v>
      </c>
      <c r="D2264" s="2">
        <v>4397.62</v>
      </c>
      <c r="E2264" s="2">
        <v>5053658242144</v>
      </c>
      <c r="F2264" s="2">
        <v>0</v>
      </c>
      <c r="G2264">
        <v>2417.9</v>
      </c>
      <c r="H2264">
        <v>2419.02</v>
      </c>
      <c r="I2264">
        <v>2388.89</v>
      </c>
      <c r="J2264">
        <v>3953324115</v>
      </c>
      <c r="K2264">
        <v>0</v>
      </c>
      <c r="L2264" s="2">
        <f>VLOOKUP(A2264,[1]aaabonddata!$A:$B,2,0)</f>
        <v>2.4300000000000002</v>
      </c>
    </row>
    <row r="2265" spans="1:12" x14ac:dyDescent="0.2">
      <c r="A2265" s="3">
        <v>42058</v>
      </c>
      <c r="B2265" s="2">
        <v>4449.49</v>
      </c>
      <c r="C2265" s="2">
        <v>4449.49</v>
      </c>
      <c r="D2265" s="2">
        <v>4430.8599999999997</v>
      </c>
      <c r="E2265" s="2">
        <v>5060980413915</v>
      </c>
      <c r="F2265" s="2">
        <v>0</v>
      </c>
      <c r="G2265">
        <v>2403.9499999999998</v>
      </c>
      <c r="H2265">
        <v>2415.48</v>
      </c>
      <c r="I2265">
        <v>2395.96</v>
      </c>
      <c r="J2265">
        <v>3930512919</v>
      </c>
      <c r="K2265">
        <v>0</v>
      </c>
      <c r="L2265" s="2">
        <f>VLOOKUP(A2265,[1]aaabonddata!$A:$B,2,0)</f>
        <v>2.36</v>
      </c>
    </row>
    <row r="2266" spans="1:12" x14ac:dyDescent="0.2">
      <c r="A2266" s="3">
        <v>42059</v>
      </c>
      <c r="B2266" s="2">
        <v>4451.03</v>
      </c>
      <c r="C2266" s="2">
        <v>4455.5200000000004</v>
      </c>
      <c r="D2266" s="2">
        <v>4428.82</v>
      </c>
      <c r="E2266" s="2">
        <v>5062730124739</v>
      </c>
      <c r="F2266" s="2">
        <v>149722752</v>
      </c>
      <c r="G2266">
        <v>2414.4499999999998</v>
      </c>
      <c r="H2266">
        <v>2415.9</v>
      </c>
      <c r="I2266">
        <v>2388.83</v>
      </c>
      <c r="J2266">
        <v>3947670246</v>
      </c>
      <c r="K2266">
        <v>997091</v>
      </c>
      <c r="L2266" s="2">
        <f>VLOOKUP(A2266,[1]aaabonddata!$A:$B,2,0)</f>
        <v>2.2999999999999998</v>
      </c>
    </row>
    <row r="2267" spans="1:12" x14ac:dyDescent="0.2">
      <c r="A2267" s="3">
        <v>42060</v>
      </c>
      <c r="B2267" s="2">
        <v>4440.59</v>
      </c>
      <c r="C2267" s="2">
        <v>4461.1099999999997</v>
      </c>
      <c r="D2267" s="2">
        <v>4429.8999999999996</v>
      </c>
      <c r="E2267" s="2">
        <v>5050857556577</v>
      </c>
      <c r="F2267" s="2">
        <v>209749362</v>
      </c>
      <c r="G2267">
        <v>2406.3200000000002</v>
      </c>
      <c r="H2267">
        <v>2415.5500000000002</v>
      </c>
      <c r="I2267">
        <v>2400.79</v>
      </c>
      <c r="J2267">
        <v>3934378710</v>
      </c>
      <c r="K2267">
        <v>704846</v>
      </c>
      <c r="L2267" s="2">
        <f>VLOOKUP(A2267,[1]aaabonddata!$A:$B,2,0)</f>
        <v>2.2999999999999998</v>
      </c>
    </row>
    <row r="2268" spans="1:12" x14ac:dyDescent="0.2">
      <c r="A2268" s="3">
        <v>42061</v>
      </c>
      <c r="B2268" s="2">
        <v>4462.2700000000004</v>
      </c>
      <c r="C2268" s="2">
        <v>4463.8100000000004</v>
      </c>
      <c r="D2268" s="2">
        <v>4430.79</v>
      </c>
      <c r="E2268" s="2">
        <v>5075518269577</v>
      </c>
      <c r="F2268" s="2">
        <v>66194644</v>
      </c>
      <c r="G2268">
        <v>2417.6799999999998</v>
      </c>
      <c r="H2268">
        <v>2427.54</v>
      </c>
      <c r="I2268">
        <v>2407.36</v>
      </c>
      <c r="J2268">
        <v>3952961064</v>
      </c>
      <c r="K2268">
        <v>300030</v>
      </c>
      <c r="L2268" s="2">
        <f>VLOOKUP(A2268,[1]aaabonddata!$A:$B,2,0)</f>
        <v>2.34</v>
      </c>
    </row>
    <row r="2269" spans="1:12" x14ac:dyDescent="0.2">
      <c r="A2269" s="3">
        <v>42062</v>
      </c>
      <c r="B2269" s="2">
        <v>4440.67</v>
      </c>
      <c r="C2269" s="2">
        <v>4464.3100000000004</v>
      </c>
      <c r="D2269" s="2">
        <v>4435.66</v>
      </c>
      <c r="E2269" s="2">
        <v>5050950051397</v>
      </c>
      <c r="F2269" s="2">
        <v>0</v>
      </c>
      <c r="G2269">
        <v>2411.9899999999998</v>
      </c>
      <c r="H2269">
        <v>2425.2600000000002</v>
      </c>
      <c r="I2269">
        <v>2410.5100000000002</v>
      </c>
      <c r="J2269">
        <v>3943655030</v>
      </c>
      <c r="K2269">
        <v>0</v>
      </c>
      <c r="L2269" s="2">
        <f>VLOOKUP(A2269,[1]aaabonddata!$A:$B,2,0)</f>
        <v>2.3199999999999998</v>
      </c>
    </row>
    <row r="2270" spans="1:12" x14ac:dyDescent="0.2">
      <c r="A2270" s="3">
        <v>42065</v>
      </c>
      <c r="B2270" s="2">
        <v>4483.05</v>
      </c>
      <c r="C2270" s="2">
        <v>4483.97</v>
      </c>
      <c r="D2270" s="2">
        <v>4450.8599999999997</v>
      </c>
      <c r="E2270" s="2">
        <v>5099150374696</v>
      </c>
      <c r="F2270" s="2">
        <v>698292397</v>
      </c>
      <c r="G2270">
        <v>2450.27</v>
      </c>
      <c r="H2270">
        <v>2450.27</v>
      </c>
      <c r="I2270">
        <v>2423.5700000000002</v>
      </c>
      <c r="J2270">
        <v>4006248516</v>
      </c>
      <c r="K2270">
        <v>571973</v>
      </c>
      <c r="L2270" s="2">
        <f>VLOOKUP(A2270,[1]aaabonddata!$A:$B,2,0)</f>
        <v>2.56</v>
      </c>
    </row>
    <row r="2271" spans="1:12" x14ac:dyDescent="0.2">
      <c r="A2271" s="3">
        <v>42066</v>
      </c>
      <c r="B2271" s="2">
        <v>4458.78</v>
      </c>
      <c r="C2271" s="2">
        <v>4473.6400000000003</v>
      </c>
      <c r="D2271" s="2">
        <v>4433.51</v>
      </c>
      <c r="E2271" s="2">
        <v>5071543660117</v>
      </c>
      <c r="F2271" s="2">
        <v>0</v>
      </c>
      <c r="G2271">
        <v>2409.77</v>
      </c>
      <c r="H2271">
        <v>2436.65</v>
      </c>
      <c r="I2271">
        <v>2405.9</v>
      </c>
      <c r="J2271">
        <v>3940026039</v>
      </c>
      <c r="K2271">
        <v>0</v>
      </c>
      <c r="L2271" s="2">
        <f>VLOOKUP(A2271,[1]aaabonddata!$A:$B,2,0)</f>
        <v>2.59</v>
      </c>
    </row>
    <row r="2272" spans="1:12" x14ac:dyDescent="0.2">
      <c r="A2272" s="3">
        <v>42067</v>
      </c>
      <c r="B2272" s="2">
        <v>4445.3599999999997</v>
      </c>
      <c r="C2272" s="2">
        <v>4452.37</v>
      </c>
      <c r="D2272" s="2">
        <v>4421</v>
      </c>
      <c r="E2272" s="2">
        <v>5056281431824</v>
      </c>
      <c r="F2272" s="2">
        <v>55588369</v>
      </c>
      <c r="G2272">
        <v>2405.29</v>
      </c>
      <c r="H2272">
        <v>2407.31</v>
      </c>
      <c r="I2272">
        <v>2383.29</v>
      </c>
      <c r="J2272">
        <v>3932700031</v>
      </c>
      <c r="K2272">
        <v>0</v>
      </c>
      <c r="L2272" s="2">
        <f>VLOOKUP(A2272,[1]aaabonddata!$A:$B,2,0)</f>
        <v>2.58</v>
      </c>
    </row>
    <row r="2273" spans="1:12" x14ac:dyDescent="0.2">
      <c r="A2273" s="3">
        <v>42068</v>
      </c>
      <c r="B2273" s="2">
        <v>4452.0600000000004</v>
      </c>
      <c r="C2273" s="2">
        <v>4464.4799999999996</v>
      </c>
      <c r="D2273" s="2">
        <v>4433.9399999999996</v>
      </c>
      <c r="E2273" s="2">
        <v>5063898917545</v>
      </c>
      <c r="F2273" s="2">
        <v>49310450</v>
      </c>
      <c r="G2273">
        <v>2416.27</v>
      </c>
      <c r="H2273">
        <v>2420.5300000000002</v>
      </c>
      <c r="I2273">
        <v>2403.0500000000002</v>
      </c>
      <c r="J2273">
        <v>3950652137</v>
      </c>
      <c r="K2273">
        <v>0</v>
      </c>
      <c r="L2273" s="2">
        <f>VLOOKUP(A2273,[1]aaabonddata!$A:$B,2,0)</f>
        <v>2.56</v>
      </c>
    </row>
    <row r="2274" spans="1:12" x14ac:dyDescent="0.2">
      <c r="A2274" s="3">
        <v>42069</v>
      </c>
      <c r="B2274" s="2">
        <v>4399.2299999999996</v>
      </c>
      <c r="C2274" s="2">
        <v>4453.93</v>
      </c>
      <c r="D2274" s="2">
        <v>4389.82</v>
      </c>
      <c r="E2274" s="2">
        <v>5003813307052</v>
      </c>
      <c r="F2274" s="2">
        <v>0</v>
      </c>
      <c r="G2274">
        <v>2383.2800000000002</v>
      </c>
      <c r="H2274">
        <v>2411.85</v>
      </c>
      <c r="I2274">
        <v>2378.84</v>
      </c>
      <c r="J2274">
        <v>3896713645</v>
      </c>
      <c r="K2274">
        <v>0</v>
      </c>
      <c r="L2274" s="2">
        <f>VLOOKUP(A2274,[1]aaabonddata!$A:$B,2,0)</f>
        <v>2.66</v>
      </c>
    </row>
    <row r="2275" spans="1:12" x14ac:dyDescent="0.2">
      <c r="A2275" s="3">
        <v>42072</v>
      </c>
      <c r="B2275" s="2">
        <v>4412.99</v>
      </c>
      <c r="C2275" s="2">
        <v>4424.22</v>
      </c>
      <c r="D2275" s="2">
        <v>4391.62</v>
      </c>
      <c r="E2275" s="2">
        <v>5019461799102</v>
      </c>
      <c r="F2275" s="2">
        <v>444866261</v>
      </c>
      <c r="G2275">
        <v>2389.56</v>
      </c>
      <c r="H2275">
        <v>2394.14</v>
      </c>
      <c r="I2275">
        <v>2380.54</v>
      </c>
      <c r="J2275">
        <v>3906973478</v>
      </c>
      <c r="K2275">
        <v>945516</v>
      </c>
      <c r="L2275" s="2">
        <f>VLOOKUP(A2275,[1]aaabonddata!$A:$B,2,0)</f>
        <v>2.62</v>
      </c>
    </row>
    <row r="2276" spans="1:12" x14ac:dyDescent="0.2">
      <c r="A2276" s="3">
        <v>42073</v>
      </c>
      <c r="B2276" s="2">
        <v>4329.08</v>
      </c>
      <c r="C2276" s="2">
        <v>4381.62</v>
      </c>
      <c r="D2276" s="2">
        <v>4329.08</v>
      </c>
      <c r="E2276" s="2">
        <v>4924023314062</v>
      </c>
      <c r="F2276" s="2">
        <v>0</v>
      </c>
      <c r="G2276">
        <v>2345.5100000000002</v>
      </c>
      <c r="H2276">
        <v>2374.0700000000002</v>
      </c>
      <c r="I2276">
        <v>2345.5100000000002</v>
      </c>
      <c r="J2276">
        <v>3834960421</v>
      </c>
      <c r="K2276">
        <v>0</v>
      </c>
      <c r="L2276" s="2">
        <f>VLOOKUP(A2276,[1]aaabonddata!$A:$B,2,0)</f>
        <v>2.57</v>
      </c>
    </row>
    <row r="2277" spans="1:12" x14ac:dyDescent="0.2">
      <c r="A2277" s="3">
        <v>42074</v>
      </c>
      <c r="B2277" s="2">
        <v>4305.38</v>
      </c>
      <c r="C2277" s="2">
        <v>4342.87</v>
      </c>
      <c r="D2277" s="2">
        <v>4304.28</v>
      </c>
      <c r="E2277" s="2">
        <v>4897066043292</v>
      </c>
      <c r="F2277" s="2">
        <v>354872982</v>
      </c>
      <c r="G2277">
        <v>2341.0300000000002</v>
      </c>
      <c r="H2277">
        <v>2360.37</v>
      </c>
      <c r="I2277">
        <v>2339.29</v>
      </c>
      <c r="J2277">
        <v>3827632238</v>
      </c>
      <c r="K2277">
        <v>0</v>
      </c>
      <c r="L2277" s="2">
        <f>VLOOKUP(A2277,[1]aaabonddata!$A:$B,2,0)</f>
        <v>2.57</v>
      </c>
    </row>
    <row r="2278" spans="1:12" x14ac:dyDescent="0.2">
      <c r="A2278" s="3">
        <v>42075</v>
      </c>
      <c r="B2278" s="2">
        <v>4336.2299999999996</v>
      </c>
      <c r="C2278" s="2">
        <v>4339.2</v>
      </c>
      <c r="D2278" s="2">
        <v>4300.87</v>
      </c>
      <c r="E2278" s="2">
        <v>4932151145239</v>
      </c>
      <c r="F2278" s="2">
        <v>91789161</v>
      </c>
      <c r="G2278">
        <v>2352.4899999999998</v>
      </c>
      <c r="H2278">
        <v>2353.33</v>
      </c>
      <c r="I2278">
        <v>2327.12</v>
      </c>
      <c r="J2278">
        <v>3846368744</v>
      </c>
      <c r="K2278">
        <v>900563</v>
      </c>
      <c r="L2278" s="2">
        <f>VLOOKUP(A2278,[1]aaabonddata!$A:$B,2,0)</f>
        <v>2.56</v>
      </c>
    </row>
    <row r="2279" spans="1:12" x14ac:dyDescent="0.2">
      <c r="A2279" s="3">
        <v>42076</v>
      </c>
      <c r="B2279" s="2">
        <v>4314.8999999999996</v>
      </c>
      <c r="C2279" s="2">
        <v>4347.87</v>
      </c>
      <c r="D2279" s="2">
        <v>4289.3</v>
      </c>
      <c r="E2279" s="2">
        <v>4907892909486</v>
      </c>
      <c r="F2279" s="2">
        <v>0</v>
      </c>
      <c r="G2279">
        <v>2350.33</v>
      </c>
      <c r="H2279">
        <v>2358.8200000000002</v>
      </c>
      <c r="I2279">
        <v>2332.11</v>
      </c>
      <c r="J2279">
        <v>3842834111</v>
      </c>
      <c r="K2279">
        <v>0</v>
      </c>
      <c r="L2279" s="2">
        <f>VLOOKUP(A2279,[1]aaabonddata!$A:$B,2,0)</f>
        <v>2.58</v>
      </c>
    </row>
    <row r="2280" spans="1:12" x14ac:dyDescent="0.2">
      <c r="A2280" s="3">
        <v>42079</v>
      </c>
      <c r="B2280" s="2">
        <v>4370.47</v>
      </c>
      <c r="C2280" s="2">
        <v>4371.46</v>
      </c>
      <c r="D2280" s="2">
        <v>4327.2700000000004</v>
      </c>
      <c r="E2280" s="2">
        <v>4971097684397</v>
      </c>
      <c r="F2280" s="2">
        <v>0</v>
      </c>
      <c r="G2280">
        <v>2384.35</v>
      </c>
      <c r="H2280">
        <v>2385.59</v>
      </c>
      <c r="I2280">
        <v>2362.56</v>
      </c>
      <c r="J2280">
        <v>3898464986</v>
      </c>
      <c r="K2280">
        <v>0</v>
      </c>
      <c r="L2280" s="2">
        <f>VLOOKUP(A2280,[1]aaabonddata!$A:$B,2,0)</f>
        <v>2.57</v>
      </c>
    </row>
    <row r="2281" spans="1:12" x14ac:dyDescent="0.2">
      <c r="A2281" s="3">
        <v>42080</v>
      </c>
      <c r="B2281" s="2">
        <v>4375.63</v>
      </c>
      <c r="C2281" s="2">
        <v>4384.9799999999996</v>
      </c>
      <c r="D2281" s="2">
        <v>4349.6899999999996</v>
      </c>
      <c r="E2281" s="2">
        <v>4976963258857</v>
      </c>
      <c r="F2281" s="2">
        <v>0</v>
      </c>
      <c r="G2281">
        <v>2376.42</v>
      </c>
      <c r="H2281">
        <v>2381.0500000000002</v>
      </c>
      <c r="I2281">
        <v>2364.0300000000002</v>
      </c>
      <c r="J2281">
        <v>3885495358</v>
      </c>
      <c r="K2281">
        <v>0</v>
      </c>
      <c r="L2281" s="2">
        <f>VLOOKUP(A2281,[1]aaabonddata!$A:$B,2,0)</f>
        <v>2.56</v>
      </c>
    </row>
    <row r="2282" spans="1:12" x14ac:dyDescent="0.2">
      <c r="A2282" s="3">
        <v>42081</v>
      </c>
      <c r="B2282" s="2">
        <v>4422.5</v>
      </c>
      <c r="C2282" s="2">
        <v>4440.49</v>
      </c>
      <c r="D2282" s="2">
        <v>4344.49</v>
      </c>
      <c r="E2282" s="2">
        <v>5030282420082</v>
      </c>
      <c r="F2282" s="2">
        <v>96101696</v>
      </c>
      <c r="G2282">
        <v>2400.89</v>
      </c>
      <c r="H2282">
        <v>2412.0500000000002</v>
      </c>
      <c r="I2282">
        <v>2355.79</v>
      </c>
      <c r="J2282">
        <v>3925505776</v>
      </c>
      <c r="K2282">
        <v>379431</v>
      </c>
      <c r="L2282" s="2">
        <f>VLOOKUP(A2282,[1]aaabonddata!$A:$B,2,0)</f>
        <v>2.46</v>
      </c>
    </row>
    <row r="2283" spans="1:12" x14ac:dyDescent="0.2">
      <c r="A2283" s="3">
        <v>42082</v>
      </c>
      <c r="B2283" s="2">
        <v>4426.82</v>
      </c>
      <c r="C2283" s="2">
        <v>4440.01</v>
      </c>
      <c r="D2283" s="2">
        <v>4419.84</v>
      </c>
      <c r="E2283" s="2">
        <v>5035199230589</v>
      </c>
      <c r="F2283" s="2">
        <v>0</v>
      </c>
      <c r="G2283">
        <v>2407.73</v>
      </c>
      <c r="H2283">
        <v>2413.0300000000002</v>
      </c>
      <c r="I2283">
        <v>2397.52</v>
      </c>
      <c r="J2283">
        <v>3936685733</v>
      </c>
      <c r="K2283">
        <v>0</v>
      </c>
      <c r="L2283" s="2">
        <f>VLOOKUP(A2283,[1]aaabonddata!$A:$B,2,0)</f>
        <v>2.4900000000000002</v>
      </c>
    </row>
    <row r="2284" spans="1:12" x14ac:dyDescent="0.2">
      <c r="A2284" s="3">
        <v>42083</v>
      </c>
      <c r="B2284" s="2">
        <v>4458.54</v>
      </c>
      <c r="C2284" s="2">
        <v>4478.68</v>
      </c>
      <c r="D2284" s="2">
        <v>4456.41</v>
      </c>
      <c r="E2284" s="2">
        <v>5071271296715</v>
      </c>
      <c r="F2284" s="2">
        <v>0</v>
      </c>
      <c r="G2284">
        <v>2431.81</v>
      </c>
      <c r="H2284">
        <v>2438.29</v>
      </c>
      <c r="I2284">
        <v>2419.2800000000002</v>
      </c>
      <c r="J2284">
        <v>3976066118</v>
      </c>
      <c r="K2284">
        <v>0</v>
      </c>
      <c r="L2284" s="2">
        <f>VLOOKUP(A2284,[1]aaabonddata!$A:$B,2,0)</f>
        <v>2.4500000000000002</v>
      </c>
    </row>
    <row r="2285" spans="1:12" x14ac:dyDescent="0.2">
      <c r="A2285" s="3">
        <v>42086</v>
      </c>
      <c r="B2285" s="2">
        <v>4445.54</v>
      </c>
      <c r="C2285" s="2">
        <v>4466.34</v>
      </c>
      <c r="D2285" s="2">
        <v>4445.5200000000004</v>
      </c>
      <c r="E2285" s="2">
        <v>5118403108179</v>
      </c>
      <c r="F2285" s="2">
        <v>0</v>
      </c>
      <c r="G2285">
        <v>2418.34</v>
      </c>
      <c r="H2285">
        <v>2431.37</v>
      </c>
      <c r="I2285">
        <v>2418.34</v>
      </c>
      <c r="J2285">
        <v>3778950718</v>
      </c>
      <c r="K2285">
        <v>0</v>
      </c>
      <c r="L2285" s="2">
        <f>VLOOKUP(A2285,[1]aaabonddata!$A:$B,2,0)</f>
        <v>2.44</v>
      </c>
    </row>
    <row r="2286" spans="1:12" x14ac:dyDescent="0.2">
      <c r="A2286" s="3">
        <v>42087</v>
      </c>
      <c r="B2286" s="2">
        <v>4430.99</v>
      </c>
      <c r="C2286" s="2">
        <v>4467.79</v>
      </c>
      <c r="D2286" s="2">
        <v>4430.97</v>
      </c>
      <c r="E2286" s="2">
        <v>5101640287722</v>
      </c>
      <c r="F2286" s="2">
        <v>0</v>
      </c>
      <c r="G2286">
        <v>2401.92</v>
      </c>
      <c r="H2286">
        <v>2422.96</v>
      </c>
      <c r="I2286">
        <v>2401.83</v>
      </c>
      <c r="J2286">
        <v>3753286705</v>
      </c>
      <c r="K2286">
        <v>0</v>
      </c>
      <c r="L2286" s="2">
        <f>VLOOKUP(A2286,[1]aaabonddata!$A:$B,2,0)</f>
        <v>2.41</v>
      </c>
    </row>
    <row r="2287" spans="1:12" x14ac:dyDescent="0.2">
      <c r="A2287" s="3">
        <v>42088</v>
      </c>
      <c r="B2287" s="2">
        <v>4329.29</v>
      </c>
      <c r="C2287" s="2">
        <v>4442.54</v>
      </c>
      <c r="D2287" s="2">
        <v>4329.29</v>
      </c>
      <c r="E2287" s="2">
        <v>4984549414026</v>
      </c>
      <c r="F2287" s="2">
        <v>76838442</v>
      </c>
      <c r="G2287">
        <v>2321.08</v>
      </c>
      <c r="H2287">
        <v>2400.75</v>
      </c>
      <c r="I2287">
        <v>2320.2199999999998</v>
      </c>
      <c r="J2287">
        <v>3626964588</v>
      </c>
      <c r="K2287">
        <v>0</v>
      </c>
      <c r="L2287" s="2">
        <f>VLOOKUP(A2287,[1]aaabonddata!$A:$B,2,0)</f>
        <v>2.44</v>
      </c>
    </row>
    <row r="2288" spans="1:12" x14ac:dyDescent="0.2">
      <c r="A2288" s="3">
        <v>42089</v>
      </c>
      <c r="B2288" s="2">
        <v>4315.26</v>
      </c>
      <c r="C2288" s="2">
        <v>4340.16</v>
      </c>
      <c r="D2288" s="2">
        <v>4280.95</v>
      </c>
      <c r="E2288" s="2">
        <v>4968396738703</v>
      </c>
      <c r="F2288" s="2">
        <v>166271221</v>
      </c>
      <c r="G2288">
        <v>2304</v>
      </c>
      <c r="H2288">
        <v>2317.11</v>
      </c>
      <c r="I2288">
        <v>2272.73</v>
      </c>
      <c r="J2288">
        <v>3600268449</v>
      </c>
      <c r="K2288">
        <v>0</v>
      </c>
      <c r="L2288" s="2">
        <f>VLOOKUP(A2288,[1]aaabonddata!$A:$B,2,0)</f>
        <v>2.5099999999999998</v>
      </c>
    </row>
    <row r="2289" spans="1:12" x14ac:dyDescent="0.2">
      <c r="A2289" s="3">
        <v>42090</v>
      </c>
      <c r="B2289" s="2">
        <v>4332.8599999999997</v>
      </c>
      <c r="C2289" s="2">
        <v>4342.93</v>
      </c>
      <c r="D2289" s="2">
        <v>4309.5200000000004</v>
      </c>
      <c r="E2289" s="2">
        <v>4988664693512</v>
      </c>
      <c r="F2289" s="2">
        <v>293903619</v>
      </c>
      <c r="G2289">
        <v>2340.35</v>
      </c>
      <c r="H2289">
        <v>2346.19</v>
      </c>
      <c r="I2289">
        <v>2296.0300000000002</v>
      </c>
      <c r="J2289">
        <v>3657080096</v>
      </c>
      <c r="K2289">
        <v>0</v>
      </c>
      <c r="L2289" s="2">
        <f>VLOOKUP(A2289,[1]aaabonddata!$A:$B,2,0)</f>
        <v>2.4500000000000002</v>
      </c>
    </row>
    <row r="2290" spans="1:12" x14ac:dyDescent="0.2">
      <c r="A2290" s="3">
        <v>42093</v>
      </c>
      <c r="B2290" s="2">
        <v>4382.82</v>
      </c>
      <c r="C2290" s="2">
        <v>4384.18</v>
      </c>
      <c r="D2290" s="2">
        <v>4359.78</v>
      </c>
      <c r="E2290" s="2">
        <v>5046183285486</v>
      </c>
      <c r="F2290" s="2">
        <v>632905675</v>
      </c>
      <c r="G2290">
        <v>2378.89</v>
      </c>
      <c r="H2290">
        <v>2380.9899999999998</v>
      </c>
      <c r="I2290">
        <v>2359.5</v>
      </c>
      <c r="J2290">
        <v>3717299961</v>
      </c>
      <c r="K2290">
        <v>0</v>
      </c>
      <c r="L2290" s="2">
        <f>VLOOKUP(A2290,[1]aaabonddata!$A:$B,2,0)</f>
        <v>2.4700000000000002</v>
      </c>
    </row>
    <row r="2291" spans="1:12" x14ac:dyDescent="0.2">
      <c r="A2291" s="3">
        <v>42094</v>
      </c>
      <c r="B2291" s="2">
        <v>4333.6899999999996</v>
      </c>
      <c r="C2291" s="2">
        <v>4377.3599999999997</v>
      </c>
      <c r="D2291" s="2">
        <v>4333.6899999999996</v>
      </c>
      <c r="E2291" s="2">
        <v>4989616697566</v>
      </c>
      <c r="F2291" s="2">
        <v>1187510887</v>
      </c>
      <c r="G2291">
        <v>2352.36</v>
      </c>
      <c r="H2291">
        <v>2369.48</v>
      </c>
      <c r="I2291">
        <v>2351.73</v>
      </c>
      <c r="J2291">
        <v>3675837883</v>
      </c>
      <c r="K2291">
        <v>1236206</v>
      </c>
      <c r="L2291" s="2">
        <f>VLOOKUP(A2291,[1]aaabonddata!$A:$B,2,0)</f>
        <v>2.41</v>
      </c>
    </row>
    <row r="2292" spans="1:12" x14ac:dyDescent="0.2">
      <c r="A2292" s="3">
        <v>42095</v>
      </c>
      <c r="B2292" s="2">
        <v>4311.26</v>
      </c>
      <c r="C2292" s="2">
        <v>4334.5600000000004</v>
      </c>
      <c r="D2292" s="2">
        <v>4284.0600000000004</v>
      </c>
      <c r="E2292" s="2">
        <v>4963790595411</v>
      </c>
      <c r="F2292" s="2">
        <v>0</v>
      </c>
      <c r="G2292">
        <v>2342.71</v>
      </c>
      <c r="H2292">
        <v>2349.0300000000002</v>
      </c>
      <c r="I2292">
        <v>2325.9</v>
      </c>
      <c r="J2292">
        <v>3660767843</v>
      </c>
      <c r="K2292">
        <v>0</v>
      </c>
      <c r="L2292" s="2">
        <f>VLOOKUP(A2292,[1]aaabonddata!$A:$B,2,0)</f>
        <v>2.37</v>
      </c>
    </row>
    <row r="2293" spans="1:12" x14ac:dyDescent="0.2">
      <c r="A2293" s="3">
        <v>42096</v>
      </c>
      <c r="B2293" s="2">
        <v>4316.01</v>
      </c>
      <c r="C2293" s="2">
        <v>4327.79</v>
      </c>
      <c r="D2293" s="2">
        <v>4302.49</v>
      </c>
      <c r="E2293" s="2">
        <v>4969258636519</v>
      </c>
      <c r="F2293" s="2">
        <v>0</v>
      </c>
      <c r="G2293">
        <v>2342.56</v>
      </c>
      <c r="H2293">
        <v>2356.38</v>
      </c>
      <c r="I2293">
        <v>2337.7600000000002</v>
      </c>
      <c r="J2293">
        <v>3660523150</v>
      </c>
      <c r="K2293">
        <v>0</v>
      </c>
      <c r="L2293" s="2">
        <f>VLOOKUP(A2293,[1]aaabonddata!$A:$B,2,0)</f>
        <v>2.39</v>
      </c>
    </row>
    <row r="2294" spans="1:12" x14ac:dyDescent="0.2">
      <c r="A2294" s="3">
        <v>42100</v>
      </c>
      <c r="B2294" s="2">
        <v>4350.9799999999996</v>
      </c>
      <c r="C2294" s="2">
        <v>4361.5600000000004</v>
      </c>
      <c r="D2294" s="2">
        <v>4283.91</v>
      </c>
      <c r="E2294" s="2">
        <v>5009524967987</v>
      </c>
      <c r="F2294" s="2">
        <v>0</v>
      </c>
      <c r="G2294">
        <v>2355.06</v>
      </c>
      <c r="H2294">
        <v>2359.2600000000002</v>
      </c>
      <c r="I2294">
        <v>2316.2399999999998</v>
      </c>
      <c r="J2294">
        <v>3680055781</v>
      </c>
      <c r="K2294">
        <v>0</v>
      </c>
      <c r="L2294" s="2">
        <f>VLOOKUP(A2294,[1]aaabonddata!$A:$B,2,0)</f>
        <v>2.37</v>
      </c>
    </row>
    <row r="2295" spans="1:12" x14ac:dyDescent="0.2">
      <c r="A2295" s="3">
        <v>42101</v>
      </c>
      <c r="B2295" s="2">
        <v>4344.08</v>
      </c>
      <c r="C2295" s="2">
        <v>4379.41</v>
      </c>
      <c r="D2295" s="2">
        <v>4343.74</v>
      </c>
      <c r="E2295" s="2">
        <v>5001580576491</v>
      </c>
      <c r="F2295" s="2">
        <v>0</v>
      </c>
      <c r="G2295">
        <v>2354.0500000000002</v>
      </c>
      <c r="H2295">
        <v>2372.52</v>
      </c>
      <c r="I2295">
        <v>2352.88</v>
      </c>
      <c r="J2295">
        <v>3678476996</v>
      </c>
      <c r="K2295">
        <v>0</v>
      </c>
      <c r="L2295" s="2">
        <f>VLOOKUP(A2295,[1]aaabonddata!$A:$B,2,0)</f>
        <v>2.37</v>
      </c>
    </row>
    <row r="2296" spans="1:12" x14ac:dyDescent="0.2">
      <c r="A2296" s="3">
        <v>42102</v>
      </c>
      <c r="B2296" s="2">
        <v>4375.96</v>
      </c>
      <c r="C2296" s="2">
        <v>4382.82</v>
      </c>
      <c r="D2296" s="2">
        <v>4345.09</v>
      </c>
      <c r="E2296" s="2">
        <v>5045150165441</v>
      </c>
      <c r="F2296" s="2">
        <v>490914607</v>
      </c>
      <c r="G2296">
        <v>2372.9699999999998</v>
      </c>
      <c r="H2296">
        <v>2377.7600000000002</v>
      </c>
      <c r="I2296">
        <v>2353.19</v>
      </c>
      <c r="J2296">
        <v>3708055527</v>
      </c>
      <c r="K2296">
        <v>691052</v>
      </c>
      <c r="L2296" s="2">
        <f>VLOOKUP(A2296,[1]aaabonddata!$A:$B,2,0)</f>
        <v>2.37</v>
      </c>
    </row>
    <row r="2297" spans="1:12" x14ac:dyDescent="0.2">
      <c r="A2297" s="3">
        <v>42103</v>
      </c>
      <c r="B2297" s="2">
        <v>4403.95</v>
      </c>
      <c r="C2297" s="2">
        <v>4405.6499999999996</v>
      </c>
      <c r="D2297" s="2">
        <v>4361.2299999999996</v>
      </c>
      <c r="E2297" s="2">
        <v>5077423890994</v>
      </c>
      <c r="F2297" s="2">
        <v>0</v>
      </c>
      <c r="G2297">
        <v>2393.4499999999998</v>
      </c>
      <c r="H2297">
        <v>2394.7199999999998</v>
      </c>
      <c r="I2297">
        <v>2364.14</v>
      </c>
      <c r="J2297">
        <v>3740059027</v>
      </c>
      <c r="K2297">
        <v>0</v>
      </c>
      <c r="L2297" s="2">
        <f>VLOOKUP(A2297,[1]aaabonddata!$A:$B,2,0)</f>
        <v>2.4300000000000002</v>
      </c>
    </row>
    <row r="2298" spans="1:12" x14ac:dyDescent="0.2">
      <c r="A2298" s="3">
        <v>42104</v>
      </c>
      <c r="B2298" s="2">
        <v>4422.0200000000004</v>
      </c>
      <c r="C2298" s="2">
        <v>4422.63</v>
      </c>
      <c r="D2298" s="2">
        <v>4394.38</v>
      </c>
      <c r="E2298" s="2">
        <v>5098256115727</v>
      </c>
      <c r="F2298" s="2">
        <v>0</v>
      </c>
      <c r="G2298">
        <v>2405.19</v>
      </c>
      <c r="H2298">
        <v>2405.4299999999998</v>
      </c>
      <c r="I2298">
        <v>2386.7800000000002</v>
      </c>
      <c r="J2298">
        <v>3758389502</v>
      </c>
      <c r="K2298">
        <v>0</v>
      </c>
      <c r="L2298" s="2">
        <f>VLOOKUP(A2298,[1]aaabonddata!$A:$B,2,0)</f>
        <v>2.42</v>
      </c>
    </row>
    <row r="2299" spans="1:12" x14ac:dyDescent="0.2">
      <c r="A2299" s="3">
        <v>42107</v>
      </c>
      <c r="B2299" s="2">
        <v>4409.21</v>
      </c>
      <c r="C2299" s="2">
        <v>4448.2</v>
      </c>
      <c r="D2299" s="2">
        <v>4407.07</v>
      </c>
      <c r="E2299" s="2">
        <v>5083482406848</v>
      </c>
      <c r="F2299" s="2">
        <v>0</v>
      </c>
      <c r="G2299">
        <v>2388.12</v>
      </c>
      <c r="H2299">
        <v>2413.4299999999998</v>
      </c>
      <c r="I2299">
        <v>2387.12</v>
      </c>
      <c r="J2299">
        <v>3731719735</v>
      </c>
      <c r="K2299">
        <v>0</v>
      </c>
      <c r="L2299" s="2">
        <f>VLOOKUP(A2299,[1]aaabonddata!$A:$B,2,0)</f>
        <v>2.4</v>
      </c>
    </row>
    <row r="2300" spans="1:12" x14ac:dyDescent="0.2">
      <c r="A2300" s="3">
        <v>42108</v>
      </c>
      <c r="B2300" s="2">
        <v>4397.6400000000003</v>
      </c>
      <c r="C2300" s="2">
        <v>4418.87</v>
      </c>
      <c r="D2300" s="2">
        <v>4375.1099999999997</v>
      </c>
      <c r="E2300" s="2">
        <v>5070150640782</v>
      </c>
      <c r="F2300" s="2">
        <v>0</v>
      </c>
      <c r="G2300">
        <v>2380.41</v>
      </c>
      <c r="H2300">
        <v>2391.65</v>
      </c>
      <c r="I2300">
        <v>2368.5700000000002</v>
      </c>
      <c r="J2300">
        <v>3719669707</v>
      </c>
      <c r="K2300">
        <v>0</v>
      </c>
      <c r="L2300" s="2">
        <f>VLOOKUP(A2300,[1]aaabonddata!$A:$B,2,0)</f>
        <v>2.37</v>
      </c>
    </row>
    <row r="2301" spans="1:12" x14ac:dyDescent="0.2">
      <c r="A2301" s="3">
        <v>42109</v>
      </c>
      <c r="B2301" s="2">
        <v>4424.53</v>
      </c>
      <c r="C2301" s="2">
        <v>4435.28</v>
      </c>
      <c r="D2301" s="2">
        <v>4406.04</v>
      </c>
      <c r="E2301" s="2">
        <v>5101146600309</v>
      </c>
      <c r="F2301" s="2">
        <v>0</v>
      </c>
      <c r="G2301">
        <v>2406.37</v>
      </c>
      <c r="H2301">
        <v>2413.52</v>
      </c>
      <c r="I2301">
        <v>2389.71</v>
      </c>
      <c r="J2301">
        <v>3760247625</v>
      </c>
      <c r="K2301">
        <v>0</v>
      </c>
      <c r="L2301" s="2">
        <f>VLOOKUP(A2301,[1]aaabonddata!$A:$B,2,0)</f>
        <v>2.37</v>
      </c>
    </row>
    <row r="2302" spans="1:12" x14ac:dyDescent="0.2">
      <c r="A2302" s="3">
        <v>42110</v>
      </c>
      <c r="B2302" s="2">
        <v>4418.83</v>
      </c>
      <c r="C2302" s="2">
        <v>4427.22</v>
      </c>
      <c r="D2302" s="2">
        <v>4408.96</v>
      </c>
      <c r="E2302" s="2">
        <v>5094576860152</v>
      </c>
      <c r="F2302" s="2">
        <v>0</v>
      </c>
      <c r="G2302">
        <v>2398.38</v>
      </c>
      <c r="H2302">
        <v>2401.02</v>
      </c>
      <c r="I2302">
        <v>2388.6999999999998</v>
      </c>
      <c r="J2302">
        <v>3747754329</v>
      </c>
      <c r="K2302">
        <v>0</v>
      </c>
      <c r="L2302" s="2">
        <f>VLOOKUP(A2302,[1]aaabonddata!$A:$B,2,0)</f>
        <v>2.35</v>
      </c>
    </row>
    <row r="2303" spans="1:12" x14ac:dyDescent="0.2">
      <c r="A2303" s="3">
        <v>42111</v>
      </c>
      <c r="B2303" s="2">
        <v>4351.8</v>
      </c>
      <c r="C2303" s="2">
        <v>4390.3100000000004</v>
      </c>
      <c r="D2303" s="2">
        <v>4333.1099999999997</v>
      </c>
      <c r="E2303" s="2">
        <v>5017293541492</v>
      </c>
      <c r="F2303" s="2">
        <v>0</v>
      </c>
      <c r="G2303">
        <v>2366.25</v>
      </c>
      <c r="H2303">
        <v>2379.41</v>
      </c>
      <c r="I2303">
        <v>2359.19</v>
      </c>
      <c r="J2303">
        <v>3697546531</v>
      </c>
      <c r="K2303">
        <v>0</v>
      </c>
      <c r="L2303" s="2">
        <f>VLOOKUP(A2303,[1]aaabonddata!$A:$B,2,0)</f>
        <v>2.33</v>
      </c>
    </row>
    <row r="2304" spans="1:12" x14ac:dyDescent="0.2">
      <c r="A2304" s="3">
        <v>42114</v>
      </c>
      <c r="B2304" s="2">
        <v>4417.3999999999996</v>
      </c>
      <c r="C2304" s="2">
        <v>4423.88</v>
      </c>
      <c r="D2304" s="2">
        <v>4373.09</v>
      </c>
      <c r="E2304" s="2">
        <v>5092923122525</v>
      </c>
      <c r="F2304" s="2">
        <v>0</v>
      </c>
      <c r="G2304">
        <v>2394.46</v>
      </c>
      <c r="H2304">
        <v>2400.7399999999998</v>
      </c>
      <c r="I2304">
        <v>2377.9</v>
      </c>
      <c r="J2304">
        <v>3741630949</v>
      </c>
      <c r="K2304">
        <v>0</v>
      </c>
      <c r="L2304" s="2">
        <f>VLOOKUP(A2304,[1]aaabonddata!$A:$B,2,0)</f>
        <v>2.38</v>
      </c>
    </row>
    <row r="2305" spans="1:12" x14ac:dyDescent="0.2">
      <c r="A2305" s="3">
        <v>42115</v>
      </c>
      <c r="B2305" s="2">
        <v>4435.9799999999996</v>
      </c>
      <c r="C2305" s="2">
        <v>4448.68</v>
      </c>
      <c r="D2305" s="2">
        <v>4430.9799999999996</v>
      </c>
      <c r="E2305" s="2">
        <v>5114344016806</v>
      </c>
      <c r="F2305" s="2">
        <v>0</v>
      </c>
      <c r="G2305">
        <v>2407.7399999999998</v>
      </c>
      <c r="H2305">
        <v>2425.02</v>
      </c>
      <c r="I2305">
        <v>2402.14</v>
      </c>
      <c r="J2305">
        <v>3762383023</v>
      </c>
      <c r="K2305">
        <v>0</v>
      </c>
      <c r="L2305" s="2">
        <f>VLOOKUP(A2305,[1]aaabonddata!$A:$B,2,0)</f>
        <v>2.39</v>
      </c>
    </row>
    <row r="2306" spans="1:12" x14ac:dyDescent="0.2">
      <c r="A2306" s="3">
        <v>42116</v>
      </c>
      <c r="B2306" s="2">
        <v>4460.8100000000004</v>
      </c>
      <c r="C2306" s="2">
        <v>4466.84</v>
      </c>
      <c r="D2306" s="2">
        <v>4419.3500000000004</v>
      </c>
      <c r="E2306" s="2">
        <v>5142979184625</v>
      </c>
      <c r="F2306" s="2">
        <v>0</v>
      </c>
      <c r="G2306">
        <v>2427.1999999999998</v>
      </c>
      <c r="H2306">
        <v>2429.5300000000002</v>
      </c>
      <c r="I2306">
        <v>2401.91</v>
      </c>
      <c r="J2306">
        <v>3792797092</v>
      </c>
      <c r="K2306">
        <v>0</v>
      </c>
      <c r="L2306" s="2">
        <f>VLOOKUP(A2306,[1]aaabonddata!$A:$B,2,0)</f>
        <v>2.4300000000000002</v>
      </c>
    </row>
    <row r="2307" spans="1:12" x14ac:dyDescent="0.2">
      <c r="A2307" s="3">
        <v>42117</v>
      </c>
      <c r="B2307" s="2">
        <v>4477.07</v>
      </c>
      <c r="C2307" s="2">
        <v>4496.08</v>
      </c>
      <c r="D2307" s="2">
        <v>4444.29</v>
      </c>
      <c r="E2307" s="2">
        <v>5161718423004</v>
      </c>
      <c r="F2307" s="2">
        <v>0</v>
      </c>
      <c r="G2307">
        <v>2418.66</v>
      </c>
      <c r="H2307">
        <v>2430.17</v>
      </c>
      <c r="I2307">
        <v>2402.81</v>
      </c>
      <c r="J2307">
        <v>3779446771</v>
      </c>
      <c r="K2307">
        <v>0</v>
      </c>
      <c r="L2307" s="2">
        <f>VLOOKUP(A2307,[1]aaabonddata!$A:$B,2,0)</f>
        <v>2.4</v>
      </c>
    </row>
    <row r="2308" spans="1:12" x14ac:dyDescent="0.2">
      <c r="A2308" s="3">
        <v>42118</v>
      </c>
      <c r="B2308" s="2">
        <v>4536.78</v>
      </c>
      <c r="C2308" s="2">
        <v>4543.6400000000003</v>
      </c>
      <c r="D2308" s="2">
        <v>4517.88</v>
      </c>
      <c r="E2308" s="2">
        <v>5230560944990</v>
      </c>
      <c r="F2308" s="2">
        <v>82737961</v>
      </c>
      <c r="G2308">
        <v>2409.6</v>
      </c>
      <c r="H2308">
        <v>2423.69</v>
      </c>
      <c r="I2308">
        <v>2403.56</v>
      </c>
      <c r="J2308">
        <v>3765282386</v>
      </c>
      <c r="K2308">
        <v>0</v>
      </c>
      <c r="L2308" s="2">
        <f>VLOOKUP(A2308,[1]aaabonddata!$A:$B,2,0)</f>
        <v>2.38</v>
      </c>
    </row>
    <row r="2309" spans="1:12" x14ac:dyDescent="0.2">
      <c r="A2309" s="3">
        <v>42121</v>
      </c>
      <c r="B2309" s="2">
        <v>4525.04</v>
      </c>
      <c r="C2309" s="2">
        <v>4562.33</v>
      </c>
      <c r="D2309" s="2">
        <v>4516.33</v>
      </c>
      <c r="E2309" s="2">
        <v>5217022292368</v>
      </c>
      <c r="F2309" s="2">
        <v>0</v>
      </c>
      <c r="G2309">
        <v>2408.5500000000002</v>
      </c>
      <c r="H2309">
        <v>2426.5700000000002</v>
      </c>
      <c r="I2309">
        <v>2404.11</v>
      </c>
      <c r="J2309">
        <v>3763643035</v>
      </c>
      <c r="K2309">
        <v>0</v>
      </c>
      <c r="L2309" s="2">
        <f>VLOOKUP(A2309,[1]aaabonddata!$A:$B,2,0)</f>
        <v>2.38</v>
      </c>
    </row>
    <row r="2310" spans="1:12" x14ac:dyDescent="0.2">
      <c r="A2310" s="3">
        <v>42122</v>
      </c>
      <c r="B2310" s="2">
        <v>4515.2700000000004</v>
      </c>
      <c r="C2310" s="2">
        <v>4537.1400000000003</v>
      </c>
      <c r="D2310" s="2">
        <v>4479.01</v>
      </c>
      <c r="E2310" s="2">
        <v>5205757832058</v>
      </c>
      <c r="F2310" s="2">
        <v>356028382</v>
      </c>
      <c r="G2310">
        <v>2414.1799999999998</v>
      </c>
      <c r="H2310">
        <v>2420.25</v>
      </c>
      <c r="I2310">
        <v>2390.2199999999998</v>
      </c>
      <c r="J2310">
        <v>3772440585</v>
      </c>
      <c r="K2310">
        <v>573549</v>
      </c>
      <c r="L2310" s="2">
        <f>VLOOKUP(A2310,[1]aaabonddata!$A:$B,2,0)</f>
        <v>2.4300000000000002</v>
      </c>
    </row>
    <row r="2311" spans="1:12" x14ac:dyDescent="0.2">
      <c r="A2311" s="3">
        <v>42123</v>
      </c>
      <c r="B2311" s="2">
        <v>4488.1499999999996</v>
      </c>
      <c r="C2311" s="2">
        <v>4517.01</v>
      </c>
      <c r="D2311" s="2">
        <v>4463.9799999999996</v>
      </c>
      <c r="E2311" s="2">
        <v>5174498581781</v>
      </c>
      <c r="F2311" s="2">
        <v>353504283</v>
      </c>
      <c r="G2311">
        <v>2398.84</v>
      </c>
      <c r="H2311">
        <v>2408.1999999999998</v>
      </c>
      <c r="I2311">
        <v>2381.1799999999998</v>
      </c>
      <c r="J2311">
        <v>3748481899</v>
      </c>
      <c r="K2311">
        <v>955583</v>
      </c>
      <c r="L2311" s="2">
        <f>VLOOKUP(A2311,[1]aaabonddata!$A:$B,2,0)</f>
        <v>2.48</v>
      </c>
    </row>
    <row r="2312" spans="1:12" x14ac:dyDescent="0.2">
      <c r="A2312" s="3">
        <v>42124</v>
      </c>
      <c r="B2312" s="2">
        <v>4414.25</v>
      </c>
      <c r="C2312" s="2">
        <v>4480.3599999999997</v>
      </c>
      <c r="D2312" s="2">
        <v>4395.1000000000004</v>
      </c>
      <c r="E2312" s="2">
        <v>5089297622503</v>
      </c>
      <c r="F2312" s="2">
        <v>133569119</v>
      </c>
      <c r="G2312">
        <v>2370.2199999999998</v>
      </c>
      <c r="H2312">
        <v>2395.6999999999998</v>
      </c>
      <c r="I2312">
        <v>2358.6</v>
      </c>
      <c r="J2312">
        <v>3703745078</v>
      </c>
      <c r="K2312">
        <v>344550</v>
      </c>
      <c r="L2312" s="2">
        <f>VLOOKUP(A2312,[1]aaabonddata!$A:$B,2,0)</f>
        <v>2.5099999999999998</v>
      </c>
    </row>
    <row r="2313" spans="1:12" x14ac:dyDescent="0.2">
      <c r="A2313" s="3">
        <v>42125</v>
      </c>
      <c r="B2313" s="2">
        <v>4479.0600000000004</v>
      </c>
      <c r="C2313" s="2">
        <v>4479.0600000000004</v>
      </c>
      <c r="D2313" s="2">
        <v>4435.24</v>
      </c>
      <c r="E2313" s="2">
        <v>5164011749017</v>
      </c>
      <c r="F2313" s="2">
        <v>0</v>
      </c>
      <c r="G2313">
        <v>2409.84</v>
      </c>
      <c r="H2313">
        <v>2412.31</v>
      </c>
      <c r="I2313">
        <v>2386.59</v>
      </c>
      <c r="J2313">
        <v>3765663710</v>
      </c>
      <c r="K2313">
        <v>0</v>
      </c>
      <c r="L2313" s="2">
        <f>VLOOKUP(A2313,[1]aaabonddata!$A:$B,2,0)</f>
        <v>2.57</v>
      </c>
    </row>
    <row r="2314" spans="1:12" x14ac:dyDescent="0.2">
      <c r="A2314" s="3">
        <v>42128</v>
      </c>
      <c r="B2314" s="2">
        <v>4482.6099999999997</v>
      </c>
      <c r="C2314" s="2">
        <v>4510.47</v>
      </c>
      <c r="D2314" s="2">
        <v>4480.8500000000004</v>
      </c>
      <c r="E2314" s="2">
        <v>5168108586126</v>
      </c>
      <c r="F2314" s="2">
        <v>0</v>
      </c>
      <c r="G2314">
        <v>2410.85</v>
      </c>
      <c r="H2314">
        <v>2420.5500000000002</v>
      </c>
      <c r="I2314">
        <v>2409.09</v>
      </c>
      <c r="J2314">
        <v>3767242925</v>
      </c>
      <c r="K2314">
        <v>0</v>
      </c>
      <c r="L2314" s="2">
        <f>VLOOKUP(A2314,[1]aaabonddata!$A:$B,2,0)</f>
        <v>2.57</v>
      </c>
    </row>
    <row r="2315" spans="1:12" x14ac:dyDescent="0.2">
      <c r="A2315" s="3">
        <v>42129</v>
      </c>
      <c r="B2315" s="2">
        <v>4409.3900000000003</v>
      </c>
      <c r="C2315" s="2">
        <v>4472.2299999999996</v>
      </c>
      <c r="D2315" s="2">
        <v>4407.2700000000004</v>
      </c>
      <c r="E2315" s="2">
        <v>5083696086980</v>
      </c>
      <c r="F2315" s="2">
        <v>1376576000</v>
      </c>
      <c r="G2315">
        <v>2368.5</v>
      </c>
      <c r="H2315">
        <v>2400.3000000000002</v>
      </c>
      <c r="I2315">
        <v>2364.5700000000002</v>
      </c>
      <c r="J2315">
        <v>3701070986</v>
      </c>
      <c r="K2315">
        <v>766528</v>
      </c>
      <c r="L2315" s="2">
        <f>VLOOKUP(A2315,[1]aaabonddata!$A:$B,2,0)</f>
        <v>2.6</v>
      </c>
    </row>
    <row r="2316" spans="1:12" x14ac:dyDescent="0.2">
      <c r="A2316" s="3">
        <v>42130</v>
      </c>
      <c r="B2316" s="2">
        <v>4379.75</v>
      </c>
      <c r="C2316" s="2">
        <v>4429.96</v>
      </c>
      <c r="D2316" s="2">
        <v>4349.93</v>
      </c>
      <c r="E2316" s="2">
        <v>5049516478555</v>
      </c>
      <c r="F2316" s="2">
        <v>0</v>
      </c>
      <c r="G2316">
        <v>2356.29</v>
      </c>
      <c r="H2316">
        <v>2380.92</v>
      </c>
      <c r="I2316">
        <v>2341.29</v>
      </c>
      <c r="J2316">
        <v>3681983183</v>
      </c>
      <c r="K2316">
        <v>0</v>
      </c>
      <c r="L2316" s="2">
        <f>VLOOKUP(A2316,[1]aaabonddata!$A:$B,2,0)</f>
        <v>2.66</v>
      </c>
    </row>
    <row r="2317" spans="1:12" x14ac:dyDescent="0.2">
      <c r="A2317" s="3">
        <v>42131</v>
      </c>
      <c r="B2317" s="2">
        <v>4401.55</v>
      </c>
      <c r="C2317" s="2">
        <v>4413.7299999999996</v>
      </c>
      <c r="D2317" s="2">
        <v>4373.29</v>
      </c>
      <c r="E2317" s="2">
        <v>5074655021801</v>
      </c>
      <c r="F2317" s="2">
        <v>3271788488</v>
      </c>
      <c r="G2317">
        <v>2373.69</v>
      </c>
      <c r="H2317">
        <v>2378.5300000000002</v>
      </c>
      <c r="I2317">
        <v>2359.33</v>
      </c>
      <c r="J2317">
        <v>3709173003</v>
      </c>
      <c r="K2317">
        <v>900171</v>
      </c>
      <c r="L2317" s="2">
        <f>VLOOKUP(A2317,[1]aaabonddata!$A:$B,2,0)</f>
        <v>2.63</v>
      </c>
    </row>
    <row r="2318" spans="1:12" x14ac:dyDescent="0.2">
      <c r="A2318" s="3">
        <v>42132</v>
      </c>
      <c r="B2318" s="2">
        <v>4458.6499999999996</v>
      </c>
      <c r="C2318" s="2">
        <v>4466.17</v>
      </c>
      <c r="D2318" s="2">
        <v>4441.7299999999996</v>
      </c>
      <c r="E2318" s="2">
        <v>5140485133448</v>
      </c>
      <c r="F2318" s="2">
        <v>0</v>
      </c>
      <c r="G2318">
        <v>2394.23</v>
      </c>
      <c r="H2318">
        <v>2400.7600000000002</v>
      </c>
      <c r="I2318">
        <v>2385.91</v>
      </c>
      <c r="J2318">
        <v>3741267565</v>
      </c>
      <c r="K2318">
        <v>0</v>
      </c>
      <c r="L2318" s="2">
        <f>VLOOKUP(A2318,[1]aaabonddata!$A:$B,2,0)</f>
        <v>2.59</v>
      </c>
    </row>
    <row r="2319" spans="1:12" x14ac:dyDescent="0.2">
      <c r="A2319" s="3">
        <v>42135</v>
      </c>
      <c r="B2319" s="2">
        <v>4438.6400000000003</v>
      </c>
      <c r="C2319" s="2">
        <v>4468.75</v>
      </c>
      <c r="D2319" s="2">
        <v>4437.53</v>
      </c>
      <c r="E2319" s="2">
        <v>5117409625366</v>
      </c>
      <c r="F2319" s="2">
        <v>81045570</v>
      </c>
      <c r="G2319">
        <v>2387.6999999999998</v>
      </c>
      <c r="H2319">
        <v>2397.73</v>
      </c>
      <c r="I2319">
        <v>2386.7199999999998</v>
      </c>
      <c r="J2319">
        <v>3731059267</v>
      </c>
      <c r="K2319">
        <v>733381</v>
      </c>
      <c r="L2319" s="2">
        <f>VLOOKUP(A2319,[1]aaabonddata!$A:$B,2,0)</f>
        <v>2.68</v>
      </c>
    </row>
    <row r="2320" spans="1:12" x14ac:dyDescent="0.2">
      <c r="A2320" s="3">
        <v>42136</v>
      </c>
      <c r="B2320" s="2">
        <v>4420.6499999999996</v>
      </c>
      <c r="C2320" s="2">
        <v>4441.3999999999996</v>
      </c>
      <c r="D2320" s="2">
        <v>4380.5200000000004</v>
      </c>
      <c r="E2320" s="2">
        <v>5096670319062</v>
      </c>
      <c r="F2320" s="2">
        <v>599500432</v>
      </c>
      <c r="G2320">
        <v>2372.92</v>
      </c>
      <c r="H2320">
        <v>2384.39</v>
      </c>
      <c r="I2320">
        <v>2356.91</v>
      </c>
      <c r="J2320">
        <v>3707968250</v>
      </c>
      <c r="K2320">
        <v>0</v>
      </c>
      <c r="L2320" s="2">
        <f>VLOOKUP(A2320,[1]aaabonddata!$A:$B,2,0)</f>
        <v>2.67</v>
      </c>
    </row>
    <row r="2321" spans="1:12" x14ac:dyDescent="0.2">
      <c r="A2321" s="3">
        <v>42137</v>
      </c>
      <c r="B2321" s="2">
        <v>4426.5600000000004</v>
      </c>
      <c r="C2321" s="2">
        <v>4460.54</v>
      </c>
      <c r="D2321" s="2">
        <v>4421.75</v>
      </c>
      <c r="E2321" s="2">
        <v>5103487778440</v>
      </c>
      <c r="F2321" s="2">
        <v>71758298</v>
      </c>
      <c r="G2321">
        <v>2385.79</v>
      </c>
      <c r="H2321">
        <v>2396.34</v>
      </c>
      <c r="I2321">
        <v>2377.73</v>
      </c>
      <c r="J2321">
        <v>3728080290</v>
      </c>
      <c r="K2321">
        <v>618174</v>
      </c>
      <c r="L2321" s="2">
        <f>VLOOKUP(A2321,[1]aaabonddata!$A:$B,2,0)</f>
        <v>2.67</v>
      </c>
    </row>
    <row r="2322" spans="1:12" x14ac:dyDescent="0.2">
      <c r="A2322" s="3">
        <v>42138</v>
      </c>
      <c r="B2322" s="2">
        <v>4495.04</v>
      </c>
      <c r="C2322" s="2">
        <v>4496.25</v>
      </c>
      <c r="D2322" s="2">
        <v>4448.38</v>
      </c>
      <c r="E2322" s="2">
        <v>5182436604854</v>
      </c>
      <c r="F2322" s="2">
        <v>108571304</v>
      </c>
      <c r="G2322">
        <v>2420.23</v>
      </c>
      <c r="H2322">
        <v>2423.0100000000002</v>
      </c>
      <c r="I2322">
        <v>2401.34</v>
      </c>
      <c r="J2322">
        <v>3781891123</v>
      </c>
      <c r="K2322">
        <v>786906</v>
      </c>
      <c r="L2322" s="2">
        <f>VLOOKUP(A2322,[1]aaabonddata!$A:$B,2,0)</f>
        <v>2.63</v>
      </c>
    </row>
    <row r="2323" spans="1:12" x14ac:dyDescent="0.2">
      <c r="A2323" s="3">
        <v>42139</v>
      </c>
      <c r="B2323" s="2">
        <v>4494.29</v>
      </c>
      <c r="C2323" s="2">
        <v>4509.13</v>
      </c>
      <c r="D2323" s="2">
        <v>4482.55</v>
      </c>
      <c r="E2323" s="2">
        <v>5181575704015</v>
      </c>
      <c r="F2323" s="2">
        <v>77993478</v>
      </c>
      <c r="G2323">
        <v>2412.2600000000002</v>
      </c>
      <c r="H2323">
        <v>2429.91</v>
      </c>
      <c r="I2323">
        <v>2409.31</v>
      </c>
      <c r="J2323">
        <v>3769447764</v>
      </c>
      <c r="K2323">
        <v>0</v>
      </c>
      <c r="L2323" s="2">
        <f>VLOOKUP(A2323,[1]aaabonddata!$A:$B,2,0)</f>
        <v>2.57</v>
      </c>
    </row>
    <row r="2324" spans="1:12" x14ac:dyDescent="0.2">
      <c r="A2324" s="3">
        <v>42142</v>
      </c>
      <c r="B2324" s="2">
        <v>4512.95</v>
      </c>
      <c r="C2324" s="2">
        <v>4521.01</v>
      </c>
      <c r="D2324" s="2">
        <v>4483.76</v>
      </c>
      <c r="E2324" s="2">
        <v>5203086575187</v>
      </c>
      <c r="F2324" s="2">
        <v>0</v>
      </c>
      <c r="G2324">
        <v>2425.36</v>
      </c>
      <c r="H2324">
        <v>2427.94</v>
      </c>
      <c r="I2324">
        <v>2407.39</v>
      </c>
      <c r="J2324">
        <v>3789916890</v>
      </c>
      <c r="K2324">
        <v>0</v>
      </c>
      <c r="L2324" s="2">
        <f>VLOOKUP(A2324,[1]aaabonddata!$A:$B,2,0)</f>
        <v>2.64</v>
      </c>
    </row>
    <row r="2325" spans="1:12" x14ac:dyDescent="0.2">
      <c r="A2325" s="3">
        <v>42143</v>
      </c>
      <c r="B2325" s="2">
        <v>4503.72</v>
      </c>
      <c r="C2325" s="2">
        <v>4521.8500000000004</v>
      </c>
      <c r="D2325" s="2">
        <v>4498.53</v>
      </c>
      <c r="E2325" s="2">
        <v>5192445458454</v>
      </c>
      <c r="F2325" s="2">
        <v>3086904797</v>
      </c>
      <c r="G2325">
        <v>2412.8200000000002</v>
      </c>
      <c r="H2325">
        <v>2433.35</v>
      </c>
      <c r="I2325">
        <v>2410.77</v>
      </c>
      <c r="J2325">
        <v>3770314616</v>
      </c>
      <c r="K2325">
        <v>1552966</v>
      </c>
      <c r="L2325" s="2">
        <f>VLOOKUP(A2325,[1]aaabonddata!$A:$B,2,0)</f>
        <v>2.67</v>
      </c>
    </row>
    <row r="2326" spans="1:12" x14ac:dyDescent="0.2">
      <c r="A2326" s="3">
        <v>42144</v>
      </c>
      <c r="B2326" s="2">
        <v>4505.3</v>
      </c>
      <c r="C2326" s="2">
        <v>4533.92</v>
      </c>
      <c r="D2326" s="2">
        <v>4484.5200000000004</v>
      </c>
      <c r="E2326" s="2">
        <v>5194269151293</v>
      </c>
      <c r="F2326" s="2">
        <v>197672115</v>
      </c>
      <c r="G2326">
        <v>2416.38</v>
      </c>
      <c r="H2326">
        <v>2432.42</v>
      </c>
      <c r="I2326">
        <v>2411.39</v>
      </c>
      <c r="J2326">
        <v>3775886565</v>
      </c>
      <c r="K2326">
        <v>0</v>
      </c>
      <c r="L2326" s="2">
        <f>VLOOKUP(A2326,[1]aaabonddata!$A:$B,2,0)</f>
        <v>2.66</v>
      </c>
    </row>
    <row r="2327" spans="1:12" x14ac:dyDescent="0.2">
      <c r="A2327" s="3">
        <v>42145</v>
      </c>
      <c r="B2327" s="2">
        <v>4529.47</v>
      </c>
      <c r="C2327" s="2">
        <v>4537.28</v>
      </c>
      <c r="D2327" s="2">
        <v>4495.3900000000003</v>
      </c>
      <c r="E2327" s="2">
        <v>5222131723875</v>
      </c>
      <c r="F2327" s="2">
        <v>0</v>
      </c>
      <c r="G2327">
        <v>2421.41</v>
      </c>
      <c r="H2327">
        <v>2425.71</v>
      </c>
      <c r="I2327">
        <v>2402.2199999999998</v>
      </c>
      <c r="J2327">
        <v>3783745090</v>
      </c>
      <c r="K2327">
        <v>0</v>
      </c>
      <c r="L2327" s="2">
        <f>VLOOKUP(A2327,[1]aaabonddata!$A:$B,2,0)</f>
        <v>2.62</v>
      </c>
    </row>
    <row r="2328" spans="1:12" x14ac:dyDescent="0.2">
      <c r="A2328" s="3">
        <v>42146</v>
      </c>
      <c r="B2328" s="2">
        <v>4527.16</v>
      </c>
      <c r="C2328" s="2">
        <v>4542.46</v>
      </c>
      <c r="D2328" s="2">
        <v>4522.6099999999997</v>
      </c>
      <c r="E2328" s="2">
        <v>5219468473040</v>
      </c>
      <c r="F2328" s="2">
        <v>0</v>
      </c>
      <c r="G2328">
        <v>2427.4499999999998</v>
      </c>
      <c r="H2328">
        <v>2435.4499999999998</v>
      </c>
      <c r="I2328">
        <v>2420.62</v>
      </c>
      <c r="J2328">
        <v>3793187331</v>
      </c>
      <c r="K2328">
        <v>0</v>
      </c>
      <c r="L2328" s="2">
        <f>VLOOKUP(A2328,[1]aaabonddata!$A:$B,2,0)</f>
        <v>2.67</v>
      </c>
    </row>
    <row r="2329" spans="1:12" x14ac:dyDescent="0.2">
      <c r="A2329" s="3">
        <v>42150</v>
      </c>
      <c r="B2329" s="2">
        <v>4472.96</v>
      </c>
      <c r="C2329" s="2">
        <v>4521.8500000000004</v>
      </c>
      <c r="D2329" s="2">
        <v>4456.76</v>
      </c>
      <c r="E2329" s="2">
        <v>5156983623199</v>
      </c>
      <c r="F2329" s="2">
        <v>110701313</v>
      </c>
      <c r="G2329">
        <v>2399.0100000000002</v>
      </c>
      <c r="H2329">
        <v>2421.11</v>
      </c>
      <c r="I2329">
        <v>2389.31</v>
      </c>
      <c r="J2329">
        <v>3748736828</v>
      </c>
      <c r="K2329">
        <v>759879</v>
      </c>
      <c r="L2329" s="2">
        <f>VLOOKUP(A2329,[1]aaabonddata!$A:$B,2,0)</f>
        <v>2.6</v>
      </c>
    </row>
    <row r="2330" spans="1:12" x14ac:dyDescent="0.2">
      <c r="A2330" s="3">
        <v>42151</v>
      </c>
      <c r="B2330" s="2">
        <v>4546.0600000000004</v>
      </c>
      <c r="C2330" s="2">
        <v>4551.53</v>
      </c>
      <c r="D2330" s="2">
        <v>4479.74</v>
      </c>
      <c r="E2330" s="2">
        <v>5241262210322</v>
      </c>
      <c r="F2330" s="2">
        <v>201650954</v>
      </c>
      <c r="G2330">
        <v>2456.23</v>
      </c>
      <c r="H2330">
        <v>2461.4</v>
      </c>
      <c r="I2330">
        <v>2400.8000000000002</v>
      </c>
      <c r="J2330">
        <v>3838150669</v>
      </c>
      <c r="K2330">
        <v>959334</v>
      </c>
      <c r="L2330" s="2">
        <f>VLOOKUP(A2330,[1]aaabonddata!$A:$B,2,0)</f>
        <v>2.61</v>
      </c>
    </row>
    <row r="2331" spans="1:12" x14ac:dyDescent="0.2">
      <c r="A2331" s="3">
        <v>42152</v>
      </c>
      <c r="B2331" s="2">
        <v>4535.66</v>
      </c>
      <c r="C2331" s="2">
        <v>4548.24</v>
      </c>
      <c r="D2331" s="2">
        <v>4523.55</v>
      </c>
      <c r="E2331" s="2">
        <v>5229268670185</v>
      </c>
      <c r="F2331" s="2">
        <v>96499276</v>
      </c>
      <c r="G2331">
        <v>2458.6799999999998</v>
      </c>
      <c r="H2331">
        <v>2467.48</v>
      </c>
      <c r="I2331">
        <v>2450.48</v>
      </c>
      <c r="J2331">
        <v>3841982998</v>
      </c>
      <c r="K2331">
        <v>0</v>
      </c>
      <c r="L2331" s="2">
        <f>VLOOKUP(A2331,[1]aaabonddata!$A:$B,2,0)</f>
        <v>2.6</v>
      </c>
    </row>
    <row r="2332" spans="1:12" x14ac:dyDescent="0.2">
      <c r="A2332" s="3">
        <v>42153</v>
      </c>
      <c r="B2332" s="2">
        <v>4508.25</v>
      </c>
      <c r="C2332" s="2">
        <v>4539.57</v>
      </c>
      <c r="D2332" s="2">
        <v>4499.6499999999996</v>
      </c>
      <c r="E2332" s="2">
        <v>5197673284081</v>
      </c>
      <c r="F2332" s="2">
        <v>0</v>
      </c>
      <c r="G2332">
        <v>2449.37</v>
      </c>
      <c r="H2332">
        <v>2468.15</v>
      </c>
      <c r="I2332">
        <v>2443.33</v>
      </c>
      <c r="J2332">
        <v>3827430379</v>
      </c>
      <c r="K2332">
        <v>0</v>
      </c>
      <c r="L2332" s="2">
        <f>VLOOKUP(A2332,[1]aaabonddata!$A:$B,2,0)</f>
        <v>2.58</v>
      </c>
    </row>
    <row r="2333" spans="1:12" x14ac:dyDescent="0.2">
      <c r="A2333" s="3">
        <v>42156</v>
      </c>
      <c r="B2333" s="2">
        <v>4521.8500000000004</v>
      </c>
      <c r="C2333" s="2">
        <v>4535.43</v>
      </c>
      <c r="D2333" s="2">
        <v>4488.17</v>
      </c>
      <c r="E2333" s="2">
        <v>5213345895277</v>
      </c>
      <c r="F2333" s="2">
        <v>791788849</v>
      </c>
      <c r="G2333">
        <v>2460.12</v>
      </c>
      <c r="H2333">
        <v>2466.67</v>
      </c>
      <c r="I2333">
        <v>2444.0100000000002</v>
      </c>
      <c r="J2333">
        <v>3844234795</v>
      </c>
      <c r="K2333">
        <v>685323</v>
      </c>
      <c r="L2333" s="2">
        <f>VLOOKUP(A2333,[1]aaabonddata!$A:$B,2,0)</f>
        <v>2.71</v>
      </c>
    </row>
    <row r="2334" spans="1:12" x14ac:dyDescent="0.2">
      <c r="A2334" s="3">
        <v>42157</v>
      </c>
      <c r="B2334" s="2">
        <v>4508.8900000000003</v>
      </c>
      <c r="C2334" s="2">
        <v>4531.08</v>
      </c>
      <c r="D2334" s="2">
        <v>4486.1899999999996</v>
      </c>
      <c r="E2334" s="2">
        <v>5198402984139</v>
      </c>
      <c r="F2334" s="2">
        <v>0</v>
      </c>
      <c r="G2334">
        <v>2448.2199999999998</v>
      </c>
      <c r="H2334">
        <v>2460.15</v>
      </c>
      <c r="I2334">
        <v>2440.46</v>
      </c>
      <c r="J2334">
        <v>3825635886</v>
      </c>
      <c r="K2334">
        <v>0</v>
      </c>
      <c r="L2334" s="2">
        <f>VLOOKUP(A2334,[1]aaabonddata!$A:$B,2,0)</f>
        <v>2.76</v>
      </c>
    </row>
    <row r="2335" spans="1:12" x14ac:dyDescent="0.2">
      <c r="A2335" s="3">
        <v>42158</v>
      </c>
      <c r="B2335" s="2">
        <v>4519.8599999999997</v>
      </c>
      <c r="C2335" s="2">
        <v>4539.3599999999997</v>
      </c>
      <c r="D2335" s="2">
        <v>4512.4399999999996</v>
      </c>
      <c r="E2335" s="2">
        <v>5211058911716</v>
      </c>
      <c r="F2335" s="2">
        <v>55652576</v>
      </c>
      <c r="G2335">
        <v>2446.5100000000002</v>
      </c>
      <c r="H2335">
        <v>2463.6799999999998</v>
      </c>
      <c r="I2335">
        <v>2444.85</v>
      </c>
      <c r="J2335">
        <v>3822971968</v>
      </c>
      <c r="K2335">
        <v>0</v>
      </c>
      <c r="L2335" s="2">
        <f>VLOOKUP(A2335,[1]aaabonddata!$A:$B,2,0)</f>
        <v>2.83</v>
      </c>
    </row>
    <row r="2336" spans="1:12" x14ac:dyDescent="0.2">
      <c r="A2336" s="3">
        <v>42159</v>
      </c>
      <c r="B2336" s="2">
        <v>4487.03</v>
      </c>
      <c r="C2336" s="2">
        <v>4526.21</v>
      </c>
      <c r="D2336" s="2">
        <v>4475.05</v>
      </c>
      <c r="E2336" s="2">
        <v>5173205669993</v>
      </c>
      <c r="F2336" s="2">
        <v>0</v>
      </c>
      <c r="G2336">
        <v>2424.85</v>
      </c>
      <c r="H2336">
        <v>2445.0500000000002</v>
      </c>
      <c r="I2336">
        <v>2419.3000000000002</v>
      </c>
      <c r="J2336">
        <v>3789121625</v>
      </c>
      <c r="K2336">
        <v>0</v>
      </c>
      <c r="L2336" s="2">
        <f>VLOOKUP(A2336,[1]aaabonddata!$A:$B,2,0)</f>
        <v>2.78</v>
      </c>
    </row>
    <row r="2337" spans="1:12" x14ac:dyDescent="0.2">
      <c r="A2337" s="3">
        <v>42160</v>
      </c>
      <c r="B2337" s="2">
        <v>4477.1899999999996</v>
      </c>
      <c r="C2337" s="2">
        <v>4493.43</v>
      </c>
      <c r="D2337" s="2">
        <v>4452.32</v>
      </c>
      <c r="E2337" s="2">
        <v>5161854453856</v>
      </c>
      <c r="F2337" s="2">
        <v>48994304</v>
      </c>
      <c r="G2337">
        <v>2426.4299999999998</v>
      </c>
      <c r="H2337">
        <v>2431.9899999999998</v>
      </c>
      <c r="I2337">
        <v>2407.39</v>
      </c>
      <c r="J2337">
        <v>3791585569</v>
      </c>
      <c r="K2337">
        <v>0</v>
      </c>
      <c r="L2337" s="2">
        <f>VLOOKUP(A2337,[1]aaabonddata!$A:$B,2,0)</f>
        <v>2.86</v>
      </c>
    </row>
    <row r="2338" spans="1:12" x14ac:dyDescent="0.2">
      <c r="A2338" s="3">
        <v>42163</v>
      </c>
      <c r="B2338" s="2">
        <v>4431.51</v>
      </c>
      <c r="C2338" s="2">
        <v>4477.83</v>
      </c>
      <c r="D2338" s="2">
        <v>4423.8</v>
      </c>
      <c r="E2338" s="2">
        <v>5109199941840</v>
      </c>
      <c r="F2338" s="2">
        <v>150151847</v>
      </c>
      <c r="G2338">
        <v>2391.11</v>
      </c>
      <c r="H2338">
        <v>2426.02</v>
      </c>
      <c r="I2338">
        <v>2386.9699999999998</v>
      </c>
      <c r="J2338">
        <v>3736389664</v>
      </c>
      <c r="K2338">
        <v>993903</v>
      </c>
      <c r="L2338" s="2">
        <f>VLOOKUP(A2338,[1]aaabonddata!$A:$B,2,0)</f>
        <v>2.83</v>
      </c>
    </row>
    <row r="2339" spans="1:12" x14ac:dyDescent="0.2">
      <c r="A2339" s="3">
        <v>42164</v>
      </c>
      <c r="B2339" s="2">
        <v>4427.6099999999997</v>
      </c>
      <c r="C2339" s="2">
        <v>4441.62</v>
      </c>
      <c r="D2339" s="2">
        <v>4392.45</v>
      </c>
      <c r="E2339" s="2">
        <v>5104695994743</v>
      </c>
      <c r="F2339" s="2">
        <v>0</v>
      </c>
      <c r="G2339">
        <v>2384.79</v>
      </c>
      <c r="H2339">
        <v>2391.08</v>
      </c>
      <c r="I2339">
        <v>2368.23</v>
      </c>
      <c r="J2339">
        <v>3726512712</v>
      </c>
      <c r="K2339">
        <v>0</v>
      </c>
      <c r="L2339" s="2">
        <f>VLOOKUP(A2339,[1]aaabonddata!$A:$B,2,0)</f>
        <v>2.86</v>
      </c>
    </row>
    <row r="2340" spans="1:12" x14ac:dyDescent="0.2">
      <c r="A2340" s="3">
        <v>42165</v>
      </c>
      <c r="B2340" s="2">
        <v>4485.46</v>
      </c>
      <c r="C2340" s="2">
        <v>4497.51</v>
      </c>
      <c r="D2340" s="2">
        <v>4435.29</v>
      </c>
      <c r="E2340" s="2">
        <v>5171398194215</v>
      </c>
      <c r="F2340" s="2">
        <v>743652645</v>
      </c>
      <c r="G2340">
        <v>2418.52</v>
      </c>
      <c r="H2340">
        <v>2424.3200000000002</v>
      </c>
      <c r="I2340">
        <v>2393.7399999999998</v>
      </c>
      <c r="J2340">
        <v>3779220358</v>
      </c>
      <c r="K2340">
        <v>0</v>
      </c>
      <c r="L2340" s="2">
        <f>VLOOKUP(A2340,[1]aaabonddata!$A:$B,2,0)</f>
        <v>2.91</v>
      </c>
    </row>
    <row r="2341" spans="1:12" x14ac:dyDescent="0.2">
      <c r="A2341" s="3">
        <v>42166</v>
      </c>
      <c r="B2341" s="2">
        <v>4488.47</v>
      </c>
      <c r="C2341" s="2">
        <v>4511.32</v>
      </c>
      <c r="D2341" s="2">
        <v>4483.84</v>
      </c>
      <c r="E2341" s="2">
        <v>5174865327031</v>
      </c>
      <c r="F2341" s="2">
        <v>142061820</v>
      </c>
      <c r="G2341">
        <v>2419.08</v>
      </c>
      <c r="H2341">
        <v>2430.87</v>
      </c>
      <c r="I2341">
        <v>2417.31</v>
      </c>
      <c r="J2341">
        <v>3780100560</v>
      </c>
      <c r="K2341">
        <v>0</v>
      </c>
      <c r="L2341" s="2">
        <f>VLOOKUP(A2341,[1]aaabonddata!$A:$B,2,0)</f>
        <v>2.84</v>
      </c>
    </row>
    <row r="2342" spans="1:12" x14ac:dyDescent="0.2">
      <c r="A2342" s="3">
        <v>42167</v>
      </c>
      <c r="B2342" s="2">
        <v>4453.79</v>
      </c>
      <c r="C2342" s="2">
        <v>4476.21</v>
      </c>
      <c r="D2342" s="2">
        <v>4449.21</v>
      </c>
      <c r="E2342" s="2">
        <v>5134886130481</v>
      </c>
      <c r="F2342" s="2">
        <v>738268374</v>
      </c>
      <c r="G2342">
        <v>2400.46</v>
      </c>
      <c r="H2342">
        <v>2413.1</v>
      </c>
      <c r="I2342">
        <v>2397.86</v>
      </c>
      <c r="J2342">
        <v>3751012462</v>
      </c>
      <c r="K2342">
        <v>1030511</v>
      </c>
      <c r="L2342" s="2">
        <f>VLOOKUP(A2342,[1]aaabonddata!$A:$B,2,0)</f>
        <v>2.85</v>
      </c>
    </row>
    <row r="2343" spans="1:12" x14ac:dyDescent="0.2">
      <c r="A2343" s="3">
        <v>42170</v>
      </c>
      <c r="B2343" s="2">
        <v>4432.92</v>
      </c>
      <c r="C2343" s="2">
        <v>4437.97</v>
      </c>
      <c r="D2343" s="2">
        <v>4396.13</v>
      </c>
      <c r="E2343" s="2">
        <v>5110815447836</v>
      </c>
      <c r="F2343" s="2">
        <v>0</v>
      </c>
      <c r="G2343">
        <v>2385.13</v>
      </c>
      <c r="H2343">
        <v>2387.4699999999998</v>
      </c>
      <c r="I2343">
        <v>2366.2600000000002</v>
      </c>
      <c r="J2343">
        <v>3727043647</v>
      </c>
      <c r="K2343">
        <v>0</v>
      </c>
      <c r="L2343" s="2">
        <f>VLOOKUP(A2343,[1]aaabonddata!$A:$B,2,0)</f>
        <v>2.83</v>
      </c>
    </row>
    <row r="2344" spans="1:12" x14ac:dyDescent="0.2">
      <c r="A2344" s="3">
        <v>42171</v>
      </c>
      <c r="B2344" s="2">
        <v>4455.8999999999996</v>
      </c>
      <c r="C2344" s="2">
        <v>4463.2</v>
      </c>
      <c r="D2344" s="2">
        <v>4426.1899999999996</v>
      </c>
      <c r="E2344" s="2">
        <v>5137310951487</v>
      </c>
      <c r="F2344" s="2">
        <v>0</v>
      </c>
      <c r="G2344">
        <v>2394.7600000000002</v>
      </c>
      <c r="H2344">
        <v>2398.1999999999998</v>
      </c>
      <c r="I2344">
        <v>2379.17</v>
      </c>
      <c r="J2344">
        <v>3742103747</v>
      </c>
      <c r="K2344">
        <v>0</v>
      </c>
      <c r="L2344" s="2">
        <f>VLOOKUP(A2344,[1]aaabonddata!$A:$B,2,0)</f>
        <v>2.81</v>
      </c>
    </row>
    <row r="2345" spans="1:12" x14ac:dyDescent="0.2">
      <c r="A2345" s="3">
        <v>42172</v>
      </c>
      <c r="B2345" s="2">
        <v>4468.9799999999996</v>
      </c>
      <c r="C2345" s="2">
        <v>4482.2700000000004</v>
      </c>
      <c r="D2345" s="2">
        <v>4441.34</v>
      </c>
      <c r="E2345" s="2">
        <v>5152397228063</v>
      </c>
      <c r="F2345" s="2">
        <v>102547769</v>
      </c>
      <c r="G2345">
        <v>2399.09</v>
      </c>
      <c r="H2345">
        <v>2407.5100000000002</v>
      </c>
      <c r="I2345">
        <v>2387.08</v>
      </c>
      <c r="J2345">
        <v>3748865243</v>
      </c>
      <c r="K2345">
        <v>300098</v>
      </c>
      <c r="L2345" s="2">
        <f>VLOOKUP(A2345,[1]aaabonddata!$A:$B,2,0)</f>
        <v>2.79</v>
      </c>
    </row>
    <row r="2346" spans="1:12" x14ac:dyDescent="0.2">
      <c r="A2346" s="3">
        <v>42173</v>
      </c>
      <c r="B2346" s="2">
        <v>4531.8500000000004</v>
      </c>
      <c r="C2346" s="2">
        <v>4540.6899999999996</v>
      </c>
      <c r="D2346" s="2">
        <v>4483.6099999999997</v>
      </c>
      <c r="E2346" s="2">
        <v>5224876388185</v>
      </c>
      <c r="F2346" s="2">
        <v>0</v>
      </c>
      <c r="G2346">
        <v>2428.04</v>
      </c>
      <c r="H2346">
        <v>2434.15</v>
      </c>
      <c r="I2346">
        <v>2406.2800000000002</v>
      </c>
      <c r="J2346">
        <v>3794099182</v>
      </c>
      <c r="K2346">
        <v>0</v>
      </c>
      <c r="L2346" s="2">
        <f>VLOOKUP(A2346,[1]aaabonddata!$A:$B,2,0)</f>
        <v>2.83</v>
      </c>
    </row>
    <row r="2347" spans="1:12" x14ac:dyDescent="0.2">
      <c r="A2347" s="3">
        <v>42174</v>
      </c>
      <c r="B2347" s="2">
        <v>4513.42</v>
      </c>
      <c r="C2347" s="2">
        <v>4539.49</v>
      </c>
      <c r="D2347" s="2">
        <v>4511.21</v>
      </c>
      <c r="E2347" s="2">
        <v>5203635418869</v>
      </c>
      <c r="F2347" s="2">
        <v>0</v>
      </c>
      <c r="G2347">
        <v>2414.77</v>
      </c>
      <c r="H2347">
        <v>2431.5500000000002</v>
      </c>
      <c r="I2347">
        <v>2410.02</v>
      </c>
      <c r="J2347">
        <v>3773372770</v>
      </c>
      <c r="K2347">
        <v>0</v>
      </c>
      <c r="L2347" s="2">
        <f>VLOOKUP(A2347,[1]aaabonddata!$A:$B,2,0)</f>
        <v>2.77</v>
      </c>
    </row>
    <row r="2348" spans="1:12" x14ac:dyDescent="0.2">
      <c r="A2348" s="3">
        <v>42177</v>
      </c>
      <c r="B2348" s="2">
        <v>4544.04</v>
      </c>
      <c r="C2348" s="2">
        <v>4557.9799999999996</v>
      </c>
      <c r="D2348" s="2">
        <v>4534.76</v>
      </c>
      <c r="E2348" s="2">
        <v>5218107683988</v>
      </c>
      <c r="F2348" s="2">
        <v>0</v>
      </c>
      <c r="G2348">
        <v>2431.1</v>
      </c>
      <c r="H2348">
        <v>2434.6</v>
      </c>
      <c r="I2348">
        <v>2421.83</v>
      </c>
      <c r="J2348">
        <v>3825686034</v>
      </c>
      <c r="K2348">
        <v>0</v>
      </c>
      <c r="L2348" s="2">
        <f>VLOOKUP(A2348,[1]aaabonddata!$A:$B,2,0)</f>
        <v>2.84</v>
      </c>
    </row>
    <row r="2349" spans="1:12" x14ac:dyDescent="0.2">
      <c r="A2349" s="3">
        <v>42178</v>
      </c>
      <c r="B2349" s="2">
        <v>4548.74</v>
      </c>
      <c r="C2349" s="2">
        <v>4551.7700000000004</v>
      </c>
      <c r="D2349" s="2">
        <v>4529.99</v>
      </c>
      <c r="E2349" s="2">
        <v>5223505218962</v>
      </c>
      <c r="F2349" s="2">
        <v>0</v>
      </c>
      <c r="G2349">
        <v>2423.35</v>
      </c>
      <c r="H2349">
        <v>2436.2800000000002</v>
      </c>
      <c r="I2349">
        <v>2417.6999999999998</v>
      </c>
      <c r="J2349">
        <v>3813503092</v>
      </c>
      <c r="K2349">
        <v>0</v>
      </c>
      <c r="L2349" s="2">
        <f>VLOOKUP(A2349,[1]aaabonddata!$A:$B,2,0)</f>
        <v>2.87</v>
      </c>
    </row>
    <row r="2350" spans="1:12" x14ac:dyDescent="0.2">
      <c r="A2350" s="3">
        <v>42179</v>
      </c>
      <c r="B2350" s="2">
        <v>4524.6000000000004</v>
      </c>
      <c r="C2350" s="2">
        <v>4561.6400000000003</v>
      </c>
      <c r="D2350" s="2">
        <v>4523.8999999999996</v>
      </c>
      <c r="E2350" s="2">
        <v>5195780595251</v>
      </c>
      <c r="F2350" s="2">
        <v>76878426</v>
      </c>
      <c r="G2350">
        <v>2403.15</v>
      </c>
      <c r="H2350">
        <v>2422.38</v>
      </c>
      <c r="I2350">
        <v>2401.63</v>
      </c>
      <c r="J2350">
        <v>3781701676</v>
      </c>
      <c r="K2350">
        <v>0</v>
      </c>
      <c r="L2350" s="2">
        <f>VLOOKUP(A2350,[1]aaabonddata!$A:$B,2,0)</f>
        <v>2.84</v>
      </c>
    </row>
    <row r="2351" spans="1:12" x14ac:dyDescent="0.2">
      <c r="A2351" s="3">
        <v>42180</v>
      </c>
      <c r="B2351" s="2">
        <v>4514.01</v>
      </c>
      <c r="C2351" s="2">
        <v>4546.1499999999996</v>
      </c>
      <c r="D2351" s="2">
        <v>4508.66</v>
      </c>
      <c r="E2351" s="2">
        <v>5183620245914</v>
      </c>
      <c r="F2351" s="2">
        <v>0</v>
      </c>
      <c r="G2351">
        <v>2394.83</v>
      </c>
      <c r="H2351">
        <v>2411.4899999999998</v>
      </c>
      <c r="I2351">
        <v>2390.64</v>
      </c>
      <c r="J2351">
        <v>3768613460</v>
      </c>
      <c r="K2351">
        <v>0</v>
      </c>
      <c r="L2351" s="2">
        <f>VLOOKUP(A2351,[1]aaabonddata!$A:$B,2,0)</f>
        <v>2.86</v>
      </c>
    </row>
    <row r="2352" spans="1:12" x14ac:dyDescent="0.2">
      <c r="A2352" s="3">
        <v>42181</v>
      </c>
      <c r="B2352" s="2">
        <v>4484.28</v>
      </c>
      <c r="C2352" s="2">
        <v>4523.97</v>
      </c>
      <c r="D2352" s="2">
        <v>4469.2299999999996</v>
      </c>
      <c r="E2352" s="2">
        <v>5149484279355</v>
      </c>
      <c r="F2352" s="2">
        <v>288259475</v>
      </c>
      <c r="G2352">
        <v>2355.89</v>
      </c>
      <c r="H2352">
        <v>2381.66</v>
      </c>
      <c r="I2352">
        <v>2347.5300000000002</v>
      </c>
      <c r="J2352">
        <v>3707345219</v>
      </c>
      <c r="K2352">
        <v>0</v>
      </c>
      <c r="L2352" s="2">
        <f>VLOOKUP(A2352,[1]aaabonddata!$A:$B,2,0)</f>
        <v>2.91</v>
      </c>
    </row>
    <row r="2353" spans="1:12" x14ac:dyDescent="0.2">
      <c r="A2353" s="3">
        <v>42184</v>
      </c>
      <c r="B2353" s="2">
        <v>4379.8599999999997</v>
      </c>
      <c r="C2353" s="2">
        <v>4460.08</v>
      </c>
      <c r="D2353" s="2">
        <v>4377.2299999999996</v>
      </c>
      <c r="E2353" s="2">
        <v>5029578721427</v>
      </c>
      <c r="F2353" s="2">
        <v>626024697</v>
      </c>
      <c r="G2353">
        <v>2299.4699999999998</v>
      </c>
      <c r="H2353">
        <v>2339.89</v>
      </c>
      <c r="I2353">
        <v>2298.12</v>
      </c>
      <c r="J2353">
        <v>3618553633</v>
      </c>
      <c r="K2353">
        <v>0</v>
      </c>
      <c r="L2353" s="2">
        <f>VLOOKUP(A2353,[1]aaabonddata!$A:$B,2,0)</f>
        <v>2.81</v>
      </c>
    </row>
    <row r="2354" spans="1:12" x14ac:dyDescent="0.2">
      <c r="A2354" s="3">
        <v>42185</v>
      </c>
      <c r="B2354" s="2">
        <v>4396.76</v>
      </c>
      <c r="C2354" s="2">
        <v>4420.5</v>
      </c>
      <c r="D2354" s="2">
        <v>4381.9399999999996</v>
      </c>
      <c r="E2354" s="2">
        <v>5048981313387</v>
      </c>
      <c r="F2354" s="2">
        <v>162032397</v>
      </c>
      <c r="G2354">
        <v>2298.79</v>
      </c>
      <c r="H2354">
        <v>2316.86</v>
      </c>
      <c r="I2354">
        <v>2294.37</v>
      </c>
      <c r="J2354">
        <v>3617475835</v>
      </c>
      <c r="K2354">
        <v>549330</v>
      </c>
      <c r="L2354" s="2">
        <f>VLOOKUP(A2354,[1]aaabonddata!$A:$B,2,0)</f>
        <v>2.82</v>
      </c>
    </row>
    <row r="2355" spans="1:12" x14ac:dyDescent="0.2">
      <c r="A2355" s="3">
        <v>42186</v>
      </c>
      <c r="B2355" s="2">
        <v>4429.2299999999996</v>
      </c>
      <c r="C2355" s="2">
        <v>4445.8999999999996</v>
      </c>
      <c r="D2355" s="2">
        <v>4409.42</v>
      </c>
      <c r="E2355" s="2">
        <v>5086261556205</v>
      </c>
      <c r="F2355" s="2">
        <v>1068036633</v>
      </c>
      <c r="G2355">
        <v>2307.6</v>
      </c>
      <c r="H2355">
        <v>2324.91</v>
      </c>
      <c r="I2355">
        <v>2300.2600000000002</v>
      </c>
      <c r="J2355">
        <v>3631350219</v>
      </c>
      <c r="K2355">
        <v>723390</v>
      </c>
      <c r="L2355" s="2">
        <f>VLOOKUP(A2355,[1]aaabonddata!$A:$B,2,0)</f>
        <v>2.89</v>
      </c>
    </row>
    <row r="2356" spans="1:12" x14ac:dyDescent="0.2">
      <c r="A2356" s="3">
        <v>42187</v>
      </c>
      <c r="B2356" s="2">
        <v>4433.3900000000003</v>
      </c>
      <c r="C2356" s="2">
        <v>4445.83</v>
      </c>
      <c r="D2356" s="2">
        <v>4417.4799999999996</v>
      </c>
      <c r="E2356" s="2">
        <v>5091047764176</v>
      </c>
      <c r="F2356" s="2">
        <v>0</v>
      </c>
      <c r="G2356">
        <v>2311.27</v>
      </c>
      <c r="H2356">
        <v>2315.02</v>
      </c>
      <c r="I2356">
        <v>2301.7399999999998</v>
      </c>
      <c r="J2356">
        <v>3637113851</v>
      </c>
      <c r="K2356">
        <v>0</v>
      </c>
      <c r="L2356" s="2">
        <f>VLOOKUP(A2356,[1]aaabonddata!$A:$B,2,0)</f>
        <v>2.85</v>
      </c>
    </row>
    <row r="2357" spans="1:12" x14ac:dyDescent="0.2">
      <c r="A2357" s="3">
        <v>42191</v>
      </c>
      <c r="B2357" s="2">
        <v>4418.66</v>
      </c>
      <c r="C2357" s="2">
        <v>4444.41</v>
      </c>
      <c r="D2357" s="2">
        <v>4394.4399999999996</v>
      </c>
      <c r="E2357" s="2">
        <v>5064396631241</v>
      </c>
      <c r="F2357" s="2">
        <v>0</v>
      </c>
      <c r="G2357">
        <v>2286.3200000000002</v>
      </c>
      <c r="H2357">
        <v>2308.31</v>
      </c>
      <c r="I2357">
        <v>2277.4299999999998</v>
      </c>
      <c r="J2357">
        <v>3597865372</v>
      </c>
      <c r="K2357">
        <v>0</v>
      </c>
      <c r="L2357" s="2">
        <f>VLOOKUP(A2357,[1]aaabonddata!$A:$B,2,0)</f>
        <v>2.77</v>
      </c>
    </row>
    <row r="2358" spans="1:12" x14ac:dyDescent="0.2">
      <c r="A2358" s="3">
        <v>42192</v>
      </c>
      <c r="B2358" s="2">
        <v>4429.0600000000004</v>
      </c>
      <c r="C2358" s="2">
        <v>4434.91</v>
      </c>
      <c r="D2358" s="2">
        <v>4344.1499999999996</v>
      </c>
      <c r="E2358" s="2">
        <v>5076314527454</v>
      </c>
      <c r="F2358" s="2">
        <v>0</v>
      </c>
      <c r="G2358">
        <v>2289.6999999999998</v>
      </c>
      <c r="H2358">
        <v>2294.75</v>
      </c>
      <c r="I2358">
        <v>2235.38</v>
      </c>
      <c r="J2358">
        <v>3603177283</v>
      </c>
      <c r="K2358">
        <v>0</v>
      </c>
      <c r="L2358" s="2">
        <f>VLOOKUP(A2358,[1]aaabonddata!$A:$B,2,0)</f>
        <v>2.74</v>
      </c>
    </row>
    <row r="2359" spans="1:12" x14ac:dyDescent="0.2">
      <c r="A2359" s="3">
        <v>42193</v>
      </c>
      <c r="B2359" s="2">
        <v>4351.58</v>
      </c>
      <c r="C2359" s="2">
        <v>4403.13</v>
      </c>
      <c r="D2359" s="2">
        <v>4346.42</v>
      </c>
      <c r="E2359" s="2">
        <v>4987508940120</v>
      </c>
      <c r="F2359" s="2">
        <v>125033639</v>
      </c>
      <c r="G2359">
        <v>2249.94</v>
      </c>
      <c r="H2359">
        <v>2272.44</v>
      </c>
      <c r="I2359">
        <v>2246.25</v>
      </c>
      <c r="J2359">
        <v>3540612457</v>
      </c>
      <c r="K2359">
        <v>770151</v>
      </c>
      <c r="L2359" s="2">
        <f>VLOOKUP(A2359,[1]aaabonddata!$A:$B,2,0)</f>
        <v>2.72</v>
      </c>
    </row>
    <row r="2360" spans="1:12" x14ac:dyDescent="0.2">
      <c r="A2360" s="3">
        <v>42194</v>
      </c>
      <c r="B2360" s="2">
        <v>4352.03</v>
      </c>
      <c r="C2360" s="2">
        <v>4414.43</v>
      </c>
      <c r="D2360" s="2">
        <v>4351.51</v>
      </c>
      <c r="E2360" s="2">
        <v>4988029852502</v>
      </c>
      <c r="F2360" s="2">
        <v>0</v>
      </c>
      <c r="G2360">
        <v>2241.2199999999998</v>
      </c>
      <c r="H2360">
        <v>2286.3200000000002</v>
      </c>
      <c r="I2360">
        <v>2241.2199999999998</v>
      </c>
      <c r="J2360">
        <v>3526890298</v>
      </c>
      <c r="K2360">
        <v>0</v>
      </c>
      <c r="L2360" s="2">
        <f>VLOOKUP(A2360,[1]aaabonddata!$A:$B,2,0)</f>
        <v>2.8</v>
      </c>
    </row>
    <row r="2361" spans="1:12" x14ac:dyDescent="0.2">
      <c r="A2361" s="3">
        <v>42195</v>
      </c>
      <c r="B2361" s="2">
        <v>4420.1499999999996</v>
      </c>
      <c r="C2361" s="2">
        <v>4434.1099999999997</v>
      </c>
      <c r="D2361" s="2">
        <v>4394.01</v>
      </c>
      <c r="E2361" s="2">
        <v>5066104253249</v>
      </c>
      <c r="F2361" s="2">
        <v>0</v>
      </c>
      <c r="G2361">
        <v>2266.21</v>
      </c>
      <c r="H2361">
        <v>2273.5300000000002</v>
      </c>
      <c r="I2361">
        <v>2254.08</v>
      </c>
      <c r="J2361">
        <v>3566219843</v>
      </c>
      <c r="K2361">
        <v>0</v>
      </c>
      <c r="L2361" s="2">
        <f>VLOOKUP(A2361,[1]aaabonddata!$A:$B,2,0)</f>
        <v>2.89</v>
      </c>
    </row>
    <row r="2362" spans="1:12" x14ac:dyDescent="0.2">
      <c r="A2362" s="3">
        <v>42198</v>
      </c>
      <c r="B2362" s="2">
        <v>4494.47</v>
      </c>
      <c r="C2362" s="2">
        <v>4498.74</v>
      </c>
      <c r="D2362" s="2">
        <v>4456.54</v>
      </c>
      <c r="E2362" s="2">
        <v>5151282037067</v>
      </c>
      <c r="F2362" s="2">
        <v>0</v>
      </c>
      <c r="G2362">
        <v>2294.04</v>
      </c>
      <c r="H2362">
        <v>2298.13</v>
      </c>
      <c r="I2362">
        <v>2275.0700000000002</v>
      </c>
      <c r="J2362">
        <v>3610004463</v>
      </c>
      <c r="K2362">
        <v>0</v>
      </c>
      <c r="L2362" s="2">
        <f>VLOOKUP(A2362,[1]aaabonddata!$A:$B,2,0)</f>
        <v>2.9</v>
      </c>
    </row>
    <row r="2363" spans="1:12" x14ac:dyDescent="0.2">
      <c r="A2363" s="3">
        <v>42199</v>
      </c>
      <c r="B2363" s="2">
        <v>4523.47</v>
      </c>
      <c r="C2363" s="2">
        <v>4537.21</v>
      </c>
      <c r="D2363" s="2">
        <v>4500.66</v>
      </c>
      <c r="E2363" s="2">
        <v>5184515936117</v>
      </c>
      <c r="F2363" s="2">
        <v>0</v>
      </c>
      <c r="G2363">
        <v>2312.0300000000002</v>
      </c>
      <c r="H2363">
        <v>2318.59</v>
      </c>
      <c r="I2363">
        <v>2302.06</v>
      </c>
      <c r="J2363">
        <v>3638318554</v>
      </c>
      <c r="K2363">
        <v>0</v>
      </c>
      <c r="L2363" s="2">
        <f>VLOOKUP(A2363,[1]aaabonddata!$A:$B,2,0)</f>
        <v>2.87</v>
      </c>
    </row>
    <row r="2364" spans="1:12" x14ac:dyDescent="0.2">
      <c r="A2364" s="3">
        <v>42200</v>
      </c>
      <c r="B2364" s="2">
        <v>4528.3599999999997</v>
      </c>
      <c r="C2364" s="2">
        <v>4547.18</v>
      </c>
      <c r="D2364" s="2">
        <v>4517.3999999999996</v>
      </c>
      <c r="E2364" s="2">
        <v>5248774168947</v>
      </c>
      <c r="F2364" s="2">
        <v>0</v>
      </c>
      <c r="G2364">
        <v>2303.06</v>
      </c>
      <c r="H2364">
        <v>2313.37</v>
      </c>
      <c r="I2364">
        <v>2296.41</v>
      </c>
      <c r="J2364">
        <v>3624209215</v>
      </c>
      <c r="K2364">
        <v>0</v>
      </c>
      <c r="L2364" s="2">
        <f>VLOOKUP(A2364,[1]aaabonddata!$A:$B,2,0)</f>
        <v>2.83</v>
      </c>
    </row>
    <row r="2365" spans="1:12" x14ac:dyDescent="0.2">
      <c r="A2365" s="3">
        <v>42201</v>
      </c>
      <c r="B2365" s="2">
        <v>4594.8999999999996</v>
      </c>
      <c r="C2365" s="2">
        <v>4595.0200000000004</v>
      </c>
      <c r="D2365" s="2">
        <v>4558.32</v>
      </c>
      <c r="E2365" s="2">
        <v>5325897479977</v>
      </c>
      <c r="F2365" s="2">
        <v>0</v>
      </c>
      <c r="G2365">
        <v>2309.52</v>
      </c>
      <c r="H2365">
        <v>2309.5500000000002</v>
      </c>
      <c r="I2365">
        <v>2295.34</v>
      </c>
      <c r="J2365">
        <v>3634368040</v>
      </c>
      <c r="K2365">
        <v>0</v>
      </c>
      <c r="L2365" s="2">
        <f>VLOOKUP(A2365,[1]aaabonddata!$A:$B,2,0)</f>
        <v>2.85</v>
      </c>
    </row>
    <row r="2366" spans="1:12" x14ac:dyDescent="0.2">
      <c r="A2366" s="3">
        <v>42202</v>
      </c>
      <c r="B2366" s="2">
        <v>4661.6000000000004</v>
      </c>
      <c r="C2366" s="2">
        <v>4661.6000000000004</v>
      </c>
      <c r="D2366" s="2">
        <v>4624.68</v>
      </c>
      <c r="E2366" s="2">
        <v>5403210132845</v>
      </c>
      <c r="F2366" s="2">
        <v>0</v>
      </c>
      <c r="G2366">
        <v>2321.69</v>
      </c>
      <c r="H2366">
        <v>2322.86</v>
      </c>
      <c r="I2366">
        <v>2310.0500000000002</v>
      </c>
      <c r="J2366">
        <v>3653516206</v>
      </c>
      <c r="K2366">
        <v>0</v>
      </c>
      <c r="L2366" s="2">
        <f>VLOOKUP(A2366,[1]aaabonddata!$A:$B,2,0)</f>
        <v>2.84</v>
      </c>
    </row>
    <row r="2367" spans="1:12" x14ac:dyDescent="0.2">
      <c r="A2367" s="3">
        <v>42205</v>
      </c>
      <c r="B2367" s="2">
        <v>4679.68</v>
      </c>
      <c r="C2367" s="2">
        <v>4694.13</v>
      </c>
      <c r="D2367" s="2">
        <v>4657.9799999999996</v>
      </c>
      <c r="E2367" s="2">
        <v>5377346716887</v>
      </c>
      <c r="F2367" s="2">
        <v>0</v>
      </c>
      <c r="G2367">
        <v>2314.0500000000002</v>
      </c>
      <c r="H2367">
        <v>2325.4299999999998</v>
      </c>
      <c r="I2367">
        <v>2312.4299999999998</v>
      </c>
      <c r="J2367">
        <v>3641490770</v>
      </c>
      <c r="K2367">
        <v>0</v>
      </c>
      <c r="L2367" s="2">
        <f>VLOOKUP(A2367,[1]aaabonddata!$A:$B,2,0)</f>
        <v>2.87</v>
      </c>
    </row>
    <row r="2368" spans="1:12" x14ac:dyDescent="0.2">
      <c r="A2368" s="3">
        <v>42206</v>
      </c>
      <c r="B2368" s="2">
        <v>4674.41</v>
      </c>
      <c r="C2368" s="2">
        <v>4686.3599999999997</v>
      </c>
      <c r="D2368" s="2">
        <v>4661.76</v>
      </c>
      <c r="E2368" s="2">
        <v>5371291316172</v>
      </c>
      <c r="F2368" s="2">
        <v>0</v>
      </c>
      <c r="G2368">
        <v>2317.4699999999998</v>
      </c>
      <c r="H2368">
        <v>2328.12</v>
      </c>
      <c r="I2368">
        <v>2312.9</v>
      </c>
      <c r="J2368">
        <v>3646882503</v>
      </c>
      <c r="K2368">
        <v>0</v>
      </c>
      <c r="L2368" s="2">
        <f>VLOOKUP(A2368,[1]aaabonddata!$A:$B,2,0)</f>
        <v>2.85</v>
      </c>
    </row>
    <row r="2369" spans="1:12" x14ac:dyDescent="0.2">
      <c r="A2369" s="3">
        <v>42207</v>
      </c>
      <c r="B2369" s="2">
        <v>4623.24</v>
      </c>
      <c r="C2369" s="2">
        <v>4643.83</v>
      </c>
      <c r="D2369" s="2">
        <v>4604.53</v>
      </c>
      <c r="E2369" s="2">
        <v>5312499717914</v>
      </c>
      <c r="F2369" s="2">
        <v>0</v>
      </c>
      <c r="G2369">
        <v>2294.61</v>
      </c>
      <c r="H2369">
        <v>2299.56</v>
      </c>
      <c r="I2369">
        <v>2282.69</v>
      </c>
      <c r="J2369">
        <v>3610904807</v>
      </c>
      <c r="K2369">
        <v>0</v>
      </c>
      <c r="L2369" s="2">
        <f>VLOOKUP(A2369,[1]aaabonddata!$A:$B,2,0)</f>
        <v>2.84</v>
      </c>
    </row>
    <row r="2370" spans="1:12" x14ac:dyDescent="0.2">
      <c r="A2370" s="3">
        <v>42208</v>
      </c>
      <c r="B2370" s="2">
        <v>4602.83</v>
      </c>
      <c r="C2370" s="2">
        <v>4641.58</v>
      </c>
      <c r="D2370" s="2">
        <v>4592.49</v>
      </c>
      <c r="E2370" s="2">
        <v>5289044877833</v>
      </c>
      <c r="F2370" s="2">
        <v>666888242</v>
      </c>
      <c r="G2370">
        <v>2311.6</v>
      </c>
      <c r="H2370">
        <v>2334.98</v>
      </c>
      <c r="I2370">
        <v>2302.8000000000002</v>
      </c>
      <c r="J2370">
        <v>3637647209</v>
      </c>
      <c r="K2370">
        <v>0</v>
      </c>
      <c r="L2370" s="2">
        <f>VLOOKUP(A2370,[1]aaabonddata!$A:$B,2,0)</f>
        <v>2.81</v>
      </c>
    </row>
    <row r="2371" spans="1:12" x14ac:dyDescent="0.2">
      <c r="A2371" s="3">
        <v>42209</v>
      </c>
      <c r="B2371" s="2">
        <v>4557.37</v>
      </c>
      <c r="C2371" s="2">
        <v>4632.0600000000004</v>
      </c>
      <c r="D2371" s="2">
        <v>4552.3999999999996</v>
      </c>
      <c r="E2371" s="2">
        <v>5224152523414</v>
      </c>
      <c r="F2371" s="2">
        <v>82307412</v>
      </c>
      <c r="G2371">
        <v>2280.63</v>
      </c>
      <c r="H2371">
        <v>2317.96</v>
      </c>
      <c r="I2371">
        <v>2276.13</v>
      </c>
      <c r="J2371">
        <v>3489651226</v>
      </c>
      <c r="K2371">
        <v>0</v>
      </c>
      <c r="L2371" s="2">
        <f>VLOOKUP(A2371,[1]aaabonddata!$A:$B,2,0)</f>
        <v>2.8</v>
      </c>
    </row>
    <row r="2372" spans="1:12" x14ac:dyDescent="0.2">
      <c r="A2372" s="3">
        <v>42212</v>
      </c>
      <c r="B2372" s="2">
        <v>4519.09</v>
      </c>
      <c r="C2372" s="2">
        <v>4551.99</v>
      </c>
      <c r="D2372" s="2">
        <v>4511.92</v>
      </c>
      <c r="E2372" s="2">
        <v>5156563126782</v>
      </c>
      <c r="F2372" s="2">
        <v>0</v>
      </c>
      <c r="G2372">
        <v>2257.4699999999998</v>
      </c>
      <c r="H2372">
        <v>2273.09</v>
      </c>
      <c r="I2372">
        <v>2252.02</v>
      </c>
      <c r="J2372">
        <v>3454202659</v>
      </c>
      <c r="K2372">
        <v>0</v>
      </c>
      <c r="L2372" s="2">
        <f>VLOOKUP(A2372,[1]aaabonddata!$A:$B,2,0)</f>
        <v>2.77</v>
      </c>
    </row>
    <row r="2373" spans="1:12" x14ac:dyDescent="0.2">
      <c r="A2373" s="3">
        <v>42213</v>
      </c>
      <c r="B2373" s="2">
        <v>4560.2299999999996</v>
      </c>
      <c r="C2373" s="2">
        <v>4568.79</v>
      </c>
      <c r="D2373" s="2">
        <v>4506.1899999999996</v>
      </c>
      <c r="E2373" s="2">
        <v>5203506353049</v>
      </c>
      <c r="F2373" s="2">
        <v>0</v>
      </c>
      <c r="G2373">
        <v>2279.94</v>
      </c>
      <c r="H2373">
        <v>2286.13</v>
      </c>
      <c r="I2373">
        <v>2238.23</v>
      </c>
      <c r="J2373">
        <v>3488584672</v>
      </c>
      <c r="K2373">
        <v>0</v>
      </c>
      <c r="L2373" s="2">
        <f>VLOOKUP(A2373,[1]aaabonddata!$A:$B,2,0)</f>
        <v>2.79</v>
      </c>
    </row>
    <row r="2374" spans="1:12" x14ac:dyDescent="0.2">
      <c r="A2374" s="3">
        <v>42214</v>
      </c>
      <c r="B2374" s="2">
        <v>4581.6000000000004</v>
      </c>
      <c r="C2374" s="2">
        <v>4586.78</v>
      </c>
      <c r="D2374" s="2">
        <v>4552.76</v>
      </c>
      <c r="E2374" s="2">
        <v>5250850358609</v>
      </c>
      <c r="F2374" s="2">
        <v>353723548</v>
      </c>
      <c r="G2374">
        <v>2295.1799999999998</v>
      </c>
      <c r="H2374">
        <v>2298.15</v>
      </c>
      <c r="I2374">
        <v>2267</v>
      </c>
      <c r="J2374">
        <v>3511903600</v>
      </c>
      <c r="K2374">
        <v>623739</v>
      </c>
      <c r="L2374" s="2">
        <f>VLOOKUP(A2374,[1]aaabonddata!$A:$B,2,0)</f>
        <v>2.81</v>
      </c>
    </row>
    <row r="2375" spans="1:12" x14ac:dyDescent="0.2">
      <c r="A2375" s="3">
        <v>42215</v>
      </c>
      <c r="B2375" s="2">
        <v>4598.59</v>
      </c>
      <c r="C2375" s="2">
        <v>4606.6499999999996</v>
      </c>
      <c r="D2375" s="2">
        <v>4540.9799999999996</v>
      </c>
      <c r="E2375" s="2">
        <v>5270320370156</v>
      </c>
      <c r="F2375" s="2">
        <v>214931658</v>
      </c>
      <c r="G2375">
        <v>2312.1799999999998</v>
      </c>
      <c r="H2375">
        <v>2318.3200000000002</v>
      </c>
      <c r="I2375">
        <v>2287.63</v>
      </c>
      <c r="J2375">
        <v>3537919453</v>
      </c>
      <c r="K2375">
        <v>469337</v>
      </c>
      <c r="L2375" s="2">
        <f>VLOOKUP(A2375,[1]aaabonddata!$A:$B,2,0)</f>
        <v>2.8</v>
      </c>
    </row>
    <row r="2376" spans="1:12" x14ac:dyDescent="0.2">
      <c r="A2376" s="3">
        <v>42216</v>
      </c>
      <c r="B2376" s="2">
        <v>4588.91</v>
      </c>
      <c r="C2376" s="2">
        <v>4616.4799999999996</v>
      </c>
      <c r="D2376" s="2">
        <v>4584.22</v>
      </c>
      <c r="E2376" s="2">
        <v>5259219841228</v>
      </c>
      <c r="F2376" s="2">
        <v>0</v>
      </c>
      <c r="G2376">
        <v>2298.79</v>
      </c>
      <c r="H2376">
        <v>2316.14</v>
      </c>
      <c r="I2376">
        <v>2296.44</v>
      </c>
      <c r="J2376">
        <v>3517441650</v>
      </c>
      <c r="K2376">
        <v>0</v>
      </c>
      <c r="L2376" s="2">
        <f>VLOOKUP(A2376,[1]aaabonddata!$A:$B,2,0)</f>
        <v>2.78</v>
      </c>
    </row>
    <row r="2377" spans="1:12" x14ac:dyDescent="0.2">
      <c r="A2377" s="3">
        <v>42219</v>
      </c>
      <c r="B2377" s="2">
        <v>4580.46</v>
      </c>
      <c r="C2377" s="2">
        <v>4607.5200000000004</v>
      </c>
      <c r="D2377" s="2">
        <v>4549.6000000000004</v>
      </c>
      <c r="E2377" s="2">
        <v>5251116456350</v>
      </c>
      <c r="F2377" s="2">
        <v>0</v>
      </c>
      <c r="G2377">
        <v>2297.1</v>
      </c>
      <c r="H2377">
        <v>2304.04</v>
      </c>
      <c r="I2377">
        <v>2282.4</v>
      </c>
      <c r="J2377">
        <v>3514847520</v>
      </c>
      <c r="K2377">
        <v>0</v>
      </c>
      <c r="L2377" s="2">
        <f>VLOOKUP(A2377,[1]aaabonddata!$A:$B,2,0)</f>
        <v>2.74</v>
      </c>
    </row>
    <row r="2378" spans="1:12" x14ac:dyDescent="0.2">
      <c r="A2378" s="3">
        <v>42220</v>
      </c>
      <c r="B2378" s="2">
        <v>4567.47</v>
      </c>
      <c r="C2378" s="2">
        <v>4584.45</v>
      </c>
      <c r="D2378" s="2">
        <v>4551.8999999999996</v>
      </c>
      <c r="E2378" s="2">
        <v>5236215415800</v>
      </c>
      <c r="F2378" s="2">
        <v>369955880</v>
      </c>
      <c r="G2378">
        <v>2288.8000000000002</v>
      </c>
      <c r="H2378">
        <v>2299.9699999999998</v>
      </c>
      <c r="I2378">
        <v>2278.5500000000002</v>
      </c>
      <c r="J2378">
        <v>3502144039</v>
      </c>
      <c r="K2378">
        <v>669546</v>
      </c>
      <c r="L2378" s="2">
        <f>VLOOKUP(A2378,[1]aaabonddata!$A:$B,2,0)</f>
        <v>2.8</v>
      </c>
    </row>
    <row r="2379" spans="1:12" x14ac:dyDescent="0.2">
      <c r="A2379" s="3">
        <v>42221</v>
      </c>
      <c r="B2379" s="2">
        <v>4602.24</v>
      </c>
      <c r="C2379" s="2">
        <v>4634.7</v>
      </c>
      <c r="D2379" s="2">
        <v>4590.1899999999996</v>
      </c>
      <c r="E2379" s="2">
        <v>5282093387582</v>
      </c>
      <c r="F2379" s="2">
        <v>1138560000</v>
      </c>
      <c r="G2379">
        <v>2313.84</v>
      </c>
      <c r="H2379">
        <v>2326.2600000000002</v>
      </c>
      <c r="I2379">
        <v>2301.67</v>
      </c>
      <c r="J2379">
        <v>3540469219</v>
      </c>
      <c r="K2379">
        <v>748363</v>
      </c>
      <c r="L2379" s="2">
        <f>VLOOKUP(A2379,[1]aaabonddata!$A:$B,2,0)</f>
        <v>2.85</v>
      </c>
    </row>
    <row r="2380" spans="1:12" x14ac:dyDescent="0.2">
      <c r="A2380" s="3">
        <v>42222</v>
      </c>
      <c r="B2380" s="2">
        <v>4528.51</v>
      </c>
      <c r="C2380" s="2">
        <v>4612.62</v>
      </c>
      <c r="D2380" s="2">
        <v>4508.3</v>
      </c>
      <c r="E2380" s="2">
        <v>5197469873685</v>
      </c>
      <c r="F2380" s="2">
        <v>3119211499</v>
      </c>
      <c r="G2380">
        <v>2285.4699999999998</v>
      </c>
      <c r="H2380">
        <v>2319.0100000000002</v>
      </c>
      <c r="I2380">
        <v>2277.8000000000002</v>
      </c>
      <c r="J2380">
        <v>3497054178</v>
      </c>
      <c r="K2380">
        <v>761483</v>
      </c>
      <c r="L2380" s="2">
        <f>VLOOKUP(A2380,[1]aaabonddata!$A:$B,2,0)</f>
        <v>2.82</v>
      </c>
    </row>
    <row r="2381" spans="1:12" x14ac:dyDescent="0.2">
      <c r="A2381" s="3">
        <v>42223</v>
      </c>
      <c r="B2381" s="2">
        <v>4520.08</v>
      </c>
      <c r="C2381" s="2">
        <v>4532.46</v>
      </c>
      <c r="D2381" s="2">
        <v>4485.5</v>
      </c>
      <c r="E2381" s="2">
        <v>5187797905161</v>
      </c>
      <c r="F2381" s="2">
        <v>222154416</v>
      </c>
      <c r="G2381">
        <v>2293.38</v>
      </c>
      <c r="H2381">
        <v>2295.73</v>
      </c>
      <c r="I2381">
        <v>2277.0700000000002</v>
      </c>
      <c r="J2381">
        <v>3509154726</v>
      </c>
      <c r="K2381">
        <v>1012184</v>
      </c>
      <c r="L2381" s="2">
        <f>VLOOKUP(A2381,[1]aaabonddata!$A:$B,2,0)</f>
        <v>2.78</v>
      </c>
    </row>
    <row r="2382" spans="1:12" x14ac:dyDescent="0.2">
      <c r="A2382" s="3">
        <v>42226</v>
      </c>
      <c r="B2382" s="2">
        <v>4573.1099999999997</v>
      </c>
      <c r="C2382" s="2">
        <v>4583.63</v>
      </c>
      <c r="D2382" s="2">
        <v>4554.63</v>
      </c>
      <c r="E2382" s="2">
        <v>5248665552577</v>
      </c>
      <c r="F2382" s="2">
        <v>0</v>
      </c>
      <c r="G2382">
        <v>2334.9299999999998</v>
      </c>
      <c r="H2382">
        <v>2337.8000000000002</v>
      </c>
      <c r="I2382">
        <v>2309.23</v>
      </c>
      <c r="J2382">
        <v>3572728869</v>
      </c>
      <c r="K2382">
        <v>0</v>
      </c>
      <c r="L2382" s="2">
        <f>VLOOKUP(A2382,[1]aaabonddata!$A:$B,2,0)</f>
        <v>2.83</v>
      </c>
    </row>
    <row r="2383" spans="1:12" x14ac:dyDescent="0.2">
      <c r="A2383" s="3">
        <v>42227</v>
      </c>
      <c r="B2383" s="2">
        <v>4513.99</v>
      </c>
      <c r="C2383" s="2">
        <v>4567.6899999999996</v>
      </c>
      <c r="D2383" s="2">
        <v>4491.0600000000004</v>
      </c>
      <c r="E2383" s="2">
        <v>5180811193874</v>
      </c>
      <c r="F2383" s="2">
        <v>0</v>
      </c>
      <c r="G2383">
        <v>2292.69</v>
      </c>
      <c r="H2383">
        <v>2316.61</v>
      </c>
      <c r="I2383">
        <v>2281.5700000000002</v>
      </c>
      <c r="J2383">
        <v>3508094125</v>
      </c>
      <c r="K2383">
        <v>0</v>
      </c>
      <c r="L2383" s="2">
        <f>VLOOKUP(A2383,[1]aaabonddata!$A:$B,2,0)</f>
        <v>2.74</v>
      </c>
    </row>
    <row r="2384" spans="1:12" x14ac:dyDescent="0.2">
      <c r="A2384" s="3">
        <v>42228</v>
      </c>
      <c r="B2384" s="2">
        <v>4528.1899999999996</v>
      </c>
      <c r="C2384" s="2">
        <v>4539.18</v>
      </c>
      <c r="D2384" s="2">
        <v>4436.54</v>
      </c>
      <c r="E2384" s="2">
        <v>5197105554931</v>
      </c>
      <c r="F2384" s="2">
        <v>332981139</v>
      </c>
      <c r="G2384">
        <v>2296.87</v>
      </c>
      <c r="H2384">
        <v>2305.1799999999998</v>
      </c>
      <c r="I2384">
        <v>2250.56</v>
      </c>
      <c r="J2384">
        <v>3514502872</v>
      </c>
      <c r="K2384">
        <v>634652</v>
      </c>
      <c r="L2384" s="2">
        <f>VLOOKUP(A2384,[1]aaabonddata!$A:$B,2,0)</f>
        <v>2.75</v>
      </c>
    </row>
    <row r="2385" spans="1:12" x14ac:dyDescent="0.2">
      <c r="A2385" s="3">
        <v>42229</v>
      </c>
      <c r="B2385" s="2">
        <v>4519.32</v>
      </c>
      <c r="C2385" s="2">
        <v>4556.1400000000003</v>
      </c>
      <c r="D2385" s="2">
        <v>4514.45</v>
      </c>
      <c r="E2385" s="2">
        <v>5186922148322</v>
      </c>
      <c r="F2385" s="2">
        <v>711099995</v>
      </c>
      <c r="G2385">
        <v>2283.89</v>
      </c>
      <c r="H2385">
        <v>2303.9</v>
      </c>
      <c r="I2385">
        <v>2283.21</v>
      </c>
      <c r="J2385">
        <v>3494638885</v>
      </c>
      <c r="K2385">
        <v>896706</v>
      </c>
      <c r="L2385" s="2">
        <f>VLOOKUP(A2385,[1]aaabonddata!$A:$B,2,0)</f>
        <v>2.81</v>
      </c>
    </row>
    <row r="2386" spans="1:12" x14ac:dyDescent="0.2">
      <c r="A2386" s="3">
        <v>42230</v>
      </c>
      <c r="B2386" s="2">
        <v>4530.74</v>
      </c>
      <c r="C2386" s="2">
        <v>4536.2</v>
      </c>
      <c r="D2386" s="2">
        <v>4503.83</v>
      </c>
      <c r="E2386" s="2">
        <v>5200032298488</v>
      </c>
      <c r="F2386" s="2">
        <v>0</v>
      </c>
      <c r="G2386">
        <v>2288.66</v>
      </c>
      <c r="H2386">
        <v>2292.9</v>
      </c>
      <c r="I2386">
        <v>2274.73</v>
      </c>
      <c r="J2386">
        <v>3501933217</v>
      </c>
      <c r="K2386">
        <v>0</v>
      </c>
      <c r="L2386" s="2">
        <f>VLOOKUP(A2386,[1]aaabonddata!$A:$B,2,0)</f>
        <v>2.81</v>
      </c>
    </row>
    <row r="2387" spans="1:12" x14ac:dyDescent="0.2">
      <c r="A2387" s="3">
        <v>42233</v>
      </c>
      <c r="B2387" s="2">
        <v>4566.37</v>
      </c>
      <c r="C2387" s="2">
        <v>4568.59</v>
      </c>
      <c r="D2387" s="2">
        <v>4507.9799999999996</v>
      </c>
      <c r="E2387" s="2">
        <v>5240925830338</v>
      </c>
      <c r="F2387" s="2">
        <v>392672343</v>
      </c>
      <c r="G2387">
        <v>2305.4899999999998</v>
      </c>
      <c r="H2387">
        <v>2306.1999999999998</v>
      </c>
      <c r="I2387">
        <v>2269.52</v>
      </c>
      <c r="J2387">
        <v>3527689747</v>
      </c>
      <c r="K2387">
        <v>0</v>
      </c>
      <c r="L2387" s="2">
        <f>VLOOKUP(A2387,[1]aaabonddata!$A:$B,2,0)</f>
        <v>2.77</v>
      </c>
    </row>
    <row r="2388" spans="1:12" x14ac:dyDescent="0.2">
      <c r="A2388" s="3">
        <v>42234</v>
      </c>
      <c r="B2388" s="2">
        <v>4542.07</v>
      </c>
      <c r="C2388" s="2">
        <v>4562.1499999999996</v>
      </c>
      <c r="D2388" s="2">
        <v>4536.05</v>
      </c>
      <c r="E2388" s="2">
        <v>5213036931223</v>
      </c>
      <c r="F2388" s="2">
        <v>2752120676</v>
      </c>
      <c r="G2388">
        <v>2281.2600000000002</v>
      </c>
      <c r="H2388">
        <v>2300.0500000000002</v>
      </c>
      <c r="I2388">
        <v>2278</v>
      </c>
      <c r="J2388">
        <v>3490607178</v>
      </c>
      <c r="K2388">
        <v>1625367</v>
      </c>
      <c r="L2388" s="2">
        <f>VLOOKUP(A2388,[1]aaabonddata!$A:$B,2,0)</f>
        <v>2.8</v>
      </c>
    </row>
    <row r="2389" spans="1:12" x14ac:dyDescent="0.2">
      <c r="A2389" s="3">
        <v>42235</v>
      </c>
      <c r="B2389" s="2">
        <v>4510.8999999999996</v>
      </c>
      <c r="C2389" s="2">
        <v>4550.67</v>
      </c>
      <c r="D2389" s="2">
        <v>4486.1099999999997</v>
      </c>
      <c r="E2389" s="2">
        <v>5177261161674</v>
      </c>
      <c r="F2389" s="2">
        <v>0</v>
      </c>
      <c r="G2389">
        <v>2258.73</v>
      </c>
      <c r="H2389">
        <v>2282.13</v>
      </c>
      <c r="I2389">
        <v>2247.6</v>
      </c>
      <c r="J2389">
        <v>3456143411</v>
      </c>
      <c r="K2389">
        <v>0</v>
      </c>
      <c r="L2389" s="2">
        <f>VLOOKUP(A2389,[1]aaabonddata!$A:$B,2,0)</f>
        <v>2.75</v>
      </c>
    </row>
    <row r="2390" spans="1:12" x14ac:dyDescent="0.2">
      <c r="A2390" s="3">
        <v>42236</v>
      </c>
      <c r="B2390" s="2">
        <v>4385.13</v>
      </c>
      <c r="C2390" s="2">
        <v>4484.3599999999997</v>
      </c>
      <c r="D2390" s="2">
        <v>4385.13</v>
      </c>
      <c r="E2390" s="2">
        <v>5032908517736</v>
      </c>
      <c r="F2390" s="2">
        <v>0</v>
      </c>
      <c r="G2390">
        <v>2191.2399999999998</v>
      </c>
      <c r="H2390">
        <v>2241.36</v>
      </c>
      <c r="I2390">
        <v>2191.2399999999998</v>
      </c>
      <c r="J2390">
        <v>3352863189</v>
      </c>
      <c r="K2390">
        <v>0</v>
      </c>
      <c r="L2390" s="2">
        <f>VLOOKUP(A2390,[1]aaabonddata!$A:$B,2,0)</f>
        <v>2.72</v>
      </c>
    </row>
    <row r="2391" spans="1:12" x14ac:dyDescent="0.2">
      <c r="A2391" s="3">
        <v>42237</v>
      </c>
      <c r="B2391" s="2">
        <v>4197.2700000000004</v>
      </c>
      <c r="C2391" s="2">
        <v>4361.32</v>
      </c>
      <c r="D2391" s="2">
        <v>4197.2700000000004</v>
      </c>
      <c r="E2391" s="2">
        <v>4817302470772</v>
      </c>
      <c r="F2391" s="2">
        <v>0</v>
      </c>
      <c r="G2391">
        <v>2122.37</v>
      </c>
      <c r="H2391">
        <v>2188.52</v>
      </c>
      <c r="I2391">
        <v>2122.37</v>
      </c>
      <c r="J2391">
        <v>3247485296</v>
      </c>
      <c r="K2391">
        <v>0</v>
      </c>
      <c r="L2391" s="2">
        <f>VLOOKUP(A2391,[1]aaabonddata!$A:$B,2,0)</f>
        <v>2.7</v>
      </c>
    </row>
    <row r="2392" spans="1:12" x14ac:dyDescent="0.2">
      <c r="A2392" s="3">
        <v>42240</v>
      </c>
      <c r="B2392" s="2">
        <v>4038.6</v>
      </c>
      <c r="C2392" s="2">
        <v>4199.79</v>
      </c>
      <c r="D2392" s="2">
        <v>3787.23</v>
      </c>
      <c r="E2392" s="2">
        <v>4635195494317</v>
      </c>
      <c r="F2392" s="2">
        <v>230678180</v>
      </c>
      <c r="G2392">
        <v>2050.42</v>
      </c>
      <c r="H2392">
        <v>2126.9699999999998</v>
      </c>
      <c r="I2392">
        <v>1953.85</v>
      </c>
      <c r="J2392">
        <v>3137393369</v>
      </c>
      <c r="K2392">
        <v>623182</v>
      </c>
      <c r="L2392" s="2">
        <f>VLOOKUP(A2392,[1]aaabonddata!$A:$B,2,0)</f>
        <v>2.67</v>
      </c>
    </row>
    <row r="2393" spans="1:12" x14ac:dyDescent="0.2">
      <c r="A2393" s="3">
        <v>42241</v>
      </c>
      <c r="B2393" s="2">
        <v>4016.32</v>
      </c>
      <c r="C2393" s="2">
        <v>4207.38</v>
      </c>
      <c r="D2393" s="2">
        <v>4015.91</v>
      </c>
      <c r="E2393" s="2">
        <v>4609625931560</v>
      </c>
      <c r="F2393" s="2">
        <v>109919379</v>
      </c>
      <c r="G2393">
        <v>2023.12</v>
      </c>
      <c r="H2393">
        <v>2118.34</v>
      </c>
      <c r="I2393">
        <v>2023.11</v>
      </c>
      <c r="J2393">
        <v>3095619951</v>
      </c>
      <c r="K2393">
        <v>820210</v>
      </c>
      <c r="L2393" s="2">
        <f>VLOOKUP(A2393,[1]aaabonddata!$A:$B,2,0)</f>
        <v>2.78</v>
      </c>
    </row>
    <row r="2394" spans="1:12" x14ac:dyDescent="0.2">
      <c r="A2394" s="3">
        <v>42242</v>
      </c>
      <c r="B2394" s="2">
        <v>4219.6000000000004</v>
      </c>
      <c r="C2394" s="2">
        <v>4227.8599999999997</v>
      </c>
      <c r="D2394" s="2">
        <v>4052.54</v>
      </c>
      <c r="E2394" s="2">
        <v>4842929908597</v>
      </c>
      <c r="F2394" s="2">
        <v>202832261</v>
      </c>
      <c r="G2394">
        <v>2116.19</v>
      </c>
      <c r="H2394">
        <v>2119.6</v>
      </c>
      <c r="I2394">
        <v>2040.2</v>
      </c>
      <c r="J2394">
        <v>3238035450</v>
      </c>
      <c r="K2394">
        <v>849577</v>
      </c>
      <c r="L2394" s="2">
        <f>VLOOKUP(A2394,[1]aaabonddata!$A:$B,2,0)</f>
        <v>2.81</v>
      </c>
    </row>
    <row r="2395" spans="1:12" x14ac:dyDescent="0.2">
      <c r="A2395" s="3">
        <v>42243</v>
      </c>
      <c r="B2395" s="2">
        <v>4324.82</v>
      </c>
      <c r="C2395" s="2">
        <v>4328.99</v>
      </c>
      <c r="D2395" s="2">
        <v>4231.1400000000003</v>
      </c>
      <c r="E2395" s="2">
        <v>4963695633799</v>
      </c>
      <c r="F2395" s="2">
        <v>0</v>
      </c>
      <c r="G2395">
        <v>2178.75</v>
      </c>
      <c r="H2395">
        <v>2183.2800000000002</v>
      </c>
      <c r="I2395">
        <v>2135.9899999999998</v>
      </c>
      <c r="J2395">
        <v>3333764554</v>
      </c>
      <c r="K2395">
        <v>0</v>
      </c>
      <c r="L2395" s="2">
        <f>VLOOKUP(A2395,[1]aaabonddata!$A:$B,2,0)</f>
        <v>2.79</v>
      </c>
    </row>
    <row r="2396" spans="1:12" x14ac:dyDescent="0.2">
      <c r="A2396" s="3">
        <v>42244</v>
      </c>
      <c r="B2396" s="2">
        <v>4329.12</v>
      </c>
      <c r="C2396" s="2">
        <v>4340.7</v>
      </c>
      <c r="D2396" s="2">
        <v>4295.5600000000004</v>
      </c>
      <c r="E2396" s="2">
        <v>4968630493370</v>
      </c>
      <c r="F2396" s="2">
        <v>0</v>
      </c>
      <c r="G2396">
        <v>2181.7199999999998</v>
      </c>
      <c r="H2396">
        <v>2187.83</v>
      </c>
      <c r="I2396">
        <v>2165.94</v>
      </c>
      <c r="J2396">
        <v>3338307013</v>
      </c>
      <c r="K2396">
        <v>0</v>
      </c>
      <c r="L2396" s="2">
        <f>VLOOKUP(A2396,[1]aaabonddata!$A:$B,2,0)</f>
        <v>2.8</v>
      </c>
    </row>
    <row r="2397" spans="1:12" x14ac:dyDescent="0.2">
      <c r="A2397" s="3">
        <v>42247</v>
      </c>
      <c r="B2397" s="2">
        <v>4274.58</v>
      </c>
      <c r="C2397" s="2">
        <v>4324.74</v>
      </c>
      <c r="D2397" s="2">
        <v>4262.09</v>
      </c>
      <c r="E2397" s="2">
        <v>4906037169644</v>
      </c>
      <c r="F2397" s="2">
        <v>782477302</v>
      </c>
      <c r="G2397">
        <v>2168.15</v>
      </c>
      <c r="H2397">
        <v>2186.25</v>
      </c>
      <c r="I2397">
        <v>2152.69</v>
      </c>
      <c r="J2397">
        <v>3317540690</v>
      </c>
      <c r="K2397">
        <v>717703</v>
      </c>
      <c r="L2397" s="2">
        <f>VLOOKUP(A2397,[1]aaabonddata!$A:$B,2,0)</f>
        <v>2.83</v>
      </c>
    </row>
    <row r="2398" spans="1:12" x14ac:dyDescent="0.2">
      <c r="A2398" s="3">
        <v>42248</v>
      </c>
      <c r="B2398" s="2">
        <v>4142.63</v>
      </c>
      <c r="C2398" s="2">
        <v>4229.3100000000004</v>
      </c>
      <c r="D2398" s="2">
        <v>4121.83</v>
      </c>
      <c r="E2398" s="2">
        <v>4754594919403</v>
      </c>
      <c r="F2398" s="2">
        <v>0</v>
      </c>
      <c r="G2398">
        <v>2102.66</v>
      </c>
      <c r="H2398">
        <v>2144.8000000000002</v>
      </c>
      <c r="I2398">
        <v>2091.6</v>
      </c>
      <c r="J2398">
        <v>3217338539</v>
      </c>
      <c r="K2398">
        <v>0</v>
      </c>
      <c r="L2398" s="2">
        <f>VLOOKUP(A2398,[1]aaabonddata!$A:$B,2,0)</f>
        <v>2.81</v>
      </c>
    </row>
    <row r="2399" spans="1:12" x14ac:dyDescent="0.2">
      <c r="A2399" s="3">
        <v>42249</v>
      </c>
      <c r="B2399" s="2">
        <v>4256.2299999999996</v>
      </c>
      <c r="C2399" s="2">
        <v>4256.2299999999996</v>
      </c>
      <c r="D2399" s="2">
        <v>4166.08</v>
      </c>
      <c r="E2399" s="2">
        <v>4884971977388</v>
      </c>
      <c r="F2399" s="2">
        <v>104038556</v>
      </c>
      <c r="G2399">
        <v>2145.2199999999998</v>
      </c>
      <c r="H2399">
        <v>2145.29</v>
      </c>
      <c r="I2399">
        <v>2106.1799999999998</v>
      </c>
      <c r="J2399">
        <v>3282459344</v>
      </c>
      <c r="K2399">
        <v>0</v>
      </c>
      <c r="L2399" s="2">
        <f>VLOOKUP(A2399,[1]aaabonddata!$A:$B,2,0)</f>
        <v>2.82</v>
      </c>
    </row>
    <row r="2400" spans="1:12" x14ac:dyDescent="0.2">
      <c r="A2400" s="3">
        <v>42250</v>
      </c>
      <c r="B2400" s="2">
        <v>4234.6499999999996</v>
      </c>
      <c r="C2400" s="2">
        <v>4300.3</v>
      </c>
      <c r="D2400" s="2">
        <v>4222.38</v>
      </c>
      <c r="E2400" s="2">
        <v>4860208035460</v>
      </c>
      <c r="F2400" s="2">
        <v>0</v>
      </c>
      <c r="G2400">
        <v>2152.79</v>
      </c>
      <c r="H2400">
        <v>2179.89</v>
      </c>
      <c r="I2400">
        <v>2146.81</v>
      </c>
      <c r="J2400">
        <v>3294040278</v>
      </c>
      <c r="K2400">
        <v>0</v>
      </c>
      <c r="L2400" s="2">
        <f>VLOOKUP(A2400,[1]aaabonddata!$A:$B,2,0)</f>
        <v>2.79</v>
      </c>
    </row>
    <row r="2401" spans="1:12" x14ac:dyDescent="0.2">
      <c r="A2401" s="3">
        <v>42251</v>
      </c>
      <c r="B2401" s="2">
        <v>4184.72</v>
      </c>
      <c r="C2401" s="2">
        <v>4210.8100000000004</v>
      </c>
      <c r="D2401" s="2">
        <v>4160.43</v>
      </c>
      <c r="E2401" s="2">
        <v>4802899609549</v>
      </c>
      <c r="F2401" s="2">
        <v>356116689</v>
      </c>
      <c r="G2401">
        <v>2118.1</v>
      </c>
      <c r="H2401">
        <v>2138.59</v>
      </c>
      <c r="I2401">
        <v>2109.84</v>
      </c>
      <c r="J2401">
        <v>3240953359</v>
      </c>
      <c r="K2401">
        <v>360447</v>
      </c>
      <c r="L2401" s="2">
        <f>VLOOKUP(A2401,[1]aaabonddata!$A:$B,2,0)</f>
        <v>2.75</v>
      </c>
    </row>
    <row r="2402" spans="1:12" x14ac:dyDescent="0.2">
      <c r="A2402" s="3">
        <v>42255</v>
      </c>
      <c r="B2402" s="2">
        <v>4303.53</v>
      </c>
      <c r="C2402" s="2">
        <v>4306.5</v>
      </c>
      <c r="D2402" s="2">
        <v>4247.1400000000003</v>
      </c>
      <c r="E2402" s="2">
        <v>4939254599173</v>
      </c>
      <c r="F2402" s="2">
        <v>0</v>
      </c>
      <c r="G2402">
        <v>2191.14</v>
      </c>
      <c r="H2402">
        <v>2192.84</v>
      </c>
      <c r="I2402">
        <v>2163.71</v>
      </c>
      <c r="J2402">
        <v>3352709855</v>
      </c>
      <c r="K2402">
        <v>0</v>
      </c>
      <c r="L2402" s="2">
        <f>VLOOKUP(A2402,[1]aaabonddata!$A:$B,2,0)</f>
        <v>2.79</v>
      </c>
    </row>
    <row r="2403" spans="1:12" x14ac:dyDescent="0.2">
      <c r="A2403" s="3">
        <v>42256</v>
      </c>
      <c r="B2403" s="2">
        <v>4253.45</v>
      </c>
      <c r="C2403" s="2">
        <v>4352.96</v>
      </c>
      <c r="D2403" s="2">
        <v>4242.47</v>
      </c>
      <c r="E2403" s="2">
        <v>4881778614025</v>
      </c>
      <c r="F2403" s="2">
        <v>230066775</v>
      </c>
      <c r="G2403">
        <v>2161.58</v>
      </c>
      <c r="H2403">
        <v>2218.14</v>
      </c>
      <c r="I2403">
        <v>2156.64</v>
      </c>
      <c r="J2403">
        <v>3307486346</v>
      </c>
      <c r="K2403">
        <v>0</v>
      </c>
      <c r="L2403" s="2">
        <f>VLOOKUP(A2403,[1]aaabonddata!$A:$B,2,0)</f>
        <v>2.78</v>
      </c>
    </row>
    <row r="2404" spans="1:12" x14ac:dyDescent="0.2">
      <c r="A2404" s="3">
        <v>42257</v>
      </c>
      <c r="B2404" s="2">
        <v>4296.3</v>
      </c>
      <c r="C2404" s="2">
        <v>4326.7700000000004</v>
      </c>
      <c r="D2404" s="2">
        <v>4243.6899999999996</v>
      </c>
      <c r="E2404" s="2">
        <v>4930959260561</v>
      </c>
      <c r="F2404" s="2">
        <v>0</v>
      </c>
      <c r="G2404">
        <v>2175.48</v>
      </c>
      <c r="H2404">
        <v>2193.17</v>
      </c>
      <c r="I2404">
        <v>2147.61</v>
      </c>
      <c r="J2404">
        <v>3328747493</v>
      </c>
      <c r="K2404">
        <v>0</v>
      </c>
      <c r="L2404" s="2">
        <f>VLOOKUP(A2404,[1]aaabonddata!$A:$B,2,0)</f>
        <v>2.81</v>
      </c>
    </row>
    <row r="2405" spans="1:12" x14ac:dyDescent="0.2">
      <c r="A2405" s="3">
        <v>42258</v>
      </c>
      <c r="B2405" s="2">
        <v>4323.2299999999996</v>
      </c>
      <c r="C2405" s="2">
        <v>4323.2299999999996</v>
      </c>
      <c r="D2405" s="2">
        <v>4268.1000000000004</v>
      </c>
      <c r="E2405" s="2">
        <v>4961869282144</v>
      </c>
      <c r="F2405" s="2">
        <v>236271080</v>
      </c>
      <c r="G2405">
        <v>2181.19</v>
      </c>
      <c r="H2405">
        <v>2181.19</v>
      </c>
      <c r="I2405">
        <v>2155.94</v>
      </c>
      <c r="J2405">
        <v>3337489252</v>
      </c>
      <c r="K2405">
        <v>1088697</v>
      </c>
      <c r="L2405" s="2">
        <f>VLOOKUP(A2405,[1]aaabonddata!$A:$B,2,0)</f>
        <v>2.77</v>
      </c>
    </row>
    <row r="2406" spans="1:12" x14ac:dyDescent="0.2">
      <c r="A2406" s="3">
        <v>42261</v>
      </c>
      <c r="B2406" s="2">
        <v>4308.76</v>
      </c>
      <c r="C2406" s="2">
        <v>4334.9399999999996</v>
      </c>
      <c r="D2406" s="2">
        <v>4293.7700000000004</v>
      </c>
      <c r="E2406" s="2">
        <v>4945262036690</v>
      </c>
      <c r="F2406" s="2">
        <v>631930571</v>
      </c>
      <c r="G2406">
        <v>2178.4699999999998</v>
      </c>
      <c r="H2406">
        <v>2188.4299999999998</v>
      </c>
      <c r="I2406">
        <v>2171.66</v>
      </c>
      <c r="J2406">
        <v>3333328455</v>
      </c>
      <c r="K2406">
        <v>0</v>
      </c>
      <c r="L2406" s="2">
        <f>VLOOKUP(A2406,[1]aaabonddata!$A:$B,2,0)</f>
        <v>2.78</v>
      </c>
    </row>
    <row r="2407" spans="1:12" x14ac:dyDescent="0.2">
      <c r="A2407" s="3">
        <v>42262</v>
      </c>
      <c r="B2407" s="2">
        <v>4360.28</v>
      </c>
      <c r="C2407" s="2">
        <v>4373.1899999999996</v>
      </c>
      <c r="D2407" s="2">
        <v>4303.8900000000003</v>
      </c>
      <c r="E2407" s="2">
        <v>5004391741153</v>
      </c>
      <c r="F2407" s="2">
        <v>0</v>
      </c>
      <c r="G2407">
        <v>2203.08</v>
      </c>
      <c r="H2407">
        <v>2209.54</v>
      </c>
      <c r="I2407">
        <v>2181.25</v>
      </c>
      <c r="J2407">
        <v>3370979692</v>
      </c>
      <c r="K2407">
        <v>0</v>
      </c>
      <c r="L2407" s="2">
        <f>VLOOKUP(A2407,[1]aaabonddata!$A:$B,2,0)</f>
        <v>2.86</v>
      </c>
    </row>
    <row r="2408" spans="1:12" x14ac:dyDescent="0.2">
      <c r="A2408" s="3">
        <v>42263</v>
      </c>
      <c r="B2408" s="2">
        <v>4383.67</v>
      </c>
      <c r="C2408" s="2">
        <v>4388.32</v>
      </c>
      <c r="D2408" s="2">
        <v>4346.47</v>
      </c>
      <c r="E2408" s="2">
        <v>5031237265722</v>
      </c>
      <c r="F2408" s="2">
        <v>107766634</v>
      </c>
      <c r="G2408">
        <v>2216.64</v>
      </c>
      <c r="H2408">
        <v>2219.15</v>
      </c>
      <c r="I2408">
        <v>2195.2600000000002</v>
      </c>
      <c r="J2408">
        <v>3391738768</v>
      </c>
      <c r="K2408">
        <v>293932</v>
      </c>
      <c r="L2408" s="2">
        <f>VLOOKUP(A2408,[1]aaabonddata!$A:$B,2,0)</f>
        <v>2.88</v>
      </c>
    </row>
    <row r="2409" spans="1:12" x14ac:dyDescent="0.2">
      <c r="A2409" s="3">
        <v>42264</v>
      </c>
      <c r="B2409" s="2">
        <v>4384.96</v>
      </c>
      <c r="C2409" s="2">
        <v>4450.66</v>
      </c>
      <c r="D2409" s="2">
        <v>4368.8</v>
      </c>
      <c r="E2409" s="2">
        <v>5032719737773</v>
      </c>
      <c r="F2409" s="2">
        <v>0</v>
      </c>
      <c r="G2409">
        <v>2200.9699999999998</v>
      </c>
      <c r="H2409">
        <v>2234.4499999999998</v>
      </c>
      <c r="I2409">
        <v>2197.2199999999998</v>
      </c>
      <c r="J2409">
        <v>3367756352</v>
      </c>
      <c r="K2409">
        <v>0</v>
      </c>
      <c r="L2409" s="2">
        <f>VLOOKUP(A2409,[1]aaabonddata!$A:$B,2,0)</f>
        <v>2.78</v>
      </c>
    </row>
    <row r="2410" spans="1:12" x14ac:dyDescent="0.2">
      <c r="A2410" s="3">
        <v>42265</v>
      </c>
      <c r="B2410" s="2">
        <v>4323.8599999999997</v>
      </c>
      <c r="C2410" s="2">
        <v>4374.92</v>
      </c>
      <c r="D2410" s="2">
        <v>4317.09</v>
      </c>
      <c r="E2410" s="2">
        <v>4962589841234</v>
      </c>
      <c r="F2410" s="2">
        <v>0</v>
      </c>
      <c r="G2410">
        <v>2166.4699999999998</v>
      </c>
      <c r="H2410">
        <v>2194.35</v>
      </c>
      <c r="I2410">
        <v>2160.16</v>
      </c>
      <c r="J2410">
        <v>3314968698</v>
      </c>
      <c r="K2410">
        <v>0</v>
      </c>
      <c r="L2410" s="2">
        <f>VLOOKUP(A2410,[1]aaabonddata!$A:$B,2,0)</f>
        <v>2.71</v>
      </c>
    </row>
    <row r="2411" spans="1:12" x14ac:dyDescent="0.2">
      <c r="A2411" s="3">
        <v>42268</v>
      </c>
      <c r="B2411" s="2">
        <v>4336.13</v>
      </c>
      <c r="C2411" s="2">
        <v>4372.42</v>
      </c>
      <c r="D2411" s="2">
        <v>4299.9399999999996</v>
      </c>
      <c r="E2411" s="2">
        <v>4950977409126</v>
      </c>
      <c r="F2411" s="2">
        <v>0</v>
      </c>
      <c r="G2411">
        <v>2173.36</v>
      </c>
      <c r="H2411">
        <v>2191.56</v>
      </c>
      <c r="I2411">
        <v>2158.69</v>
      </c>
      <c r="J2411">
        <v>3812080564</v>
      </c>
      <c r="K2411">
        <v>0</v>
      </c>
      <c r="L2411" s="2">
        <f>VLOOKUP(A2411,[1]aaabonddata!$A:$B,2,0)</f>
        <v>2.78</v>
      </c>
    </row>
    <row r="2412" spans="1:12" x14ac:dyDescent="0.2">
      <c r="A2412" s="3">
        <v>42269</v>
      </c>
      <c r="B2412" s="2">
        <v>4274.1000000000004</v>
      </c>
      <c r="C2412" s="2">
        <v>4286.6000000000004</v>
      </c>
      <c r="D2412" s="2">
        <v>4233.8999999999996</v>
      </c>
      <c r="E2412" s="2">
        <v>4880150010741</v>
      </c>
      <c r="F2412" s="2">
        <v>0</v>
      </c>
      <c r="G2412">
        <v>2131.09</v>
      </c>
      <c r="H2412">
        <v>2141.92</v>
      </c>
      <c r="I2412">
        <v>2119.0700000000002</v>
      </c>
      <c r="J2412">
        <v>3737939810</v>
      </c>
      <c r="K2412">
        <v>0</v>
      </c>
      <c r="L2412" s="2">
        <f>VLOOKUP(A2412,[1]aaabonddata!$A:$B,2,0)</f>
        <v>2.71</v>
      </c>
    </row>
    <row r="2413" spans="1:12" x14ac:dyDescent="0.2">
      <c r="A2413" s="3">
        <v>42270</v>
      </c>
      <c r="B2413" s="2">
        <v>4273.53</v>
      </c>
      <c r="C2413" s="2">
        <v>4294.7299999999996</v>
      </c>
      <c r="D2413" s="2">
        <v>4255.0600000000004</v>
      </c>
      <c r="E2413" s="2">
        <v>4879502699128</v>
      </c>
      <c r="F2413" s="2">
        <v>77227895</v>
      </c>
      <c r="G2413">
        <v>2122.13</v>
      </c>
      <c r="H2413">
        <v>2141.63</v>
      </c>
      <c r="I2413">
        <v>2116.34</v>
      </c>
      <c r="J2413">
        <v>3722221382</v>
      </c>
      <c r="K2413">
        <v>0</v>
      </c>
      <c r="L2413" s="2">
        <f>VLOOKUP(A2413,[1]aaabonddata!$A:$B,2,0)</f>
        <v>2.72</v>
      </c>
    </row>
    <row r="2414" spans="1:12" x14ac:dyDescent="0.2">
      <c r="A2414" s="3">
        <v>42271</v>
      </c>
      <c r="B2414" s="2">
        <v>4261.1000000000004</v>
      </c>
      <c r="C2414" s="2">
        <v>4275.6400000000003</v>
      </c>
      <c r="D2414" s="2">
        <v>4198.1099999999997</v>
      </c>
      <c r="E2414" s="2">
        <v>4865314144953</v>
      </c>
      <c r="F2414" s="2">
        <v>0</v>
      </c>
      <c r="G2414">
        <v>2119.8000000000002</v>
      </c>
      <c r="H2414">
        <v>2130.96</v>
      </c>
      <c r="I2414">
        <v>2081.41</v>
      </c>
      <c r="J2414">
        <v>3718143120</v>
      </c>
      <c r="K2414">
        <v>0</v>
      </c>
      <c r="L2414" s="2">
        <f>VLOOKUP(A2414,[1]aaabonddata!$A:$B,2,0)</f>
        <v>2.71</v>
      </c>
    </row>
    <row r="2415" spans="1:12" x14ac:dyDescent="0.2">
      <c r="A2415" s="3">
        <v>42272</v>
      </c>
      <c r="B2415" s="2">
        <v>4224.74</v>
      </c>
      <c r="C2415" s="2">
        <v>4308.66</v>
      </c>
      <c r="D2415" s="2">
        <v>4198.96</v>
      </c>
      <c r="E2415" s="2">
        <v>4823793571241</v>
      </c>
      <c r="F2415" s="2">
        <v>44291721</v>
      </c>
      <c r="G2415">
        <v>2118.4</v>
      </c>
      <c r="H2415">
        <v>2149.39</v>
      </c>
      <c r="I2415">
        <v>2103.2199999999998</v>
      </c>
      <c r="J2415">
        <v>3715692255</v>
      </c>
      <c r="K2415">
        <v>0</v>
      </c>
      <c r="L2415" s="2">
        <f>VLOOKUP(A2415,[1]aaabonddata!$A:$B,2,0)</f>
        <v>2.74</v>
      </c>
    </row>
    <row r="2416" spans="1:12" x14ac:dyDescent="0.2">
      <c r="A2416" s="3">
        <v>42275</v>
      </c>
      <c r="B2416" s="2">
        <v>4103.47</v>
      </c>
      <c r="C2416" s="2">
        <v>4207.03</v>
      </c>
      <c r="D2416" s="2">
        <v>4092.29</v>
      </c>
      <c r="E2416" s="2">
        <v>4685327175813</v>
      </c>
      <c r="F2416" s="2">
        <v>273922218</v>
      </c>
      <c r="G2416">
        <v>2067.89</v>
      </c>
      <c r="H2416">
        <v>2114.7600000000002</v>
      </c>
      <c r="I2416">
        <v>2067.1799999999998</v>
      </c>
      <c r="J2416">
        <v>3627086800</v>
      </c>
      <c r="K2416">
        <v>0</v>
      </c>
      <c r="L2416" s="2">
        <f>VLOOKUP(A2416,[1]aaabonddata!$A:$B,2,0)</f>
        <v>2.69</v>
      </c>
    </row>
    <row r="2417" spans="1:12" x14ac:dyDescent="0.2">
      <c r="A2417" s="3">
        <v>42276</v>
      </c>
      <c r="B2417" s="2">
        <v>4083.37</v>
      </c>
      <c r="C2417" s="2">
        <v>4155.3100000000004</v>
      </c>
      <c r="D2417" s="2">
        <v>4053.12</v>
      </c>
      <c r="E2417" s="2">
        <v>4662379192791</v>
      </c>
      <c r="F2417" s="2">
        <v>0</v>
      </c>
      <c r="G2417">
        <v>2070.6999999999998</v>
      </c>
      <c r="H2417">
        <v>2095.16</v>
      </c>
      <c r="I2417">
        <v>2056.4899999999998</v>
      </c>
      <c r="J2417">
        <v>3632017974</v>
      </c>
      <c r="K2417">
        <v>0</v>
      </c>
      <c r="L2417" s="2">
        <f>VLOOKUP(A2417,[1]aaabonddata!$A:$B,2,0)</f>
        <v>2.66</v>
      </c>
    </row>
    <row r="2418" spans="1:12" x14ac:dyDescent="0.2">
      <c r="A2418" s="3">
        <v>42277</v>
      </c>
      <c r="B2418" s="2">
        <v>4181.0600000000004</v>
      </c>
      <c r="C2418" s="2">
        <v>4181.0600000000004</v>
      </c>
      <c r="D2418" s="2">
        <v>4125.2</v>
      </c>
      <c r="E2418" s="2">
        <v>4773919203148</v>
      </c>
      <c r="F2418" s="2">
        <v>161723029</v>
      </c>
      <c r="G2418">
        <v>2134.81</v>
      </c>
      <c r="H2418">
        <v>2136.4299999999998</v>
      </c>
      <c r="I2418">
        <v>2103.09</v>
      </c>
      <c r="J2418">
        <v>3744468526</v>
      </c>
      <c r="K2418">
        <v>659022</v>
      </c>
      <c r="L2418" s="2">
        <f>VLOOKUP(A2418,[1]aaabonddata!$A:$B,2,0)</f>
        <v>2.68</v>
      </c>
    </row>
    <row r="2419" spans="1:12" x14ac:dyDescent="0.2">
      <c r="A2419" s="3">
        <v>42278</v>
      </c>
      <c r="B2419" s="2">
        <v>4192.96</v>
      </c>
      <c r="C2419" s="2">
        <v>4194.18</v>
      </c>
      <c r="D2419" s="2">
        <v>4128.34</v>
      </c>
      <c r="E2419" s="2">
        <v>4787510791753</v>
      </c>
      <c r="F2419" s="2">
        <v>1068036633</v>
      </c>
      <c r="G2419">
        <v>2121.3200000000002</v>
      </c>
      <c r="H2419">
        <v>2137.08</v>
      </c>
      <c r="I2419">
        <v>2090.91</v>
      </c>
      <c r="J2419">
        <v>3720811684</v>
      </c>
      <c r="K2419">
        <v>822240</v>
      </c>
      <c r="L2419" s="2">
        <f>VLOOKUP(A2419,[1]aaabonddata!$A:$B,2,0)</f>
        <v>2.67</v>
      </c>
    </row>
    <row r="2420" spans="1:12" x14ac:dyDescent="0.2">
      <c r="A2420" s="3">
        <v>42279</v>
      </c>
      <c r="B2420" s="2">
        <v>4267.45</v>
      </c>
      <c r="C2420" s="2">
        <v>4267.45</v>
      </c>
      <c r="D2420" s="2">
        <v>4124.55</v>
      </c>
      <c r="E2420" s="2">
        <v>4872559348483</v>
      </c>
      <c r="F2420" s="2">
        <v>0</v>
      </c>
      <c r="G2420">
        <v>2162.56</v>
      </c>
      <c r="H2420">
        <v>2162.6</v>
      </c>
      <c r="I2420">
        <v>2093.13</v>
      </c>
      <c r="J2420">
        <v>3793147735</v>
      </c>
      <c r="K2420">
        <v>0</v>
      </c>
      <c r="L2420" s="2">
        <f>VLOOKUP(A2420,[1]aaabonddata!$A:$B,2,0)</f>
        <v>2.62</v>
      </c>
    </row>
    <row r="2421" spans="1:12" x14ac:dyDescent="0.2">
      <c r="A2421" s="3">
        <v>42282</v>
      </c>
      <c r="B2421" s="2">
        <v>4331.43</v>
      </c>
      <c r="C2421" s="2">
        <v>4339.2299999999996</v>
      </c>
      <c r="D2421" s="2">
        <v>4290.25</v>
      </c>
      <c r="E2421" s="2">
        <v>4945613118530</v>
      </c>
      <c r="F2421" s="2">
        <v>620745973</v>
      </c>
      <c r="G2421">
        <v>2206.21</v>
      </c>
      <c r="H2421">
        <v>2214.5100000000002</v>
      </c>
      <c r="I2421">
        <v>2173.7600000000002</v>
      </c>
      <c r="J2421">
        <v>3869697004</v>
      </c>
      <c r="K2421">
        <v>0</v>
      </c>
      <c r="L2421" s="2">
        <f>VLOOKUP(A2421,[1]aaabonddata!$A:$B,2,0)</f>
        <v>2.67</v>
      </c>
    </row>
    <row r="2422" spans="1:12" x14ac:dyDescent="0.2">
      <c r="A2422" s="3">
        <v>42283</v>
      </c>
      <c r="B2422" s="2">
        <v>4306.7</v>
      </c>
      <c r="C2422" s="2">
        <v>4332.03</v>
      </c>
      <c r="D2422" s="2">
        <v>4273.7</v>
      </c>
      <c r="E2422" s="2">
        <v>4917374087191</v>
      </c>
      <c r="F2422" s="2">
        <v>0</v>
      </c>
      <c r="G2422">
        <v>2212.4899999999998</v>
      </c>
      <c r="H2422">
        <v>2216.23</v>
      </c>
      <c r="I2422">
        <v>2188.0100000000002</v>
      </c>
      <c r="J2422">
        <v>3880727565</v>
      </c>
      <c r="K2422">
        <v>0</v>
      </c>
      <c r="L2422" s="2">
        <f>VLOOKUP(A2422,[1]aaabonddata!$A:$B,2,0)</f>
        <v>2.65</v>
      </c>
    </row>
    <row r="2423" spans="1:12" x14ac:dyDescent="0.2">
      <c r="A2423" s="3">
        <v>42284</v>
      </c>
      <c r="B2423" s="2">
        <v>4333.46</v>
      </c>
      <c r="C2423" s="2">
        <v>4342.59</v>
      </c>
      <c r="D2423" s="2">
        <v>4279.21</v>
      </c>
      <c r="E2423" s="2">
        <v>4953163632888</v>
      </c>
      <c r="F2423" s="2">
        <v>136715518</v>
      </c>
      <c r="G2423">
        <v>2229.87</v>
      </c>
      <c r="H2423">
        <v>2238.42</v>
      </c>
      <c r="I2423">
        <v>2194.6999999999998</v>
      </c>
      <c r="J2423">
        <v>3811201375</v>
      </c>
      <c r="K2423">
        <v>924898</v>
      </c>
      <c r="L2423" s="2">
        <f>VLOOKUP(A2423,[1]aaabonddata!$A:$B,2,0)</f>
        <v>2.66</v>
      </c>
    </row>
    <row r="2424" spans="1:12" x14ac:dyDescent="0.2">
      <c r="A2424" s="3">
        <v>42285</v>
      </c>
      <c r="B2424" s="2">
        <v>4350.1499999999996</v>
      </c>
      <c r="C2424" s="2">
        <v>4358.09</v>
      </c>
      <c r="D2424" s="2">
        <v>4275.59</v>
      </c>
      <c r="E2424" s="2">
        <v>4972235170640</v>
      </c>
      <c r="F2424" s="2">
        <v>0</v>
      </c>
      <c r="G2424">
        <v>2246.0500000000002</v>
      </c>
      <c r="H2424">
        <v>2249.14</v>
      </c>
      <c r="I2424">
        <v>2212.89</v>
      </c>
      <c r="J2424">
        <v>3838848938</v>
      </c>
      <c r="K2424">
        <v>0</v>
      </c>
      <c r="L2424" s="2">
        <f>VLOOKUP(A2424,[1]aaabonddata!$A:$B,2,0)</f>
        <v>2.69</v>
      </c>
    </row>
    <row r="2425" spans="1:12" x14ac:dyDescent="0.2">
      <c r="A2425" s="3">
        <v>42286</v>
      </c>
      <c r="B2425" s="2">
        <v>4370.01</v>
      </c>
      <c r="C2425" s="2">
        <v>4378.26</v>
      </c>
      <c r="D2425" s="2">
        <v>4341.51</v>
      </c>
      <c r="E2425" s="2">
        <v>4994934940764</v>
      </c>
      <c r="F2425" s="2">
        <v>0</v>
      </c>
      <c r="G2425">
        <v>2253.3200000000002</v>
      </c>
      <c r="H2425">
        <v>2255.17</v>
      </c>
      <c r="I2425">
        <v>2237.9</v>
      </c>
      <c r="J2425">
        <v>3851283805</v>
      </c>
      <c r="K2425">
        <v>0</v>
      </c>
      <c r="L2425" s="2">
        <f>VLOOKUP(A2425,[1]aaabonddata!$A:$B,2,0)</f>
        <v>2.68</v>
      </c>
    </row>
    <row r="2426" spans="1:12" x14ac:dyDescent="0.2">
      <c r="A2426" s="3">
        <v>42289</v>
      </c>
      <c r="B2426" s="2">
        <v>4382.5600000000004</v>
      </c>
      <c r="C2426" s="2">
        <v>4389.7700000000004</v>
      </c>
      <c r="D2426" s="2">
        <v>4363.96</v>
      </c>
      <c r="E2426" s="2">
        <v>5009284072206</v>
      </c>
      <c r="F2426" s="2">
        <v>0</v>
      </c>
      <c r="G2426">
        <v>2256.4899999999998</v>
      </c>
      <c r="H2426">
        <v>2258.11</v>
      </c>
      <c r="I2426">
        <v>2243.21</v>
      </c>
      <c r="J2426">
        <v>3856691409</v>
      </c>
      <c r="K2426">
        <v>0</v>
      </c>
      <c r="L2426" s="2">
        <f>VLOOKUP(A2426,[1]aaabonddata!$A:$B,2,0)</f>
        <v>2.68</v>
      </c>
    </row>
    <row r="2427" spans="1:12" x14ac:dyDescent="0.2">
      <c r="A2427" s="3">
        <v>42290</v>
      </c>
      <c r="B2427" s="2">
        <v>4352.9399999999996</v>
      </c>
      <c r="C2427" s="2">
        <v>4399.93</v>
      </c>
      <c r="D2427" s="2">
        <v>4349.18</v>
      </c>
      <c r="E2427" s="2">
        <v>4975423232255</v>
      </c>
      <c r="F2427" s="2">
        <v>0</v>
      </c>
      <c r="G2427">
        <v>2236.21</v>
      </c>
      <c r="H2427">
        <v>2258.67</v>
      </c>
      <c r="I2427">
        <v>2234.73</v>
      </c>
      <c r="J2427">
        <v>3822035108</v>
      </c>
      <c r="K2427">
        <v>0</v>
      </c>
      <c r="L2427" s="2">
        <f>VLOOKUP(A2427,[1]aaabonddata!$A:$B,2,0)</f>
        <v>2.64</v>
      </c>
    </row>
    <row r="2428" spans="1:12" x14ac:dyDescent="0.2">
      <c r="A2428" s="3">
        <v>42291</v>
      </c>
      <c r="B2428" s="2">
        <v>4346.92</v>
      </c>
      <c r="C2428" s="2">
        <v>4373.71</v>
      </c>
      <c r="D2428" s="2">
        <v>4328.96</v>
      </c>
      <c r="E2428" s="2">
        <v>4968546801940</v>
      </c>
      <c r="F2428" s="2">
        <v>0</v>
      </c>
      <c r="G2428">
        <v>2266.61</v>
      </c>
      <c r="H2428">
        <v>2280.2800000000002</v>
      </c>
      <c r="I2428">
        <v>2240.5500000000002</v>
      </c>
      <c r="J2428">
        <v>3873995802</v>
      </c>
      <c r="K2428">
        <v>0</v>
      </c>
      <c r="L2428" s="2">
        <f>VLOOKUP(A2428,[1]aaabonddata!$A:$B,2,0)</f>
        <v>2.57</v>
      </c>
    </row>
    <row r="2429" spans="1:12" x14ac:dyDescent="0.2">
      <c r="A2429" s="3">
        <v>42292</v>
      </c>
      <c r="B2429" s="2">
        <v>4418.22</v>
      </c>
      <c r="C2429" s="2">
        <v>4418.25</v>
      </c>
      <c r="D2429" s="2">
        <v>4357.22</v>
      </c>
      <c r="E2429" s="2">
        <v>5050041178659</v>
      </c>
      <c r="F2429" s="2">
        <v>0</v>
      </c>
      <c r="G2429">
        <v>2277.36</v>
      </c>
      <c r="H2429">
        <v>2282.5500000000002</v>
      </c>
      <c r="I2429">
        <v>2255.39</v>
      </c>
      <c r="J2429">
        <v>3892367207</v>
      </c>
      <c r="K2429">
        <v>0</v>
      </c>
      <c r="L2429" s="2">
        <f>VLOOKUP(A2429,[1]aaabonddata!$A:$B,2,0)</f>
        <v>2.6</v>
      </c>
    </row>
    <row r="2430" spans="1:12" x14ac:dyDescent="0.2">
      <c r="A2430" s="3">
        <v>42293</v>
      </c>
      <c r="B2430" s="2">
        <v>4438.62</v>
      </c>
      <c r="C2430" s="2">
        <v>4438.75</v>
      </c>
      <c r="D2430" s="2">
        <v>4405.88</v>
      </c>
      <c r="E2430" s="2">
        <v>5073359425636</v>
      </c>
      <c r="F2430" s="2">
        <v>0</v>
      </c>
      <c r="G2430">
        <v>2283.21</v>
      </c>
      <c r="H2430">
        <v>2283.42</v>
      </c>
      <c r="I2430">
        <v>2264.0300000000002</v>
      </c>
      <c r="J2430">
        <v>3902370341</v>
      </c>
      <c r="K2430">
        <v>0</v>
      </c>
      <c r="L2430" s="2">
        <f>VLOOKUP(A2430,[1]aaabonddata!$A:$B,2,0)</f>
        <v>2.6</v>
      </c>
    </row>
    <row r="2431" spans="1:12" x14ac:dyDescent="0.2">
      <c r="A2431" s="3">
        <v>42296</v>
      </c>
      <c r="B2431" s="2">
        <v>4462.07</v>
      </c>
      <c r="C2431" s="2">
        <v>4464.78</v>
      </c>
      <c r="D2431" s="2">
        <v>4420.8</v>
      </c>
      <c r="E2431" s="2">
        <v>5100156266662</v>
      </c>
      <c r="F2431" s="2">
        <v>0</v>
      </c>
      <c r="G2431">
        <v>2287.66</v>
      </c>
      <c r="H2431">
        <v>2291.9499999999998</v>
      </c>
      <c r="I2431">
        <v>2274.61</v>
      </c>
      <c r="J2431">
        <v>3909979410</v>
      </c>
      <c r="K2431">
        <v>0</v>
      </c>
      <c r="L2431" s="2">
        <f>VLOOKUP(A2431,[1]aaabonddata!$A:$B,2,0)</f>
        <v>2.6</v>
      </c>
    </row>
    <row r="2432" spans="1:12" x14ac:dyDescent="0.2">
      <c r="A2432" s="3">
        <v>42297</v>
      </c>
      <c r="B2432" s="2">
        <v>4438.18</v>
      </c>
      <c r="C2432" s="2">
        <v>4463.1099999999997</v>
      </c>
      <c r="D2432" s="2">
        <v>4424.34</v>
      </c>
      <c r="E2432" s="2">
        <v>5072855063234</v>
      </c>
      <c r="F2432" s="2">
        <v>0</v>
      </c>
      <c r="G2432">
        <v>2278.92</v>
      </c>
      <c r="H2432">
        <v>2288.38</v>
      </c>
      <c r="I2432">
        <v>2269.9299999999998</v>
      </c>
      <c r="J2432">
        <v>3895026800</v>
      </c>
      <c r="K2432">
        <v>0</v>
      </c>
      <c r="L2432" s="2">
        <f>VLOOKUP(A2432,[1]aaabonddata!$A:$B,2,0)</f>
        <v>2.63</v>
      </c>
    </row>
    <row r="2433" spans="1:12" x14ac:dyDescent="0.2">
      <c r="A2433" s="3">
        <v>42298</v>
      </c>
      <c r="B2433" s="2">
        <v>4413.5200000000004</v>
      </c>
      <c r="C2433" s="2">
        <v>4464.7299999999996</v>
      </c>
      <c r="D2433" s="2">
        <v>4409.8999999999996</v>
      </c>
      <c r="E2433" s="2">
        <v>5044673102616</v>
      </c>
      <c r="F2433" s="2">
        <v>0</v>
      </c>
      <c r="G2433">
        <v>2269.33</v>
      </c>
      <c r="H2433">
        <v>2306.1999999999998</v>
      </c>
      <c r="I2433">
        <v>2268.04</v>
      </c>
      <c r="J2433">
        <v>3878642318</v>
      </c>
      <c r="K2433">
        <v>0</v>
      </c>
      <c r="L2433" s="2">
        <f>VLOOKUP(A2433,[1]aaabonddata!$A:$B,2,0)</f>
        <v>2.59</v>
      </c>
    </row>
    <row r="2434" spans="1:12" x14ac:dyDescent="0.2">
      <c r="A2434" s="3">
        <v>42299</v>
      </c>
      <c r="B2434" s="2">
        <v>4503.22</v>
      </c>
      <c r="C2434" s="2">
        <v>4504.7</v>
      </c>
      <c r="D2434" s="2">
        <v>4438.6000000000004</v>
      </c>
      <c r="E2434" s="2">
        <v>5147190762645</v>
      </c>
      <c r="F2434" s="2">
        <v>0</v>
      </c>
      <c r="G2434">
        <v>2335.42</v>
      </c>
      <c r="H2434">
        <v>2337.98</v>
      </c>
      <c r="I2434">
        <v>2299.92</v>
      </c>
      <c r="J2434">
        <v>3991606514</v>
      </c>
      <c r="K2434">
        <v>0</v>
      </c>
      <c r="L2434" s="2">
        <f>VLOOKUP(A2434,[1]aaabonddata!$A:$B,2,0)</f>
        <v>2.57</v>
      </c>
    </row>
    <row r="2435" spans="1:12" x14ac:dyDescent="0.2">
      <c r="A2435" s="3">
        <v>42300</v>
      </c>
      <c r="B2435" s="2">
        <v>4624.09</v>
      </c>
      <c r="C2435" s="2">
        <v>4645.96</v>
      </c>
      <c r="D2435" s="2">
        <v>4598.74</v>
      </c>
      <c r="E2435" s="2">
        <v>5285349788316</v>
      </c>
      <c r="F2435" s="2">
        <v>81246231</v>
      </c>
      <c r="G2435">
        <v>2370.44</v>
      </c>
      <c r="H2435">
        <v>2376.8000000000002</v>
      </c>
      <c r="I2435">
        <v>2350.65</v>
      </c>
      <c r="J2435">
        <v>4051450352</v>
      </c>
      <c r="K2435">
        <v>0</v>
      </c>
      <c r="L2435" s="2">
        <f>VLOOKUP(A2435,[1]aaabonddata!$A:$B,2,0)</f>
        <v>2.61</v>
      </c>
    </row>
    <row r="2436" spans="1:12" x14ac:dyDescent="0.2">
      <c r="A2436" s="3">
        <v>42303</v>
      </c>
      <c r="B2436" s="2">
        <v>4630.8500000000004</v>
      </c>
      <c r="C2436" s="2">
        <v>4638.75</v>
      </c>
      <c r="D2436" s="2">
        <v>4606.66</v>
      </c>
      <c r="E2436" s="2">
        <v>5293072231838</v>
      </c>
      <c r="F2436" s="2">
        <v>0</v>
      </c>
      <c r="G2436">
        <v>2353.61</v>
      </c>
      <c r="H2436">
        <v>2370.79</v>
      </c>
      <c r="I2436">
        <v>2346.2600000000002</v>
      </c>
      <c r="J2436">
        <v>4022690625</v>
      </c>
      <c r="K2436">
        <v>0</v>
      </c>
      <c r="L2436" s="2">
        <f>VLOOKUP(A2436,[1]aaabonddata!$A:$B,2,0)</f>
        <v>2.59</v>
      </c>
    </row>
    <row r="2437" spans="1:12" x14ac:dyDescent="0.2">
      <c r="A2437" s="3">
        <v>42304</v>
      </c>
      <c r="B2437" s="2">
        <v>4639.2299999999996</v>
      </c>
      <c r="C2437" s="2">
        <v>4645.9399999999996</v>
      </c>
      <c r="D2437" s="2">
        <v>4617.4399999999996</v>
      </c>
      <c r="E2437" s="2">
        <v>5302659356103</v>
      </c>
      <c r="F2437" s="2">
        <v>0</v>
      </c>
      <c r="G2437">
        <v>2355.5100000000002</v>
      </c>
      <c r="H2437">
        <v>2362.2600000000002</v>
      </c>
      <c r="I2437">
        <v>2349.4299999999998</v>
      </c>
      <c r="J2437">
        <v>4025937615</v>
      </c>
      <c r="K2437">
        <v>0</v>
      </c>
      <c r="L2437" s="2">
        <f>VLOOKUP(A2437,[1]aaabonddata!$A:$B,2,0)</f>
        <v>2.56</v>
      </c>
    </row>
    <row r="2438" spans="1:12" x14ac:dyDescent="0.2">
      <c r="A2438" s="3">
        <v>42305</v>
      </c>
      <c r="B2438" s="2">
        <v>4678.58</v>
      </c>
      <c r="C2438" s="2">
        <v>4678.58</v>
      </c>
      <c r="D2438" s="2">
        <v>4609.93</v>
      </c>
      <c r="E2438" s="2">
        <v>5347626810737</v>
      </c>
      <c r="F2438" s="2">
        <v>390026602</v>
      </c>
      <c r="G2438">
        <v>2374.5500000000002</v>
      </c>
      <c r="H2438">
        <v>2374.5500000000002</v>
      </c>
      <c r="I2438">
        <v>2343.91</v>
      </c>
      <c r="J2438">
        <v>4058485772</v>
      </c>
      <c r="K2438">
        <v>794979</v>
      </c>
      <c r="L2438" s="2">
        <f>VLOOKUP(A2438,[1]aaabonddata!$A:$B,2,0)</f>
        <v>2.63</v>
      </c>
    </row>
    <row r="2439" spans="1:12" x14ac:dyDescent="0.2">
      <c r="A2439" s="3">
        <v>42306</v>
      </c>
      <c r="B2439" s="2">
        <v>4670.76</v>
      </c>
      <c r="C2439" s="2">
        <v>4678.2</v>
      </c>
      <c r="D2439" s="2">
        <v>4653</v>
      </c>
      <c r="E2439" s="2">
        <v>5338699672674</v>
      </c>
      <c r="F2439" s="2">
        <v>151706659</v>
      </c>
      <c r="G2439">
        <v>2332.84</v>
      </c>
      <c r="H2439">
        <v>2345.34</v>
      </c>
      <c r="I2439">
        <v>2329.6999999999998</v>
      </c>
      <c r="J2439">
        <v>3987197634</v>
      </c>
      <c r="K2439">
        <v>0</v>
      </c>
      <c r="L2439" s="2">
        <f>VLOOKUP(A2439,[1]aaabonddata!$A:$B,2,0)</f>
        <v>2.71</v>
      </c>
    </row>
    <row r="2440" spans="1:12" x14ac:dyDescent="0.2">
      <c r="A2440" s="3">
        <v>42307</v>
      </c>
      <c r="B2440" s="2">
        <v>4648.83</v>
      </c>
      <c r="C2440" s="2">
        <v>4681.2299999999996</v>
      </c>
      <c r="D2440" s="2">
        <v>4648.83</v>
      </c>
      <c r="E2440" s="2">
        <v>5313628792911</v>
      </c>
      <c r="F2440" s="2">
        <v>0</v>
      </c>
      <c r="G2440">
        <v>2346.66</v>
      </c>
      <c r="H2440">
        <v>2353.9899999999998</v>
      </c>
      <c r="I2440">
        <v>2338.14</v>
      </c>
      <c r="J2440">
        <v>4010810059</v>
      </c>
      <c r="K2440">
        <v>0</v>
      </c>
      <c r="L2440" s="2">
        <f>VLOOKUP(A2440,[1]aaabonddata!$A:$B,2,0)</f>
        <v>2.7</v>
      </c>
    </row>
    <row r="2441" spans="1:12" x14ac:dyDescent="0.2">
      <c r="A2441" s="3">
        <v>42310</v>
      </c>
      <c r="B2441" s="2">
        <v>4703.91</v>
      </c>
      <c r="C2441" s="2">
        <v>4707.7700000000004</v>
      </c>
      <c r="D2441" s="2">
        <v>4652.45</v>
      </c>
      <c r="E2441" s="2">
        <v>5376590365198</v>
      </c>
      <c r="F2441" s="2">
        <v>0</v>
      </c>
      <c r="G2441">
        <v>2366.4499999999998</v>
      </c>
      <c r="H2441">
        <v>2368.25</v>
      </c>
      <c r="I2441">
        <v>2347.9299999999998</v>
      </c>
      <c r="J2441">
        <v>4044642471</v>
      </c>
      <c r="K2441">
        <v>0</v>
      </c>
      <c r="L2441" s="2">
        <f>VLOOKUP(A2441,[1]aaabonddata!$A:$B,2,0)</f>
        <v>2.72</v>
      </c>
    </row>
    <row r="2442" spans="1:12" x14ac:dyDescent="0.2">
      <c r="A2442" s="3">
        <v>42311</v>
      </c>
      <c r="B2442" s="2">
        <v>4719.05</v>
      </c>
      <c r="C2442" s="2">
        <v>4735.3100000000004</v>
      </c>
      <c r="D2442" s="2">
        <v>4685.9799999999996</v>
      </c>
      <c r="E2442" s="2">
        <v>5393893326162</v>
      </c>
      <c r="F2442" s="2">
        <v>147366002</v>
      </c>
      <c r="G2442">
        <v>2374.4899999999998</v>
      </c>
      <c r="H2442">
        <v>2383.63</v>
      </c>
      <c r="I2442">
        <v>2359.59</v>
      </c>
      <c r="J2442">
        <v>4058378499</v>
      </c>
      <c r="K2442">
        <v>727187</v>
      </c>
      <c r="L2442" s="2">
        <f>VLOOKUP(A2442,[1]aaabonddata!$A:$B,2,0)</f>
        <v>2.75</v>
      </c>
    </row>
    <row r="2443" spans="1:12" x14ac:dyDescent="0.2">
      <c r="A2443" s="3">
        <v>42312</v>
      </c>
      <c r="B2443" s="2">
        <v>4717.55</v>
      </c>
      <c r="C2443" s="2">
        <v>4737.1099999999997</v>
      </c>
      <c r="D2443" s="2">
        <v>4698.84</v>
      </c>
      <c r="E2443" s="2">
        <v>5392178160307</v>
      </c>
      <c r="F2443" s="2">
        <v>1331241382</v>
      </c>
      <c r="G2443">
        <v>2371.52</v>
      </c>
      <c r="H2443">
        <v>2375.2800000000002</v>
      </c>
      <c r="I2443">
        <v>2359.25</v>
      </c>
      <c r="J2443">
        <v>4053306892</v>
      </c>
      <c r="K2443">
        <v>2207082</v>
      </c>
      <c r="L2443" s="2">
        <f>VLOOKUP(A2443,[1]aaabonddata!$A:$B,2,0)</f>
        <v>2.76</v>
      </c>
    </row>
    <row r="2444" spans="1:12" x14ac:dyDescent="0.2">
      <c r="A2444" s="3">
        <v>42313</v>
      </c>
      <c r="B2444" s="2">
        <v>4702.8999999999996</v>
      </c>
      <c r="C2444" s="2">
        <v>4731.5600000000004</v>
      </c>
      <c r="D2444" s="2">
        <v>4678.79</v>
      </c>
      <c r="E2444" s="2">
        <v>5375425827223</v>
      </c>
      <c r="F2444" s="2">
        <v>2965415440</v>
      </c>
      <c r="G2444">
        <v>2361.5300000000002</v>
      </c>
      <c r="H2444">
        <v>2382.58</v>
      </c>
      <c r="I2444">
        <v>2352.29</v>
      </c>
      <c r="J2444">
        <v>4036219694</v>
      </c>
      <c r="K2444">
        <v>458352</v>
      </c>
      <c r="L2444" s="2">
        <f>VLOOKUP(A2444,[1]aaabonddata!$A:$B,2,0)</f>
        <v>2.77</v>
      </c>
    </row>
    <row r="2445" spans="1:12" x14ac:dyDescent="0.2">
      <c r="A2445" s="3">
        <v>42314</v>
      </c>
      <c r="B2445" s="2">
        <v>4707.2299999999996</v>
      </c>
      <c r="C2445" s="2">
        <v>4710.47</v>
      </c>
      <c r="D2445" s="2">
        <v>4665.41</v>
      </c>
      <c r="E2445" s="2">
        <v>5380381213261</v>
      </c>
      <c r="F2445" s="2">
        <v>0</v>
      </c>
      <c r="G2445">
        <v>2389.6999999999998</v>
      </c>
      <c r="H2445">
        <v>2389.6999999999998</v>
      </c>
      <c r="I2445">
        <v>2362.62</v>
      </c>
      <c r="J2445">
        <v>4084379255</v>
      </c>
      <c r="K2445">
        <v>0</v>
      </c>
      <c r="L2445" s="2">
        <f>VLOOKUP(A2445,[1]aaabonddata!$A:$B,2,0)</f>
        <v>2.84</v>
      </c>
    </row>
    <row r="2446" spans="1:12" x14ac:dyDescent="0.2">
      <c r="A2446" s="3">
        <v>42317</v>
      </c>
      <c r="B2446" s="2">
        <v>4655.5200000000004</v>
      </c>
      <c r="C2446" s="2">
        <v>4694.2700000000004</v>
      </c>
      <c r="D2446" s="2">
        <v>4627.12</v>
      </c>
      <c r="E2446" s="2">
        <v>5321269315039</v>
      </c>
      <c r="F2446" s="2">
        <v>347608390</v>
      </c>
      <c r="G2446">
        <v>2362.5</v>
      </c>
      <c r="H2446">
        <v>2378.2600000000002</v>
      </c>
      <c r="I2446">
        <v>2351.17</v>
      </c>
      <c r="J2446">
        <v>4037881438</v>
      </c>
      <c r="K2446">
        <v>0</v>
      </c>
      <c r="L2446" s="2">
        <f>VLOOKUP(A2446,[1]aaabonddata!$A:$B,2,0)</f>
        <v>2.85</v>
      </c>
    </row>
    <row r="2447" spans="1:12" x14ac:dyDescent="0.2">
      <c r="A2447" s="3">
        <v>42318</v>
      </c>
      <c r="B2447" s="2">
        <v>4641.7299999999996</v>
      </c>
      <c r="C2447" s="2">
        <v>4647.32</v>
      </c>
      <c r="D2447" s="2">
        <v>4616.71</v>
      </c>
      <c r="E2447" s="2">
        <v>5305511121073</v>
      </c>
      <c r="F2447" s="2">
        <v>332914808</v>
      </c>
      <c r="G2447">
        <v>2342.38</v>
      </c>
      <c r="H2447">
        <v>2348.0700000000002</v>
      </c>
      <c r="I2447">
        <v>2331.46</v>
      </c>
      <c r="J2447">
        <v>4003489347</v>
      </c>
      <c r="K2447">
        <v>751315</v>
      </c>
      <c r="L2447" s="2">
        <f>VLOOKUP(A2447,[1]aaabonddata!$A:$B,2,0)</f>
        <v>2.82</v>
      </c>
    </row>
    <row r="2448" spans="1:12" x14ac:dyDescent="0.2">
      <c r="A2448" s="3">
        <v>42319</v>
      </c>
      <c r="B2448" s="2">
        <v>4636.9399999999996</v>
      </c>
      <c r="C2448" s="2">
        <v>4677.78</v>
      </c>
      <c r="D2448" s="2">
        <v>4631.0600000000004</v>
      </c>
      <c r="E2448" s="2">
        <v>5316459158467</v>
      </c>
      <c r="F2448" s="2">
        <v>0</v>
      </c>
      <c r="G2448">
        <v>2336.4699999999998</v>
      </c>
      <c r="H2448">
        <v>2355.67</v>
      </c>
      <c r="I2448">
        <v>2333.67</v>
      </c>
      <c r="J2448">
        <v>3895493232</v>
      </c>
      <c r="K2448">
        <v>0</v>
      </c>
      <c r="L2448" s="2">
        <f>VLOOKUP(A2448,[1]aaabonddata!$A:$B,2,0)</f>
        <v>2.82</v>
      </c>
    </row>
    <row r="2449" spans="1:12" x14ac:dyDescent="0.2">
      <c r="A2449" s="3">
        <v>42320</v>
      </c>
      <c r="B2449" s="2">
        <v>4588.93</v>
      </c>
      <c r="C2449" s="2">
        <v>4639.26</v>
      </c>
      <c r="D2449" s="2">
        <v>4588.08</v>
      </c>
      <c r="E2449" s="2">
        <v>5261417959012</v>
      </c>
      <c r="F2449" s="2">
        <v>1798698557</v>
      </c>
      <c r="G2449">
        <v>2310.09</v>
      </c>
      <c r="H2449">
        <v>2340.8000000000002</v>
      </c>
      <c r="I2449">
        <v>2309.65</v>
      </c>
      <c r="J2449">
        <v>3851512215</v>
      </c>
      <c r="K2449">
        <v>1031337</v>
      </c>
      <c r="L2449" s="2">
        <f>VLOOKUP(A2449,[1]aaabonddata!$A:$B,2,0)</f>
        <v>2.83</v>
      </c>
    </row>
    <row r="2450" spans="1:12" x14ac:dyDescent="0.2">
      <c r="A2450" s="3">
        <v>42321</v>
      </c>
      <c r="B2450" s="2">
        <v>4502.1400000000003</v>
      </c>
      <c r="C2450" s="2">
        <v>4575.8</v>
      </c>
      <c r="D2450" s="2">
        <v>4499.1400000000003</v>
      </c>
      <c r="E2450" s="2">
        <v>5161905308418</v>
      </c>
      <c r="F2450" s="2">
        <v>0</v>
      </c>
      <c r="G2450">
        <v>2270.37</v>
      </c>
      <c r="H2450">
        <v>2306.9</v>
      </c>
      <c r="I2450">
        <v>2269.21</v>
      </c>
      <c r="J2450">
        <v>3785290901</v>
      </c>
      <c r="K2450">
        <v>0</v>
      </c>
      <c r="L2450" s="2">
        <f>VLOOKUP(A2450,[1]aaabonddata!$A:$B,2,0)</f>
        <v>2.81</v>
      </c>
    </row>
    <row r="2451" spans="1:12" x14ac:dyDescent="0.2">
      <c r="A2451" s="3">
        <v>42324</v>
      </c>
      <c r="B2451" s="2">
        <v>4565.47</v>
      </c>
      <c r="C2451" s="2">
        <v>4566.03</v>
      </c>
      <c r="D2451" s="2">
        <v>4486.09</v>
      </c>
      <c r="E2451" s="2">
        <v>5234517057957</v>
      </c>
      <c r="F2451" s="2">
        <v>0</v>
      </c>
      <c r="G2451">
        <v>2301.11</v>
      </c>
      <c r="H2451">
        <v>2301.7800000000002</v>
      </c>
      <c r="I2451">
        <v>2270.5300000000002</v>
      </c>
      <c r="J2451">
        <v>3836543307</v>
      </c>
      <c r="K2451">
        <v>0</v>
      </c>
      <c r="L2451" s="2">
        <f>VLOOKUP(A2451,[1]aaabonddata!$A:$B,2,0)</f>
        <v>2.8</v>
      </c>
    </row>
    <row r="2452" spans="1:12" x14ac:dyDescent="0.2">
      <c r="A2452" s="3">
        <v>42325</v>
      </c>
      <c r="B2452" s="2">
        <v>4565.82</v>
      </c>
      <c r="C2452" s="2">
        <v>4598.2700000000004</v>
      </c>
      <c r="D2452" s="2">
        <v>4554.8900000000003</v>
      </c>
      <c r="E2452" s="2">
        <v>5234917362728</v>
      </c>
      <c r="F2452" s="2">
        <v>3225725078</v>
      </c>
      <c r="G2452">
        <v>2305.08</v>
      </c>
      <c r="H2452">
        <v>2323.7399999999998</v>
      </c>
      <c r="I2452">
        <v>2296.44</v>
      </c>
      <c r="J2452">
        <v>3843159894</v>
      </c>
      <c r="K2452">
        <v>2653421</v>
      </c>
      <c r="L2452" s="2">
        <f>VLOOKUP(A2452,[1]aaabonddata!$A:$B,2,0)</f>
        <v>2.77</v>
      </c>
    </row>
    <row r="2453" spans="1:12" x14ac:dyDescent="0.2">
      <c r="A2453" s="3">
        <v>42326</v>
      </c>
      <c r="B2453" s="2">
        <v>4653.4399999999996</v>
      </c>
      <c r="C2453" s="2">
        <v>4657.63</v>
      </c>
      <c r="D2453" s="2">
        <v>4580.72</v>
      </c>
      <c r="E2453" s="2">
        <v>5335385887824</v>
      </c>
      <c r="F2453" s="2">
        <v>283670479</v>
      </c>
      <c r="G2453">
        <v>2330.6999999999998</v>
      </c>
      <c r="H2453">
        <v>2332.25</v>
      </c>
      <c r="I2453">
        <v>2299.84</v>
      </c>
      <c r="J2453">
        <v>3885869792</v>
      </c>
      <c r="K2453">
        <v>493774</v>
      </c>
      <c r="L2453" s="2">
        <f>VLOOKUP(A2453,[1]aaabonddata!$A:$B,2,0)</f>
        <v>2.78</v>
      </c>
    </row>
    <row r="2454" spans="1:12" x14ac:dyDescent="0.2">
      <c r="A2454" s="3">
        <v>42327</v>
      </c>
      <c r="B2454" s="2">
        <v>4655.3500000000004</v>
      </c>
      <c r="C2454" s="2">
        <v>4678.0200000000004</v>
      </c>
      <c r="D2454" s="2">
        <v>4648.9399999999996</v>
      </c>
      <c r="E2454" s="2">
        <v>5337576351073</v>
      </c>
      <c r="F2454" s="2">
        <v>164111539</v>
      </c>
      <c r="G2454">
        <v>2335.84</v>
      </c>
      <c r="H2454">
        <v>2347.2800000000002</v>
      </c>
      <c r="I2454">
        <v>2328.27</v>
      </c>
      <c r="J2454">
        <v>3894445787</v>
      </c>
      <c r="K2454">
        <v>743679</v>
      </c>
      <c r="L2454" s="2">
        <f>VLOOKUP(A2454,[1]aaabonddata!$A:$B,2,0)</f>
        <v>2.76</v>
      </c>
    </row>
    <row r="2455" spans="1:12" x14ac:dyDescent="0.2">
      <c r="A2455" s="3">
        <v>42328</v>
      </c>
      <c r="B2455" s="2">
        <v>4686.3599999999997</v>
      </c>
      <c r="C2455" s="2">
        <v>4691.59</v>
      </c>
      <c r="D2455" s="2">
        <v>4674.6099999999997</v>
      </c>
      <c r="E2455" s="2">
        <v>5373122499208</v>
      </c>
      <c r="F2455" s="2">
        <v>0</v>
      </c>
      <c r="G2455">
        <v>2345.33</v>
      </c>
      <c r="H2455">
        <v>2351.1799999999998</v>
      </c>
      <c r="I2455">
        <v>2339.5700000000002</v>
      </c>
      <c r="J2455">
        <v>3910265963</v>
      </c>
      <c r="K2455">
        <v>0</v>
      </c>
      <c r="L2455" s="2">
        <f>VLOOKUP(A2455,[1]aaabonddata!$A:$B,2,0)</f>
        <v>2.77</v>
      </c>
    </row>
    <row r="2456" spans="1:12" x14ac:dyDescent="0.2">
      <c r="A2456" s="3">
        <v>42331</v>
      </c>
      <c r="B2456" s="2">
        <v>4674.79</v>
      </c>
      <c r="C2456" s="2">
        <v>4706.62</v>
      </c>
      <c r="D2456" s="2">
        <v>4655.6000000000004</v>
      </c>
      <c r="E2456" s="2">
        <v>5359862683646</v>
      </c>
      <c r="F2456" s="2">
        <v>128673092</v>
      </c>
      <c r="G2456">
        <v>2332.7600000000002</v>
      </c>
      <c r="H2456">
        <v>2349.52</v>
      </c>
      <c r="I2456">
        <v>2327.27</v>
      </c>
      <c r="J2456">
        <v>3889306245</v>
      </c>
      <c r="K2456">
        <v>0</v>
      </c>
      <c r="L2456" s="2">
        <f>VLOOKUP(A2456,[1]aaabonddata!$A:$B,2,0)</f>
        <v>2.77</v>
      </c>
    </row>
    <row r="2457" spans="1:12" x14ac:dyDescent="0.2">
      <c r="A2457" s="3">
        <v>42332</v>
      </c>
      <c r="B2457" s="2">
        <v>4669.41</v>
      </c>
      <c r="C2457" s="2">
        <v>4682.13</v>
      </c>
      <c r="D2457" s="2">
        <v>4621.63</v>
      </c>
      <c r="E2457" s="2">
        <v>5353689920540</v>
      </c>
      <c r="F2457" s="2">
        <v>0</v>
      </c>
      <c r="G2457">
        <v>2346.7600000000002</v>
      </c>
      <c r="H2457">
        <v>2351.2600000000002</v>
      </c>
      <c r="I2457">
        <v>2317.19</v>
      </c>
      <c r="J2457">
        <v>3912654921</v>
      </c>
      <c r="K2457">
        <v>0</v>
      </c>
      <c r="L2457" s="2">
        <f>VLOOKUP(A2457,[1]aaabonddata!$A:$B,2,0)</f>
        <v>2.76</v>
      </c>
    </row>
    <row r="2458" spans="1:12" x14ac:dyDescent="0.2">
      <c r="A2458" s="3">
        <v>42333</v>
      </c>
      <c r="B2458" s="2">
        <v>4672.88</v>
      </c>
      <c r="C2458" s="2">
        <v>4683.55</v>
      </c>
      <c r="D2458" s="2">
        <v>4666.24</v>
      </c>
      <c r="E2458" s="2">
        <v>5357673855739</v>
      </c>
      <c r="F2458" s="2">
        <v>0</v>
      </c>
      <c r="G2458">
        <v>2344.42</v>
      </c>
      <c r="H2458">
        <v>2355.29</v>
      </c>
      <c r="I2458">
        <v>2339.54</v>
      </c>
      <c r="J2458">
        <v>3908748190</v>
      </c>
      <c r="K2458">
        <v>0</v>
      </c>
      <c r="L2458" s="2">
        <f>VLOOKUP(A2458,[1]aaabonddata!$A:$B,2,0)</f>
        <v>2.75</v>
      </c>
    </row>
    <row r="2459" spans="1:12" x14ac:dyDescent="0.2">
      <c r="A2459" s="3">
        <v>42335</v>
      </c>
      <c r="B2459" s="2">
        <v>4680.47</v>
      </c>
      <c r="C2459" s="2">
        <v>4689.58</v>
      </c>
      <c r="D2459" s="2">
        <v>4665.92</v>
      </c>
      <c r="E2459" s="2">
        <v>5366366227792</v>
      </c>
      <c r="F2459" s="2">
        <v>822274641</v>
      </c>
      <c r="G2459">
        <v>2353.62</v>
      </c>
      <c r="H2459">
        <v>2357.7600000000002</v>
      </c>
      <c r="I2459">
        <v>2344.88</v>
      </c>
      <c r="J2459">
        <v>3924085405</v>
      </c>
      <c r="K2459">
        <v>881543</v>
      </c>
      <c r="L2459" s="2">
        <f>VLOOKUP(A2459,[1]aaabonddata!$A:$B,2,0)</f>
        <v>2.75</v>
      </c>
    </row>
    <row r="2460" spans="1:12" x14ac:dyDescent="0.2">
      <c r="A2460" s="3">
        <v>42338</v>
      </c>
      <c r="B2460" s="2">
        <v>4664.51</v>
      </c>
      <c r="C2460" s="2">
        <v>4695.0600000000004</v>
      </c>
      <c r="D2460" s="2">
        <v>4654.53</v>
      </c>
      <c r="E2460" s="2">
        <v>5348072672379</v>
      </c>
      <c r="F2460" s="2">
        <v>0</v>
      </c>
      <c r="G2460">
        <v>2373.34</v>
      </c>
      <c r="H2460">
        <v>2374.69</v>
      </c>
      <c r="I2460">
        <v>2355.98</v>
      </c>
      <c r="J2460">
        <v>3956967704</v>
      </c>
      <c r="K2460">
        <v>0</v>
      </c>
      <c r="L2460" s="2">
        <f>VLOOKUP(A2460,[1]aaabonddata!$A:$B,2,0)</f>
        <v>2.81</v>
      </c>
    </row>
    <row r="2461" spans="1:12" x14ac:dyDescent="0.2">
      <c r="A2461" s="3">
        <v>42339</v>
      </c>
      <c r="B2461" s="2">
        <v>4716.16</v>
      </c>
      <c r="C2461" s="2">
        <v>4716.16</v>
      </c>
      <c r="D2461" s="2">
        <v>4682.3999999999996</v>
      </c>
      <c r="E2461" s="2">
        <v>5407289919945</v>
      </c>
      <c r="F2461" s="2">
        <v>0</v>
      </c>
      <c r="G2461">
        <v>2401.4699999999998</v>
      </c>
      <c r="H2461">
        <v>2401.5100000000002</v>
      </c>
      <c r="I2461">
        <v>2378.16</v>
      </c>
      <c r="J2461">
        <v>4003873585</v>
      </c>
      <c r="K2461">
        <v>0</v>
      </c>
      <c r="L2461" s="2">
        <f>VLOOKUP(A2461,[1]aaabonddata!$A:$B,2,0)</f>
        <v>2.74</v>
      </c>
    </row>
    <row r="2462" spans="1:12" x14ac:dyDescent="0.2">
      <c r="A2462" s="3">
        <v>42340</v>
      </c>
      <c r="B2462" s="2">
        <v>4686.22</v>
      </c>
      <c r="C2462" s="2">
        <v>4739.75</v>
      </c>
      <c r="D2462" s="2">
        <v>4680.0600000000004</v>
      </c>
      <c r="E2462" s="2">
        <v>5372968096964</v>
      </c>
      <c r="F2462" s="2">
        <v>125469909</v>
      </c>
      <c r="G2462">
        <v>2383.61</v>
      </c>
      <c r="H2462">
        <v>2412.17</v>
      </c>
      <c r="I2462">
        <v>2379.9699999999998</v>
      </c>
      <c r="J2462">
        <v>3974083687</v>
      </c>
      <c r="K2462">
        <v>705841</v>
      </c>
      <c r="L2462" s="2">
        <f>VLOOKUP(A2462,[1]aaabonddata!$A:$B,2,0)</f>
        <v>2.76</v>
      </c>
    </row>
    <row r="2463" spans="1:12" x14ac:dyDescent="0.2">
      <c r="A2463" s="3">
        <v>42341</v>
      </c>
      <c r="B2463" s="2">
        <v>4606.75</v>
      </c>
      <c r="C2463" s="2">
        <v>4705.78</v>
      </c>
      <c r="D2463" s="2">
        <v>4579.91</v>
      </c>
      <c r="E2463" s="2">
        <v>5281853909302</v>
      </c>
      <c r="F2463" s="2">
        <v>0</v>
      </c>
      <c r="G2463">
        <v>2355.12</v>
      </c>
      <c r="H2463">
        <v>2402.6799999999998</v>
      </c>
      <c r="I2463">
        <v>2343.9</v>
      </c>
      <c r="J2463">
        <v>3926591366</v>
      </c>
      <c r="K2463">
        <v>0</v>
      </c>
      <c r="L2463" s="2">
        <f>VLOOKUP(A2463,[1]aaabonddata!$A:$B,2,0)</f>
        <v>2.86</v>
      </c>
    </row>
    <row r="2464" spans="1:12" x14ac:dyDescent="0.2">
      <c r="A2464" s="3">
        <v>42342</v>
      </c>
      <c r="B2464" s="2">
        <v>4716.12</v>
      </c>
      <c r="C2464" s="2">
        <v>4722.3900000000003</v>
      </c>
      <c r="D2464" s="2">
        <v>4612.1099999999997</v>
      </c>
      <c r="E2464" s="2">
        <v>5407245818854</v>
      </c>
      <c r="F2464" s="2">
        <v>0</v>
      </c>
      <c r="G2464">
        <v>2398.9499999999998</v>
      </c>
      <c r="H2464">
        <v>2403.6</v>
      </c>
      <c r="I2464">
        <v>2352.35</v>
      </c>
      <c r="J2464">
        <v>3999666881</v>
      </c>
      <c r="K2464">
        <v>0</v>
      </c>
      <c r="L2464" s="2">
        <f>VLOOKUP(A2464,[1]aaabonddata!$A:$B,2,0)</f>
        <v>2.82</v>
      </c>
    </row>
    <row r="2465" spans="1:12" x14ac:dyDescent="0.2">
      <c r="A2465" s="3">
        <v>42345</v>
      </c>
      <c r="B2465" s="2">
        <v>4693.62</v>
      </c>
      <c r="C2465" s="2">
        <v>4720.82</v>
      </c>
      <c r="D2465" s="2">
        <v>4671.8599999999997</v>
      </c>
      <c r="E2465" s="2">
        <v>5381449752754</v>
      </c>
      <c r="F2465" s="2">
        <v>95790571</v>
      </c>
      <c r="G2465">
        <v>2380.5100000000002</v>
      </c>
      <c r="H2465">
        <v>2394.5300000000002</v>
      </c>
      <c r="I2465">
        <v>2373.94</v>
      </c>
      <c r="J2465">
        <v>3968926357</v>
      </c>
      <c r="K2465">
        <v>421230</v>
      </c>
      <c r="L2465" s="2">
        <f>VLOOKUP(A2465,[1]aaabonddata!$A:$B,2,0)</f>
        <v>2.78</v>
      </c>
    </row>
    <row r="2466" spans="1:12" x14ac:dyDescent="0.2">
      <c r="A2466" s="3">
        <v>42346</v>
      </c>
      <c r="B2466" s="2">
        <v>4694.7700000000004</v>
      </c>
      <c r="C2466" s="2">
        <v>4708.47</v>
      </c>
      <c r="D2466" s="2">
        <v>4643.6499999999996</v>
      </c>
      <c r="E2466" s="2">
        <v>5382763766697</v>
      </c>
      <c r="F2466" s="2">
        <v>0</v>
      </c>
      <c r="G2466">
        <v>2379.58</v>
      </c>
      <c r="H2466">
        <v>2387.4899999999998</v>
      </c>
      <c r="I2466">
        <v>2350.9699999999998</v>
      </c>
      <c r="J2466">
        <v>3967366790</v>
      </c>
      <c r="K2466">
        <v>0</v>
      </c>
      <c r="L2466" s="2">
        <f>VLOOKUP(A2466,[1]aaabonddata!$A:$B,2,0)</f>
        <v>2.8</v>
      </c>
    </row>
    <row r="2467" spans="1:12" x14ac:dyDescent="0.2">
      <c r="A2467" s="3">
        <v>42347</v>
      </c>
      <c r="B2467" s="2">
        <v>4622.1400000000003</v>
      </c>
      <c r="C2467" s="2">
        <v>4698.25</v>
      </c>
      <c r="D2467" s="2">
        <v>4595.01</v>
      </c>
      <c r="E2467" s="2">
        <v>5299491791823</v>
      </c>
      <c r="F2467" s="2">
        <v>246879368</v>
      </c>
      <c r="G2467">
        <v>2343</v>
      </c>
      <c r="H2467">
        <v>2382.58</v>
      </c>
      <c r="I2467">
        <v>2331.0700000000002</v>
      </c>
      <c r="J2467">
        <v>3906373133</v>
      </c>
      <c r="K2467">
        <v>0</v>
      </c>
      <c r="L2467" s="2">
        <f>VLOOKUP(A2467,[1]aaabonddata!$A:$B,2,0)</f>
        <v>2.78</v>
      </c>
    </row>
    <row r="2468" spans="1:12" x14ac:dyDescent="0.2">
      <c r="A2468" s="3">
        <v>42348</v>
      </c>
      <c r="B2468" s="2">
        <v>4643.05</v>
      </c>
      <c r="C2468" s="2">
        <v>4674</v>
      </c>
      <c r="D2468" s="2">
        <v>4619.97</v>
      </c>
      <c r="E2468" s="2">
        <v>5323466086244</v>
      </c>
      <c r="F2468" s="2">
        <v>60974445</v>
      </c>
      <c r="G2468">
        <v>2352.4299999999998</v>
      </c>
      <c r="H2468">
        <v>2368.3000000000002</v>
      </c>
      <c r="I2468">
        <v>2341.0700000000002</v>
      </c>
      <c r="J2468">
        <v>3922100882</v>
      </c>
      <c r="K2468">
        <v>0</v>
      </c>
      <c r="L2468" s="2">
        <f>VLOOKUP(A2468,[1]aaabonddata!$A:$B,2,0)</f>
        <v>2.81</v>
      </c>
    </row>
    <row r="2469" spans="1:12" x14ac:dyDescent="0.2">
      <c r="A2469" s="3">
        <v>42349</v>
      </c>
      <c r="B2469" s="2">
        <v>4537.5600000000004</v>
      </c>
      <c r="C2469" s="2">
        <v>4600.91</v>
      </c>
      <c r="D2469" s="2">
        <v>4534.05</v>
      </c>
      <c r="E2469" s="2">
        <v>5202522441369</v>
      </c>
      <c r="F2469" s="2">
        <v>236361405</v>
      </c>
      <c r="G2469">
        <v>2302.67</v>
      </c>
      <c r="H2469">
        <v>2328.12</v>
      </c>
      <c r="I2469">
        <v>2300.5500000000002</v>
      </c>
      <c r="J2469">
        <v>3839147690</v>
      </c>
      <c r="K2469">
        <v>1407673</v>
      </c>
      <c r="L2469" s="2">
        <f>VLOOKUP(A2469,[1]aaabonddata!$A:$B,2,0)</f>
        <v>2.73</v>
      </c>
    </row>
    <row r="2470" spans="1:12" x14ac:dyDescent="0.2">
      <c r="A2470" s="3">
        <v>42352</v>
      </c>
      <c r="B2470" s="2">
        <v>4570.16</v>
      </c>
      <c r="C2470" s="2">
        <v>4571.57</v>
      </c>
      <c r="D2470" s="2">
        <v>4478.25</v>
      </c>
      <c r="E2470" s="2">
        <v>5239882258026</v>
      </c>
      <c r="F2470" s="2">
        <v>631070366</v>
      </c>
      <c r="G2470">
        <v>2297.39</v>
      </c>
      <c r="H2470">
        <v>2310.19</v>
      </c>
      <c r="I2470">
        <v>2272.2199999999998</v>
      </c>
      <c r="J2470">
        <v>3830341147</v>
      </c>
      <c r="K2470">
        <v>0</v>
      </c>
      <c r="L2470" s="2">
        <f>VLOOKUP(A2470,[1]aaabonddata!$A:$B,2,0)</f>
        <v>2.83</v>
      </c>
    </row>
    <row r="2471" spans="1:12" x14ac:dyDescent="0.2">
      <c r="A2471" s="3">
        <v>42353</v>
      </c>
      <c r="B2471" s="2">
        <v>4597.33</v>
      </c>
      <c r="C2471" s="2">
        <v>4636.7700000000004</v>
      </c>
      <c r="D2471" s="2">
        <v>4592.72</v>
      </c>
      <c r="E2471" s="2">
        <v>5271033860765</v>
      </c>
      <c r="F2471" s="2">
        <v>0</v>
      </c>
      <c r="G2471">
        <v>2327.79</v>
      </c>
      <c r="H2471">
        <v>2344.41</v>
      </c>
      <c r="I2471">
        <v>2311.52</v>
      </c>
      <c r="J2471">
        <v>3881020802</v>
      </c>
      <c r="K2471">
        <v>0</v>
      </c>
      <c r="L2471" s="2">
        <f>VLOOKUP(A2471,[1]aaabonddata!$A:$B,2,0)</f>
        <v>2.86</v>
      </c>
    </row>
    <row r="2472" spans="1:12" x14ac:dyDescent="0.2">
      <c r="A2472" s="3">
        <v>42354</v>
      </c>
      <c r="B2472" s="2">
        <v>4664.5600000000004</v>
      </c>
      <c r="C2472" s="2">
        <v>4673.54</v>
      </c>
      <c r="D2472" s="2">
        <v>4582.87</v>
      </c>
      <c r="E2472" s="2">
        <v>5347620011944</v>
      </c>
      <c r="F2472" s="2">
        <v>114281068</v>
      </c>
      <c r="G2472">
        <v>2352.25</v>
      </c>
      <c r="H2472">
        <v>2355.94</v>
      </c>
      <c r="I2472">
        <v>2318.4299999999998</v>
      </c>
      <c r="J2472">
        <v>3921801987</v>
      </c>
      <c r="K2472">
        <v>344854</v>
      </c>
      <c r="L2472" s="2">
        <f>VLOOKUP(A2472,[1]aaabonddata!$A:$B,2,0)</f>
        <v>2.87</v>
      </c>
    </row>
    <row r="2473" spans="1:12" x14ac:dyDescent="0.2">
      <c r="A2473" s="3">
        <v>42355</v>
      </c>
      <c r="B2473" s="2">
        <v>4598.1400000000003</v>
      </c>
      <c r="C2473" s="2">
        <v>4681.13</v>
      </c>
      <c r="D2473" s="2">
        <v>4597.6499999999996</v>
      </c>
      <c r="E2473" s="2">
        <v>5271465977259</v>
      </c>
      <c r="F2473" s="2">
        <v>0</v>
      </c>
      <c r="G2473">
        <v>2312.91</v>
      </c>
      <c r="H2473">
        <v>2364.9</v>
      </c>
      <c r="I2473">
        <v>2312.5</v>
      </c>
      <c r="J2473">
        <v>3856211666</v>
      </c>
      <c r="K2473">
        <v>0</v>
      </c>
      <c r="L2473" s="2">
        <f>VLOOKUP(A2473,[1]aaabonddata!$A:$B,2,0)</f>
        <v>2.83</v>
      </c>
    </row>
    <row r="2474" spans="1:12" x14ac:dyDescent="0.2">
      <c r="A2474" s="3">
        <v>42356</v>
      </c>
      <c r="B2474" s="2">
        <v>4514.83</v>
      </c>
      <c r="C2474" s="2">
        <v>4593.3999999999996</v>
      </c>
      <c r="D2474" s="2">
        <v>4513.2299999999996</v>
      </c>
      <c r="E2474" s="2">
        <v>5175953675380</v>
      </c>
      <c r="F2474" s="2">
        <v>0</v>
      </c>
      <c r="G2474">
        <v>2274.48</v>
      </c>
      <c r="H2474">
        <v>2309.67</v>
      </c>
      <c r="I2474">
        <v>2273.7800000000002</v>
      </c>
      <c r="J2474">
        <v>3792144125</v>
      </c>
      <c r="K2474">
        <v>0</v>
      </c>
      <c r="L2474" s="2">
        <f>VLOOKUP(A2474,[1]aaabonddata!$A:$B,2,0)</f>
        <v>2.8</v>
      </c>
    </row>
    <row r="2475" spans="1:12" x14ac:dyDescent="0.2">
      <c r="A2475" s="3">
        <v>42359</v>
      </c>
      <c r="B2475" s="2">
        <v>4560.55</v>
      </c>
      <c r="C2475" s="2">
        <v>4560.71</v>
      </c>
      <c r="D2475" s="2">
        <v>4519.82</v>
      </c>
      <c r="E2475" s="2">
        <v>5245910445458</v>
      </c>
      <c r="F2475" s="2">
        <v>697737037</v>
      </c>
      <c r="G2475">
        <v>2305.29</v>
      </c>
      <c r="H2475">
        <v>2305.6</v>
      </c>
      <c r="I2475">
        <v>2285.9</v>
      </c>
      <c r="J2475">
        <v>3648759357</v>
      </c>
      <c r="K2475">
        <v>0</v>
      </c>
      <c r="L2475" s="2">
        <f>VLOOKUP(A2475,[1]aaabonddata!$A:$B,2,0)</f>
        <v>2.8</v>
      </c>
    </row>
    <row r="2476" spans="1:12" x14ac:dyDescent="0.2">
      <c r="A2476" s="3">
        <v>42360</v>
      </c>
      <c r="B2476" s="2">
        <v>4589.26</v>
      </c>
      <c r="C2476" s="2">
        <v>4596.08</v>
      </c>
      <c r="D2476" s="2">
        <v>4560.54</v>
      </c>
      <c r="E2476" s="2">
        <v>5278927816263</v>
      </c>
      <c r="F2476" s="2">
        <v>0</v>
      </c>
      <c r="G2476">
        <v>2319.2800000000002</v>
      </c>
      <c r="H2476">
        <v>2321.6</v>
      </c>
      <c r="I2476">
        <v>2296.25</v>
      </c>
      <c r="J2476">
        <v>3670900523</v>
      </c>
      <c r="K2476">
        <v>0</v>
      </c>
      <c r="L2476" s="2">
        <f>VLOOKUP(A2476,[1]aaabonddata!$A:$B,2,0)</f>
        <v>2.83</v>
      </c>
    </row>
    <row r="2477" spans="1:12" x14ac:dyDescent="0.2">
      <c r="A2477" s="3">
        <v>42361</v>
      </c>
      <c r="B2477" s="2">
        <v>4624.59</v>
      </c>
      <c r="C2477" s="2">
        <v>4626.16</v>
      </c>
      <c r="D2477" s="2">
        <v>4605.3599999999997</v>
      </c>
      <c r="E2477" s="2">
        <v>5319567933044</v>
      </c>
      <c r="F2477" s="2">
        <v>0</v>
      </c>
      <c r="G2477">
        <v>2336.4499999999998</v>
      </c>
      <c r="H2477">
        <v>2338.61</v>
      </c>
      <c r="I2477">
        <v>2322.6</v>
      </c>
      <c r="J2477">
        <v>3698087142</v>
      </c>
      <c r="K2477">
        <v>0</v>
      </c>
      <c r="L2477" s="2">
        <f>VLOOKUP(A2477,[1]aaabonddata!$A:$B,2,0)</f>
        <v>2.85</v>
      </c>
    </row>
    <row r="2478" spans="1:12" x14ac:dyDescent="0.2">
      <c r="A2478" s="3">
        <v>42362</v>
      </c>
      <c r="B2478" s="2">
        <v>4622.7700000000004</v>
      </c>
      <c r="C2478" s="2">
        <v>4635.59</v>
      </c>
      <c r="D2478" s="2">
        <v>4620.8</v>
      </c>
      <c r="E2478" s="2">
        <v>5317480399665</v>
      </c>
      <c r="F2478" s="2">
        <v>0</v>
      </c>
      <c r="G2478">
        <v>2339.17</v>
      </c>
      <c r="H2478">
        <v>2347.08</v>
      </c>
      <c r="I2478">
        <v>2336.3000000000002</v>
      </c>
      <c r="J2478">
        <v>3702379340</v>
      </c>
      <c r="K2478">
        <v>0</v>
      </c>
      <c r="L2478" s="2">
        <f>VLOOKUP(A2478,[1]aaabonddata!$A:$B,2,0)</f>
        <v>2.83</v>
      </c>
    </row>
    <row r="2479" spans="1:12" x14ac:dyDescent="0.2">
      <c r="A2479" s="3">
        <v>42366</v>
      </c>
      <c r="B2479" s="2">
        <v>4621.3500000000004</v>
      </c>
      <c r="C2479" s="2">
        <v>4621.68</v>
      </c>
      <c r="D2479" s="2">
        <v>4580.13</v>
      </c>
      <c r="E2479" s="2">
        <v>5315844849227</v>
      </c>
      <c r="F2479" s="2">
        <v>0</v>
      </c>
      <c r="G2479">
        <v>2335.38</v>
      </c>
      <c r="H2479">
        <v>2335.63</v>
      </c>
      <c r="I2479">
        <v>2310.29</v>
      </c>
      <c r="J2479">
        <v>3696394358</v>
      </c>
      <c r="K2479">
        <v>0</v>
      </c>
      <c r="L2479" s="2">
        <f>VLOOKUP(A2479,[1]aaabonddata!$A:$B,2,0)</f>
        <v>2.82</v>
      </c>
    </row>
    <row r="2480" spans="1:12" x14ac:dyDescent="0.2">
      <c r="A2480" s="3">
        <v>42367</v>
      </c>
      <c r="B2480" s="2">
        <v>4691.08</v>
      </c>
      <c r="C2480" s="2">
        <v>4702.74</v>
      </c>
      <c r="D2480" s="2">
        <v>4644.32</v>
      </c>
      <c r="E2480" s="2">
        <v>5396050213698</v>
      </c>
      <c r="F2480" s="2">
        <v>386016392</v>
      </c>
      <c r="G2480">
        <v>2365.65</v>
      </c>
      <c r="H2480">
        <v>2372.21</v>
      </c>
      <c r="I2480">
        <v>2346.36</v>
      </c>
      <c r="J2480">
        <v>3744295492</v>
      </c>
      <c r="K2480">
        <v>849474</v>
      </c>
      <c r="L2480" s="2">
        <f>VLOOKUP(A2480,[1]aaabonddata!$A:$B,2,0)</f>
        <v>2.89</v>
      </c>
    </row>
    <row r="2481" spans="1:12" x14ac:dyDescent="0.2">
      <c r="A2481" s="3">
        <v>42368</v>
      </c>
      <c r="B2481" s="2">
        <v>4652.01</v>
      </c>
      <c r="C2481" s="2">
        <v>4688.66</v>
      </c>
      <c r="D2481" s="2">
        <v>4651.7299999999996</v>
      </c>
      <c r="E2481" s="2">
        <v>5351110483260</v>
      </c>
      <c r="F2481" s="2">
        <v>0</v>
      </c>
      <c r="G2481">
        <v>2345.6999999999998</v>
      </c>
      <c r="H2481">
        <v>2366.52</v>
      </c>
      <c r="I2481">
        <v>2345.31</v>
      </c>
      <c r="J2481">
        <v>3712717912</v>
      </c>
      <c r="K2481">
        <v>0</v>
      </c>
      <c r="L2481" s="2">
        <f>VLOOKUP(A2481,[1]aaabonddata!$A:$B,2,0)</f>
        <v>2.88</v>
      </c>
    </row>
    <row r="2482" spans="1:12" x14ac:dyDescent="0.2">
      <c r="A2482" s="3">
        <v>42369</v>
      </c>
      <c r="B2482" s="2">
        <v>4593.2700000000004</v>
      </c>
      <c r="C2482" s="2">
        <v>4642.55</v>
      </c>
      <c r="D2482" s="2">
        <v>4592.88</v>
      </c>
      <c r="E2482" s="2">
        <v>5283545351464</v>
      </c>
      <c r="F2482" s="2">
        <v>0</v>
      </c>
      <c r="G2482">
        <v>2312.4699999999998</v>
      </c>
      <c r="H2482">
        <v>2338.46</v>
      </c>
      <c r="I2482">
        <v>2312.3000000000002</v>
      </c>
      <c r="J2482">
        <v>3660132367</v>
      </c>
      <c r="K2482">
        <v>0</v>
      </c>
      <c r="L2482" s="2">
        <f>VLOOKUP(A2482,[1]aaabonddata!$A:$B,2,0)</f>
        <v>2.86</v>
      </c>
    </row>
    <row r="2483" spans="1:12" x14ac:dyDescent="0.2">
      <c r="A2483" s="3">
        <v>42373</v>
      </c>
      <c r="B2483" s="2">
        <v>4497.8599999999997</v>
      </c>
      <c r="C2483" s="2">
        <v>4497.8599999999997</v>
      </c>
      <c r="D2483" s="2">
        <v>4439.13</v>
      </c>
      <c r="E2483" s="2">
        <v>5173792938861</v>
      </c>
      <c r="F2483" s="2">
        <v>1676435647</v>
      </c>
      <c r="G2483">
        <v>2277.96</v>
      </c>
      <c r="H2483">
        <v>2278.1999999999998</v>
      </c>
      <c r="I2483">
        <v>2245.58</v>
      </c>
      <c r="J2483">
        <v>3605501450</v>
      </c>
      <c r="K2483">
        <v>799391</v>
      </c>
      <c r="L2483" s="2">
        <f>VLOOKUP(A2483,[1]aaabonddata!$A:$B,2,0)</f>
        <v>2.83</v>
      </c>
    </row>
    <row r="2484" spans="1:12" x14ac:dyDescent="0.2">
      <c r="A2484" s="3">
        <v>42374</v>
      </c>
      <c r="B2484" s="2">
        <v>4484.18</v>
      </c>
      <c r="C2484" s="2">
        <v>4522.12</v>
      </c>
      <c r="D2484" s="2">
        <v>4466.05</v>
      </c>
      <c r="E2484" s="2">
        <v>5158060617325</v>
      </c>
      <c r="F2484" s="2">
        <v>0</v>
      </c>
      <c r="G2484">
        <v>2271.02</v>
      </c>
      <c r="H2484">
        <v>2290.4499999999998</v>
      </c>
      <c r="I2484">
        <v>2265.83</v>
      </c>
      <c r="J2484">
        <v>3594519100</v>
      </c>
      <c r="K2484">
        <v>0</v>
      </c>
      <c r="L2484" s="2">
        <f>VLOOKUP(A2484,[1]aaabonddata!$A:$B,2,0)</f>
        <v>2.83</v>
      </c>
    </row>
    <row r="2485" spans="1:12" x14ac:dyDescent="0.2">
      <c r="A2485" s="3">
        <v>42375</v>
      </c>
      <c r="B2485" s="2">
        <v>4443.99</v>
      </c>
      <c r="C2485" s="2">
        <v>4467.55</v>
      </c>
      <c r="D2485" s="2">
        <v>4409.49</v>
      </c>
      <c r="E2485" s="2">
        <v>5111825442944</v>
      </c>
      <c r="F2485" s="2">
        <v>53082078</v>
      </c>
      <c r="G2485">
        <v>2223.15</v>
      </c>
      <c r="H2485">
        <v>2241.86</v>
      </c>
      <c r="I2485">
        <v>2207.39</v>
      </c>
      <c r="J2485">
        <v>3518756359</v>
      </c>
      <c r="K2485">
        <v>652174</v>
      </c>
      <c r="L2485" s="2">
        <f>VLOOKUP(A2485,[1]aaabonddata!$A:$B,2,0)</f>
        <v>2.77</v>
      </c>
    </row>
    <row r="2486" spans="1:12" x14ac:dyDescent="0.2">
      <c r="A2486" s="3">
        <v>42376</v>
      </c>
      <c r="B2486" s="2">
        <v>4305.72</v>
      </c>
      <c r="C2486" s="2">
        <v>4403.6099999999997</v>
      </c>
      <c r="D2486" s="2">
        <v>4303.66</v>
      </c>
      <c r="E2486" s="2">
        <v>4952786942414</v>
      </c>
      <c r="F2486" s="2">
        <v>79201299</v>
      </c>
      <c r="G2486">
        <v>2153.62</v>
      </c>
      <c r="H2486">
        <v>2202.64</v>
      </c>
      <c r="I2486">
        <v>2150.5100000000002</v>
      </c>
      <c r="J2486">
        <v>3408702128</v>
      </c>
      <c r="K2486">
        <v>313906</v>
      </c>
      <c r="L2486" s="2">
        <f>VLOOKUP(A2486,[1]aaabonddata!$A:$B,2,0)</f>
        <v>2.76</v>
      </c>
    </row>
    <row r="2487" spans="1:12" x14ac:dyDescent="0.2">
      <c r="A2487" s="3">
        <v>42377</v>
      </c>
      <c r="B2487" s="2">
        <v>4270.78</v>
      </c>
      <c r="C2487" s="2">
        <v>4362.46</v>
      </c>
      <c r="D2487" s="2">
        <v>4264.8100000000004</v>
      </c>
      <c r="E2487" s="2">
        <v>4912593901401</v>
      </c>
      <c r="F2487" s="2">
        <v>0</v>
      </c>
      <c r="G2487">
        <v>2123.67</v>
      </c>
      <c r="H2487">
        <v>2171.77</v>
      </c>
      <c r="I2487">
        <v>2121.31</v>
      </c>
      <c r="J2487">
        <v>3361296113</v>
      </c>
      <c r="K2487">
        <v>0</v>
      </c>
      <c r="L2487" s="2">
        <f>VLOOKUP(A2487,[1]aaabonddata!$A:$B,2,0)</f>
        <v>2.73</v>
      </c>
    </row>
    <row r="2488" spans="1:12" x14ac:dyDescent="0.2">
      <c r="A2488" s="3">
        <v>42380</v>
      </c>
      <c r="B2488" s="2">
        <v>4283.55</v>
      </c>
      <c r="C2488" s="2">
        <v>4311.1400000000003</v>
      </c>
      <c r="D2488" s="2">
        <v>4217.63</v>
      </c>
      <c r="E2488" s="2">
        <v>4927277256410</v>
      </c>
      <c r="F2488" s="2">
        <v>0</v>
      </c>
      <c r="G2488">
        <v>2119.08</v>
      </c>
      <c r="H2488">
        <v>2144.12</v>
      </c>
      <c r="I2488">
        <v>2092.1799999999998</v>
      </c>
      <c r="J2488">
        <v>3354029934</v>
      </c>
      <c r="K2488">
        <v>0</v>
      </c>
      <c r="L2488" s="2">
        <f>VLOOKUP(A2488,[1]aaabonddata!$A:$B,2,0)</f>
        <v>2.75</v>
      </c>
    </row>
    <row r="2489" spans="1:12" x14ac:dyDescent="0.2">
      <c r="A2489" s="3">
        <v>42381</v>
      </c>
      <c r="B2489" s="2">
        <v>4333.72</v>
      </c>
      <c r="C2489" s="2">
        <v>4353.1899999999996</v>
      </c>
      <c r="D2489" s="2">
        <v>4273.0200000000004</v>
      </c>
      <c r="E2489" s="2">
        <v>4984986815863</v>
      </c>
      <c r="F2489" s="2">
        <v>0</v>
      </c>
      <c r="G2489">
        <v>2145.6999999999998</v>
      </c>
      <c r="H2489">
        <v>2158.4899999999998</v>
      </c>
      <c r="I2489">
        <v>2116.85</v>
      </c>
      <c r="J2489">
        <v>3396172932</v>
      </c>
      <c r="K2489">
        <v>0</v>
      </c>
      <c r="L2489" s="2">
        <f>VLOOKUP(A2489,[1]aaabonddata!$A:$B,2,0)</f>
        <v>2.71</v>
      </c>
    </row>
    <row r="2490" spans="1:12" x14ac:dyDescent="0.2">
      <c r="A2490" s="3">
        <v>42382</v>
      </c>
      <c r="B2490" s="2">
        <v>4183.12</v>
      </c>
      <c r="C2490" s="2">
        <v>4359.5</v>
      </c>
      <c r="D2490" s="2">
        <v>4177.3</v>
      </c>
      <c r="E2490" s="2">
        <v>4818494928741</v>
      </c>
      <c r="F2490" s="2">
        <v>46071222</v>
      </c>
      <c r="G2490">
        <v>2078.35</v>
      </c>
      <c r="H2490">
        <v>2164.9899999999998</v>
      </c>
      <c r="I2490">
        <v>2073.6799999999998</v>
      </c>
      <c r="J2490">
        <v>3289567536</v>
      </c>
      <c r="K2490">
        <v>0</v>
      </c>
      <c r="L2490" s="2">
        <f>VLOOKUP(A2490,[1]aaabonddata!$A:$B,2,0)</f>
        <v>2.68</v>
      </c>
    </row>
    <row r="2491" spans="1:12" x14ac:dyDescent="0.2">
      <c r="A2491" s="3">
        <v>42383</v>
      </c>
      <c r="B2491" s="2">
        <v>4272.97</v>
      </c>
      <c r="C2491" s="2">
        <v>4308.25</v>
      </c>
      <c r="D2491" s="2">
        <v>4133.32</v>
      </c>
      <c r="E2491" s="2">
        <v>4921993451046</v>
      </c>
      <c r="F2491" s="2">
        <v>0</v>
      </c>
      <c r="G2491">
        <v>2119.1</v>
      </c>
      <c r="H2491">
        <v>2131.36</v>
      </c>
      <c r="I2491">
        <v>2054.42</v>
      </c>
      <c r="J2491">
        <v>3354059806</v>
      </c>
      <c r="K2491">
        <v>0</v>
      </c>
      <c r="L2491" s="2">
        <f>VLOOKUP(A2491,[1]aaabonddata!$A:$B,2,0)</f>
        <v>2.72</v>
      </c>
    </row>
    <row r="2492" spans="1:12" x14ac:dyDescent="0.2">
      <c r="A2492" s="3">
        <v>42384</v>
      </c>
      <c r="B2492" s="2">
        <v>4141.08</v>
      </c>
      <c r="C2492" s="2">
        <v>4184.6899999999996</v>
      </c>
      <c r="D2492" s="2">
        <v>4085.79</v>
      </c>
      <c r="E2492" s="2">
        <v>4770076559709</v>
      </c>
      <c r="F2492" s="2">
        <v>0</v>
      </c>
      <c r="G2492">
        <v>2039.41</v>
      </c>
      <c r="H2492">
        <v>2061.2199999999998</v>
      </c>
      <c r="I2492">
        <v>2008.58</v>
      </c>
      <c r="J2492">
        <v>3227933724</v>
      </c>
      <c r="K2492">
        <v>0</v>
      </c>
      <c r="L2492" s="2">
        <f>VLOOKUP(A2492,[1]aaabonddata!$A:$B,2,0)</f>
        <v>2.71</v>
      </c>
    </row>
    <row r="2493" spans="1:12" x14ac:dyDescent="0.2">
      <c r="A2493" s="3">
        <v>42388</v>
      </c>
      <c r="B2493" s="2">
        <v>4147.07</v>
      </c>
      <c r="C2493" s="2">
        <v>4202.04</v>
      </c>
      <c r="D2493" s="2">
        <v>4101.05</v>
      </c>
      <c r="E2493" s="2">
        <v>4776979471427</v>
      </c>
      <c r="F2493" s="2">
        <v>0</v>
      </c>
      <c r="G2493">
        <v>2032.66</v>
      </c>
      <c r="H2493">
        <v>2075.63</v>
      </c>
      <c r="I2493">
        <v>2013.41</v>
      </c>
      <c r="J2493">
        <v>3217245435</v>
      </c>
      <c r="K2493">
        <v>0</v>
      </c>
      <c r="L2493" s="2">
        <f>VLOOKUP(A2493,[1]aaabonddata!$A:$B,2,0)</f>
        <v>2.71</v>
      </c>
    </row>
    <row r="2494" spans="1:12" x14ac:dyDescent="0.2">
      <c r="A2494" s="3">
        <v>42389</v>
      </c>
      <c r="B2494" s="2">
        <v>4136.28</v>
      </c>
      <c r="C2494" s="2">
        <v>4178.6400000000003</v>
      </c>
      <c r="D2494" s="2">
        <v>3992.91</v>
      </c>
      <c r="E2494" s="2">
        <v>4764546107578</v>
      </c>
      <c r="F2494" s="2">
        <v>0</v>
      </c>
      <c r="G2494">
        <v>2029.81</v>
      </c>
      <c r="H2494">
        <v>2048.7399999999998</v>
      </c>
      <c r="I2494">
        <v>1966.27</v>
      </c>
      <c r="J2494">
        <v>3212745167</v>
      </c>
      <c r="K2494">
        <v>0</v>
      </c>
      <c r="L2494" s="2">
        <f>VLOOKUP(A2494,[1]aaabonddata!$A:$B,2,0)</f>
        <v>2.72</v>
      </c>
    </row>
    <row r="2495" spans="1:12" x14ac:dyDescent="0.2">
      <c r="A2495" s="3">
        <v>42390</v>
      </c>
      <c r="B2495" s="2">
        <v>4142.6000000000004</v>
      </c>
      <c r="C2495" s="2">
        <v>4200.3599999999997</v>
      </c>
      <c r="D2495" s="2">
        <v>4099.3</v>
      </c>
      <c r="E2495" s="2">
        <v>4771823901865</v>
      </c>
      <c r="F2495" s="2">
        <v>0</v>
      </c>
      <c r="G2495">
        <v>2039.08</v>
      </c>
      <c r="H2495">
        <v>2071.4499999999998</v>
      </c>
      <c r="I2495">
        <v>2018.05</v>
      </c>
      <c r="J2495">
        <v>3227417296</v>
      </c>
      <c r="K2495">
        <v>0</v>
      </c>
      <c r="L2495" s="2">
        <f>VLOOKUP(A2495,[1]aaabonddata!$A:$B,2,0)</f>
        <v>2.73</v>
      </c>
    </row>
    <row r="2496" spans="1:12" x14ac:dyDescent="0.2">
      <c r="A2496" s="3">
        <v>42391</v>
      </c>
      <c r="B2496" s="2">
        <v>4259.7700000000004</v>
      </c>
      <c r="C2496" s="2">
        <v>4260.55</v>
      </c>
      <c r="D2496" s="2">
        <v>4209.24</v>
      </c>
      <c r="E2496" s="2">
        <v>4906796028050</v>
      </c>
      <c r="F2496" s="2">
        <v>0</v>
      </c>
      <c r="G2496">
        <v>2082.96</v>
      </c>
      <c r="H2496">
        <v>2089.15</v>
      </c>
      <c r="I2496">
        <v>2066.42</v>
      </c>
      <c r="J2496">
        <v>3296861568</v>
      </c>
      <c r="K2496">
        <v>0</v>
      </c>
      <c r="L2496" s="2">
        <f>VLOOKUP(A2496,[1]aaabonddata!$A:$B,2,0)</f>
        <v>2.75</v>
      </c>
    </row>
    <row r="2497" spans="1:12" x14ac:dyDescent="0.2">
      <c r="A2497" s="3">
        <v>42394</v>
      </c>
      <c r="B2497" s="2">
        <v>4196.53</v>
      </c>
      <c r="C2497" s="2">
        <v>4268.1099999999997</v>
      </c>
      <c r="D2497" s="2">
        <v>4193.32</v>
      </c>
      <c r="E2497" s="2">
        <v>4833948405978</v>
      </c>
      <c r="F2497" s="2">
        <v>0</v>
      </c>
      <c r="G2497">
        <v>2044.64</v>
      </c>
      <c r="H2497">
        <v>2079.5500000000002</v>
      </c>
      <c r="I2497">
        <v>2041.39</v>
      </c>
      <c r="J2497">
        <v>3236217373</v>
      </c>
      <c r="K2497">
        <v>0</v>
      </c>
      <c r="L2497" s="2">
        <f>VLOOKUP(A2497,[1]aaabonddata!$A:$B,2,0)</f>
        <v>2.73</v>
      </c>
    </row>
    <row r="2498" spans="1:12" x14ac:dyDescent="0.2">
      <c r="A2498" s="3">
        <v>42395</v>
      </c>
      <c r="B2498" s="2">
        <v>4233.8500000000004</v>
      </c>
      <c r="C2498" s="2">
        <v>4250.97</v>
      </c>
      <c r="D2498" s="2">
        <v>4177.8500000000004</v>
      </c>
      <c r="E2498" s="2">
        <v>4876935031791</v>
      </c>
      <c r="F2498" s="2">
        <v>0</v>
      </c>
      <c r="G2498">
        <v>2073.4899999999998</v>
      </c>
      <c r="H2498">
        <v>2083.7800000000002</v>
      </c>
      <c r="I2498">
        <v>2042.18</v>
      </c>
      <c r="J2498">
        <v>3281868630</v>
      </c>
      <c r="K2498">
        <v>0</v>
      </c>
      <c r="L2498" s="2">
        <f>VLOOKUP(A2498,[1]aaabonddata!$A:$B,2,0)</f>
        <v>2.72</v>
      </c>
    </row>
    <row r="2499" spans="1:12" x14ac:dyDescent="0.2">
      <c r="A2499" s="3">
        <v>42396</v>
      </c>
      <c r="B2499" s="2">
        <v>4128.8599999999997</v>
      </c>
      <c r="C2499" s="2">
        <v>4226.09</v>
      </c>
      <c r="D2499" s="2">
        <v>4111.93</v>
      </c>
      <c r="E2499" s="2">
        <v>4755999119908</v>
      </c>
      <c r="F2499" s="2">
        <v>86908552</v>
      </c>
      <c r="G2499">
        <v>2036.81</v>
      </c>
      <c r="H2499">
        <v>2081.98</v>
      </c>
      <c r="I2499">
        <v>2027.49</v>
      </c>
      <c r="J2499">
        <v>3223819947</v>
      </c>
      <c r="K2499">
        <v>0</v>
      </c>
      <c r="L2499" s="2">
        <f>VLOOKUP(A2499,[1]aaabonddata!$A:$B,2,0)</f>
        <v>2.72</v>
      </c>
    </row>
    <row r="2500" spans="1:12" x14ac:dyDescent="0.2">
      <c r="A2500" s="3">
        <v>42397</v>
      </c>
      <c r="B2500" s="2">
        <v>4186.0600000000004</v>
      </c>
      <c r="C2500" s="2">
        <v>4197.4799999999996</v>
      </c>
      <c r="D2500" s="2">
        <v>4116.5</v>
      </c>
      <c r="E2500" s="2">
        <v>4821887057069</v>
      </c>
      <c r="F2500" s="2">
        <v>536903363</v>
      </c>
      <c r="G2500">
        <v>2053.4499999999998</v>
      </c>
      <c r="H2500">
        <v>2073.3000000000002</v>
      </c>
      <c r="I2500">
        <v>2036.5</v>
      </c>
      <c r="J2500">
        <v>3250151309</v>
      </c>
      <c r="K2500">
        <v>691663</v>
      </c>
      <c r="L2500" s="2">
        <f>VLOOKUP(A2500,[1]aaabonddata!$A:$B,2,0)</f>
        <v>2.73</v>
      </c>
    </row>
    <row r="2501" spans="1:12" x14ac:dyDescent="0.2">
      <c r="A2501" s="3">
        <v>42398</v>
      </c>
      <c r="B2501" s="2">
        <v>4279.17</v>
      </c>
      <c r="C2501" s="2">
        <v>4279.17</v>
      </c>
      <c r="D2501" s="2">
        <v>4184.3100000000004</v>
      </c>
      <c r="E2501" s="2">
        <v>4929138001347</v>
      </c>
      <c r="F2501" s="2">
        <v>0</v>
      </c>
      <c r="G2501">
        <v>2137.58</v>
      </c>
      <c r="H2501">
        <v>2137.58</v>
      </c>
      <c r="I2501">
        <v>2081.02</v>
      </c>
      <c r="J2501">
        <v>3383307454</v>
      </c>
      <c r="K2501">
        <v>0</v>
      </c>
      <c r="L2501" s="2">
        <f>VLOOKUP(A2501,[1]aaabonddata!$A:$B,2,0)</f>
        <v>2.69</v>
      </c>
    </row>
    <row r="2502" spans="1:12" x14ac:dyDescent="0.2">
      <c r="A2502" s="3">
        <v>42401</v>
      </c>
      <c r="B2502" s="2">
        <v>4286.5600000000004</v>
      </c>
      <c r="C2502" s="2">
        <v>4301.63</v>
      </c>
      <c r="D2502" s="2">
        <v>4238.2</v>
      </c>
      <c r="E2502" s="2">
        <v>4937646906548</v>
      </c>
      <c r="F2502" s="2">
        <v>0</v>
      </c>
      <c r="G2502">
        <v>2145.44</v>
      </c>
      <c r="H2502">
        <v>2154.13</v>
      </c>
      <c r="I2502">
        <v>2114.5700000000002</v>
      </c>
      <c r="J2502">
        <v>3395761917</v>
      </c>
      <c r="K2502">
        <v>0</v>
      </c>
      <c r="L2502" s="2">
        <f>VLOOKUP(A2502,[1]aaabonddata!$A:$B,2,0)</f>
        <v>2.73</v>
      </c>
    </row>
    <row r="2503" spans="1:12" x14ac:dyDescent="0.2">
      <c r="A2503" s="3">
        <v>42402</v>
      </c>
      <c r="B2503" s="2">
        <v>4193.1000000000004</v>
      </c>
      <c r="C2503" s="2">
        <v>4265.04</v>
      </c>
      <c r="D2503" s="2">
        <v>4180.57</v>
      </c>
      <c r="E2503" s="2">
        <v>4829995896359</v>
      </c>
      <c r="F2503" s="2">
        <v>296960000</v>
      </c>
      <c r="G2503">
        <v>2080.4899999999998</v>
      </c>
      <c r="H2503">
        <v>2124.2800000000002</v>
      </c>
      <c r="I2503">
        <v>2072.44</v>
      </c>
      <c r="J2503">
        <v>3292957659</v>
      </c>
      <c r="K2503">
        <v>0</v>
      </c>
      <c r="L2503" s="2">
        <f>VLOOKUP(A2503,[1]aaabonddata!$A:$B,2,0)</f>
        <v>2.66</v>
      </c>
    </row>
    <row r="2504" spans="1:12" x14ac:dyDescent="0.2">
      <c r="A2504" s="3">
        <v>42403</v>
      </c>
      <c r="B2504" s="2">
        <v>4171.97</v>
      </c>
      <c r="C2504" s="2">
        <v>4218.1499999999996</v>
      </c>
      <c r="D2504" s="2">
        <v>4099.24</v>
      </c>
      <c r="E2504" s="2">
        <v>4805653321871</v>
      </c>
      <c r="F2504" s="2">
        <v>1226940000</v>
      </c>
      <c r="G2504">
        <v>2092.02</v>
      </c>
      <c r="H2504">
        <v>2104.25</v>
      </c>
      <c r="I2504">
        <v>2050.23</v>
      </c>
      <c r="J2504">
        <v>3311199794</v>
      </c>
      <c r="K2504">
        <v>767754</v>
      </c>
      <c r="L2504" s="2">
        <f>VLOOKUP(A2504,[1]aaabonddata!$A:$B,2,0)</f>
        <v>2.67</v>
      </c>
    </row>
    <row r="2505" spans="1:12" x14ac:dyDescent="0.2">
      <c r="A2505" s="3">
        <v>42404</v>
      </c>
      <c r="B2505" s="2">
        <v>4167.7700000000004</v>
      </c>
      <c r="C2505" s="2">
        <v>4200.99</v>
      </c>
      <c r="D2505" s="2">
        <v>4120.58</v>
      </c>
      <c r="E2505" s="2">
        <v>4800819869166</v>
      </c>
      <c r="F2505" s="2">
        <v>2899172120</v>
      </c>
      <c r="G2505">
        <v>2111.44</v>
      </c>
      <c r="H2505">
        <v>2129.89</v>
      </c>
      <c r="I2505">
        <v>2083.19</v>
      </c>
      <c r="J2505">
        <v>3341945700</v>
      </c>
      <c r="K2505">
        <v>490427</v>
      </c>
      <c r="L2505" s="2">
        <f>VLOOKUP(A2505,[1]aaabonddata!$A:$B,2,0)</f>
        <v>2.65</v>
      </c>
    </row>
    <row r="2506" spans="1:12" x14ac:dyDescent="0.2">
      <c r="A2506" s="3">
        <v>42405</v>
      </c>
      <c r="B2506" s="2">
        <v>4024.47</v>
      </c>
      <c r="C2506" s="2">
        <v>4152.7299999999996</v>
      </c>
      <c r="D2506" s="2">
        <v>4008.45</v>
      </c>
      <c r="E2506" s="2">
        <v>4635755539712</v>
      </c>
      <c r="F2506" s="2">
        <v>188390076</v>
      </c>
      <c r="G2506">
        <v>2037.17</v>
      </c>
      <c r="H2506">
        <v>2104.4</v>
      </c>
      <c r="I2506">
        <v>2029.79</v>
      </c>
      <c r="J2506">
        <v>3224388349</v>
      </c>
      <c r="K2506">
        <v>1847507</v>
      </c>
      <c r="L2506" s="2">
        <f>VLOOKUP(A2506,[1]aaabonddata!$A:$B,2,0)</f>
        <v>2.65</v>
      </c>
    </row>
    <row r="2507" spans="1:12" x14ac:dyDescent="0.2">
      <c r="A2507" s="3">
        <v>42408</v>
      </c>
      <c r="B2507" s="2">
        <v>3960.67</v>
      </c>
      <c r="C2507" s="2">
        <v>3979.09</v>
      </c>
      <c r="D2507" s="2">
        <v>3888.78</v>
      </c>
      <c r="E2507" s="2">
        <v>4562262516110</v>
      </c>
      <c r="F2507" s="2">
        <v>63032554</v>
      </c>
      <c r="G2507">
        <v>1979.72</v>
      </c>
      <c r="H2507">
        <v>1999.92</v>
      </c>
      <c r="I2507">
        <v>1945.1</v>
      </c>
      <c r="J2507">
        <v>3133457340</v>
      </c>
      <c r="K2507">
        <v>0</v>
      </c>
      <c r="L2507" s="2">
        <f>VLOOKUP(A2507,[1]aaabonddata!$A:$B,2,0)</f>
        <v>2.56</v>
      </c>
    </row>
    <row r="2508" spans="1:12" x14ac:dyDescent="0.2">
      <c r="A2508" s="3">
        <v>42409</v>
      </c>
      <c r="B2508" s="2">
        <v>3947.8</v>
      </c>
      <c r="C2508" s="2">
        <v>4008.06</v>
      </c>
      <c r="D2508" s="2">
        <v>3902.74</v>
      </c>
      <c r="E2508" s="2">
        <v>4547441026011</v>
      </c>
      <c r="F2508" s="2">
        <v>49699283</v>
      </c>
      <c r="G2508">
        <v>1960.23</v>
      </c>
      <c r="H2508">
        <v>2003.01</v>
      </c>
      <c r="I2508">
        <v>1945.94</v>
      </c>
      <c r="J2508">
        <v>3102614414</v>
      </c>
      <c r="K2508">
        <v>340403</v>
      </c>
      <c r="L2508" s="2">
        <f>VLOOKUP(A2508,[1]aaabonddata!$A:$B,2,0)</f>
        <v>2.57</v>
      </c>
    </row>
    <row r="2509" spans="1:12" x14ac:dyDescent="0.2">
      <c r="A2509" s="3">
        <v>42410</v>
      </c>
      <c r="B2509" s="2">
        <v>3966.28</v>
      </c>
      <c r="C2509" s="2">
        <v>4045.48</v>
      </c>
      <c r="D2509" s="2">
        <v>3962.7</v>
      </c>
      <c r="E2509" s="2">
        <v>4568717874773</v>
      </c>
      <c r="F2509" s="2">
        <v>336318454</v>
      </c>
      <c r="G2509">
        <v>1977</v>
      </c>
      <c r="H2509">
        <v>2017.29</v>
      </c>
      <c r="I2509">
        <v>1975.29</v>
      </c>
      <c r="J2509">
        <v>3129148109</v>
      </c>
      <c r="K2509">
        <v>754361</v>
      </c>
      <c r="L2509" s="2">
        <f>VLOOKUP(A2509,[1]aaabonddata!$A:$B,2,0)</f>
        <v>2.5499999999999998</v>
      </c>
    </row>
    <row r="2510" spans="1:12" x14ac:dyDescent="0.2">
      <c r="A2510" s="3">
        <v>42411</v>
      </c>
      <c r="B2510" s="2">
        <v>3962.22</v>
      </c>
      <c r="C2510" s="2">
        <v>3988.71</v>
      </c>
      <c r="D2510" s="2">
        <v>3902.86</v>
      </c>
      <c r="E2510" s="2">
        <v>4564051650331</v>
      </c>
      <c r="F2510" s="2">
        <v>835419627</v>
      </c>
      <c r="G2510">
        <v>1970.32</v>
      </c>
      <c r="H2510">
        <v>1982.65</v>
      </c>
      <c r="I2510">
        <v>1942.62</v>
      </c>
      <c r="J2510">
        <v>3118582054</v>
      </c>
      <c r="K2510">
        <v>777745</v>
      </c>
      <c r="L2510" s="2">
        <f>VLOOKUP(A2510,[1]aaabonddata!$A:$B,2,0)</f>
        <v>2.52</v>
      </c>
    </row>
    <row r="2511" spans="1:12" x14ac:dyDescent="0.2">
      <c r="A2511" s="3">
        <v>42412</v>
      </c>
      <c r="B2511" s="2">
        <v>4019.19</v>
      </c>
      <c r="C2511" s="2">
        <v>4022.12</v>
      </c>
      <c r="D2511" s="2">
        <v>3965.74</v>
      </c>
      <c r="E2511" s="2">
        <v>4629671047062</v>
      </c>
      <c r="F2511" s="2">
        <v>128954569</v>
      </c>
      <c r="G2511">
        <v>2012.88</v>
      </c>
      <c r="H2511">
        <v>2014.2</v>
      </c>
      <c r="I2511">
        <v>1967.64</v>
      </c>
      <c r="J2511">
        <v>3185935174</v>
      </c>
      <c r="K2511">
        <v>0</v>
      </c>
      <c r="L2511" s="2">
        <f>VLOOKUP(A2511,[1]aaabonddata!$A:$B,2,0)</f>
        <v>2.59</v>
      </c>
    </row>
    <row r="2512" spans="1:12" x14ac:dyDescent="0.2">
      <c r="A2512" s="3">
        <v>42416</v>
      </c>
      <c r="B2512" s="2">
        <v>4104.33</v>
      </c>
      <c r="C2512" s="2">
        <v>4104.33</v>
      </c>
      <c r="D2512" s="2">
        <v>4049.88</v>
      </c>
      <c r="E2512" s="2">
        <v>4727742395265</v>
      </c>
      <c r="F2512" s="2">
        <v>3447245514</v>
      </c>
      <c r="G2512">
        <v>2071.04</v>
      </c>
      <c r="H2512">
        <v>2074.7600000000002</v>
      </c>
      <c r="I2512">
        <v>2038.71</v>
      </c>
      <c r="J2512">
        <v>3278002232</v>
      </c>
      <c r="K2512">
        <v>2356547</v>
      </c>
      <c r="L2512" s="2">
        <f>VLOOKUP(A2512,[1]aaabonddata!$A:$B,2,0)</f>
        <v>2.61</v>
      </c>
    </row>
    <row r="2513" spans="1:12" x14ac:dyDescent="0.2">
      <c r="A2513" s="3">
        <v>42417</v>
      </c>
      <c r="B2513" s="2">
        <v>4199.1000000000004</v>
      </c>
      <c r="C2513" s="2">
        <v>4204.62</v>
      </c>
      <c r="D2513" s="2">
        <v>4125.83</v>
      </c>
      <c r="E2513" s="2">
        <v>4840447942305</v>
      </c>
      <c r="F2513" s="2">
        <v>0</v>
      </c>
      <c r="G2513">
        <v>2116.2399999999998</v>
      </c>
      <c r="H2513">
        <v>2119.4699999999998</v>
      </c>
      <c r="I2513">
        <v>2077.08</v>
      </c>
      <c r="J2513">
        <v>3349536209</v>
      </c>
      <c r="K2513">
        <v>0</v>
      </c>
      <c r="L2513" s="2">
        <f>VLOOKUP(A2513,[1]aaabonddata!$A:$B,2,0)</f>
        <v>2.65</v>
      </c>
    </row>
    <row r="2514" spans="1:12" x14ac:dyDescent="0.2">
      <c r="A2514" s="3">
        <v>42418</v>
      </c>
      <c r="B2514" s="2">
        <v>4151.49</v>
      </c>
      <c r="C2514" s="2">
        <v>4212.58</v>
      </c>
      <c r="D2514" s="2">
        <v>4146.1000000000004</v>
      </c>
      <c r="E2514" s="2">
        <v>4785565393886</v>
      </c>
      <c r="F2514" s="2">
        <v>128195699</v>
      </c>
      <c r="G2514">
        <v>2108.31</v>
      </c>
      <c r="H2514">
        <v>2129.17</v>
      </c>
      <c r="I2514">
        <v>2103.9299999999998</v>
      </c>
      <c r="J2514">
        <v>3336990585</v>
      </c>
      <c r="K2514">
        <v>742207</v>
      </c>
      <c r="L2514" s="2">
        <f>VLOOKUP(A2514,[1]aaabonddata!$A:$B,2,0)</f>
        <v>2.6</v>
      </c>
    </row>
    <row r="2515" spans="1:12" x14ac:dyDescent="0.2">
      <c r="A2515" s="3">
        <v>42419</v>
      </c>
      <c r="B2515" s="2">
        <v>4164.09</v>
      </c>
      <c r="C2515" s="2">
        <v>4175.08</v>
      </c>
      <c r="D2515" s="2">
        <v>4121.59</v>
      </c>
      <c r="E2515" s="2">
        <v>4800084614611</v>
      </c>
      <c r="F2515" s="2">
        <v>0</v>
      </c>
      <c r="G2515">
        <v>2120.29</v>
      </c>
      <c r="H2515">
        <v>2127.0300000000002</v>
      </c>
      <c r="I2515">
        <v>2098.86</v>
      </c>
      <c r="J2515">
        <v>3355944324</v>
      </c>
      <c r="K2515">
        <v>0</v>
      </c>
      <c r="L2515" s="2">
        <f>VLOOKUP(A2515,[1]aaabonddata!$A:$B,2,0)</f>
        <v>2.6</v>
      </c>
    </row>
    <row r="2516" spans="1:12" x14ac:dyDescent="0.2">
      <c r="A2516" s="3">
        <v>42422</v>
      </c>
      <c r="B2516" s="2">
        <v>4231.2700000000004</v>
      </c>
      <c r="C2516" s="2">
        <v>4235.12</v>
      </c>
      <c r="D2516" s="2">
        <v>4199.93</v>
      </c>
      <c r="E2516" s="2">
        <v>4891397906311</v>
      </c>
      <c r="F2516" s="2">
        <v>0</v>
      </c>
      <c r="G2516">
        <v>2153.58</v>
      </c>
      <c r="H2516">
        <v>2160.1999999999998</v>
      </c>
      <c r="I2516">
        <v>2143.8200000000002</v>
      </c>
      <c r="J2516">
        <v>3308851604</v>
      </c>
      <c r="K2516">
        <v>0</v>
      </c>
      <c r="L2516" s="2">
        <f>VLOOKUP(A2516,[1]aaabonddata!$A:$B,2,0)</f>
        <v>2.6</v>
      </c>
    </row>
    <row r="2517" spans="1:12" x14ac:dyDescent="0.2">
      <c r="A2517" s="3">
        <v>42423</v>
      </c>
      <c r="B2517" s="2">
        <v>4162.54</v>
      </c>
      <c r="C2517" s="2">
        <v>4217.99</v>
      </c>
      <c r="D2517" s="2">
        <v>4158.5600000000004</v>
      </c>
      <c r="E2517" s="2">
        <v>4811947572719</v>
      </c>
      <c r="F2517" s="2">
        <v>184344168</v>
      </c>
      <c r="G2517">
        <v>2110.59</v>
      </c>
      <c r="H2517">
        <v>2142.1</v>
      </c>
      <c r="I2517">
        <v>2108.2199999999998</v>
      </c>
      <c r="J2517">
        <v>3242793595</v>
      </c>
      <c r="K2517">
        <v>552486</v>
      </c>
      <c r="L2517" s="2">
        <f>VLOOKUP(A2517,[1]aaabonddata!$A:$B,2,0)</f>
        <v>2.58</v>
      </c>
    </row>
    <row r="2518" spans="1:12" x14ac:dyDescent="0.2">
      <c r="A2518" s="3">
        <v>42424</v>
      </c>
      <c r="B2518" s="2">
        <v>4200.66</v>
      </c>
      <c r="C2518" s="2">
        <v>4205.9799999999996</v>
      </c>
      <c r="D2518" s="2">
        <v>4088.12</v>
      </c>
      <c r="E2518" s="2">
        <v>4856013556963</v>
      </c>
      <c r="F2518" s="2">
        <v>131065486</v>
      </c>
      <c r="G2518">
        <v>2134.94</v>
      </c>
      <c r="H2518">
        <v>2137.5300000000002</v>
      </c>
      <c r="I2518">
        <v>2071.3200000000002</v>
      </c>
      <c r="J2518">
        <v>3280213995</v>
      </c>
      <c r="K2518">
        <v>761283</v>
      </c>
      <c r="L2518" s="2">
        <f>VLOOKUP(A2518,[1]aaabonddata!$A:$B,2,0)</f>
        <v>2.57</v>
      </c>
    </row>
    <row r="2519" spans="1:12" x14ac:dyDescent="0.2">
      <c r="A2519" s="3">
        <v>42425</v>
      </c>
      <c r="B2519" s="2">
        <v>4241.0600000000004</v>
      </c>
      <c r="C2519" s="2">
        <v>4241.25</v>
      </c>
      <c r="D2519" s="2">
        <v>4173.25</v>
      </c>
      <c r="E2519" s="2">
        <v>4902716084705</v>
      </c>
      <c r="F2519" s="2">
        <v>175490062</v>
      </c>
      <c r="G2519">
        <v>2157.5500000000002</v>
      </c>
      <c r="H2519">
        <v>2157.6</v>
      </c>
      <c r="I2519">
        <v>2116.2199999999998</v>
      </c>
      <c r="J2519">
        <v>3314942266</v>
      </c>
      <c r="K2519">
        <v>0</v>
      </c>
      <c r="L2519" s="2">
        <f>VLOOKUP(A2519,[1]aaabonddata!$A:$B,2,0)</f>
        <v>2.5299999999999998</v>
      </c>
    </row>
    <row r="2520" spans="1:12" x14ac:dyDescent="0.2">
      <c r="A2520" s="3">
        <v>42426</v>
      </c>
      <c r="B2520" s="2">
        <v>4235.62</v>
      </c>
      <c r="C2520" s="2">
        <v>4275.83</v>
      </c>
      <c r="D2520" s="2">
        <v>4227.29</v>
      </c>
      <c r="E2520" s="2">
        <v>4896424351852</v>
      </c>
      <c r="F2520" s="2">
        <v>0</v>
      </c>
      <c r="G2520">
        <v>2165.36</v>
      </c>
      <c r="H2520">
        <v>2180.4699999999998</v>
      </c>
      <c r="I2520">
        <v>2159.13</v>
      </c>
      <c r="J2520">
        <v>3326952551</v>
      </c>
      <c r="K2520">
        <v>0</v>
      </c>
      <c r="L2520" s="2">
        <f>VLOOKUP(A2520,[1]aaabonddata!$A:$B,2,0)</f>
        <v>2.58</v>
      </c>
    </row>
    <row r="2521" spans="1:12" x14ac:dyDescent="0.2">
      <c r="A2521" s="3">
        <v>42429</v>
      </c>
      <c r="B2521" s="2">
        <v>4201.12</v>
      </c>
      <c r="C2521" s="2">
        <v>4263.3100000000004</v>
      </c>
      <c r="D2521" s="2">
        <v>4200.1499999999996</v>
      </c>
      <c r="E2521" s="2">
        <v>4856543710925</v>
      </c>
      <c r="F2521" s="2">
        <v>863017377</v>
      </c>
      <c r="G2521">
        <v>2153.02</v>
      </c>
      <c r="H2521">
        <v>2182.98</v>
      </c>
      <c r="I2521">
        <v>2152.8000000000002</v>
      </c>
      <c r="J2521">
        <v>3307990627</v>
      </c>
      <c r="K2521">
        <v>2036207</v>
      </c>
      <c r="L2521" s="2">
        <f>VLOOKUP(A2521,[1]aaabonddata!$A:$B,2,0)</f>
        <v>2.5499999999999998</v>
      </c>
    </row>
    <row r="2522" spans="1:12" x14ac:dyDescent="0.2">
      <c r="A2522" s="3">
        <v>42430</v>
      </c>
      <c r="B2522" s="2">
        <v>4333.6099999999997</v>
      </c>
      <c r="C2522" s="2">
        <v>4333.6099999999997</v>
      </c>
      <c r="D2522" s="2">
        <v>4225.93</v>
      </c>
      <c r="E2522" s="2">
        <v>5009711220463</v>
      </c>
      <c r="F2522" s="2">
        <v>0</v>
      </c>
      <c r="G2522">
        <v>2220.5100000000002</v>
      </c>
      <c r="H2522">
        <v>2220.5100000000002</v>
      </c>
      <c r="I2522">
        <v>2166.16</v>
      </c>
      <c r="J2522">
        <v>3411675026</v>
      </c>
      <c r="K2522">
        <v>0</v>
      </c>
      <c r="L2522" s="2">
        <f>VLOOKUP(A2522,[1]aaabonddata!$A:$B,2,0)</f>
        <v>2.62</v>
      </c>
    </row>
    <row r="2523" spans="1:12" x14ac:dyDescent="0.2">
      <c r="A2523" s="3">
        <v>42431</v>
      </c>
      <c r="B2523" s="2">
        <v>4334.3900000000003</v>
      </c>
      <c r="C2523" s="2">
        <v>4335.43</v>
      </c>
      <c r="D2523" s="2">
        <v>4301.09</v>
      </c>
      <c r="E2523" s="2">
        <v>5010603801965</v>
      </c>
      <c r="F2523" s="2">
        <v>0</v>
      </c>
      <c r="G2523">
        <v>2227.14</v>
      </c>
      <c r="H2523">
        <v>2227.77</v>
      </c>
      <c r="I2523">
        <v>2211.67</v>
      </c>
      <c r="J2523">
        <v>3421860211</v>
      </c>
      <c r="K2523">
        <v>0</v>
      </c>
      <c r="L2523" s="2">
        <f>VLOOKUP(A2523,[1]aaabonddata!$A:$B,2,0)</f>
        <v>2.62</v>
      </c>
    </row>
    <row r="2524" spans="1:12" x14ac:dyDescent="0.2">
      <c r="A2524" s="3">
        <v>42432</v>
      </c>
      <c r="B2524" s="2">
        <v>4325.8599999999997</v>
      </c>
      <c r="C2524" s="2">
        <v>4331.49</v>
      </c>
      <c r="D2524" s="2">
        <v>4296.32</v>
      </c>
      <c r="E2524" s="2">
        <v>5000749577490</v>
      </c>
      <c r="F2524" s="2">
        <v>0</v>
      </c>
      <c r="G2524">
        <v>2228.35</v>
      </c>
      <c r="H2524">
        <v>2229.8000000000002</v>
      </c>
      <c r="I2524">
        <v>2207.81</v>
      </c>
      <c r="J2524">
        <v>3423719336</v>
      </c>
      <c r="K2524">
        <v>0</v>
      </c>
      <c r="L2524" s="2">
        <f>VLOOKUP(A2524,[1]aaabonddata!$A:$B,2,0)</f>
        <v>2.59</v>
      </c>
    </row>
    <row r="2525" spans="1:12" x14ac:dyDescent="0.2">
      <c r="A2525" s="3">
        <v>42433</v>
      </c>
      <c r="B2525" s="2">
        <v>4329</v>
      </c>
      <c r="C2525" s="2">
        <v>4356.34</v>
      </c>
      <c r="D2525" s="2">
        <v>4301.3500000000004</v>
      </c>
      <c r="E2525" s="2">
        <v>5001673515249</v>
      </c>
      <c r="F2525" s="2">
        <v>0</v>
      </c>
      <c r="G2525">
        <v>2240.8000000000002</v>
      </c>
      <c r="H2525">
        <v>2255.83</v>
      </c>
      <c r="I2525">
        <v>2220.67</v>
      </c>
      <c r="J2525">
        <v>3442859297</v>
      </c>
      <c r="K2525">
        <v>0</v>
      </c>
      <c r="L2525" s="2">
        <f>VLOOKUP(A2525,[1]aaabonddata!$A:$B,2,0)</f>
        <v>2.63</v>
      </c>
    </row>
    <row r="2526" spans="1:12" x14ac:dyDescent="0.2">
      <c r="A2526" s="3">
        <v>42436</v>
      </c>
      <c r="B2526" s="2">
        <v>4303.33</v>
      </c>
      <c r="C2526" s="2">
        <v>4330.28</v>
      </c>
      <c r="D2526" s="2">
        <v>4271.5600000000004</v>
      </c>
      <c r="E2526" s="2">
        <v>4972018337140</v>
      </c>
      <c r="F2526" s="2">
        <v>342908682</v>
      </c>
      <c r="G2526">
        <v>2248.1999999999998</v>
      </c>
      <c r="H2526">
        <v>2259.5700000000002</v>
      </c>
      <c r="I2526">
        <v>2222.5500000000002</v>
      </c>
      <c r="J2526">
        <v>3454224351</v>
      </c>
      <c r="K2526">
        <v>389408</v>
      </c>
      <c r="L2526" s="2">
        <f>VLOOKUP(A2526,[1]aaabonddata!$A:$B,2,0)</f>
        <v>2.63</v>
      </c>
    </row>
    <row r="2527" spans="1:12" x14ac:dyDescent="0.2">
      <c r="A2527" s="3">
        <v>42437</v>
      </c>
      <c r="B2527" s="2">
        <v>4265.51</v>
      </c>
      <c r="C2527" s="2">
        <v>4308.84</v>
      </c>
      <c r="D2527" s="2">
        <v>4258.82</v>
      </c>
      <c r="E2527" s="2">
        <v>4928316929903</v>
      </c>
      <c r="F2527" s="2">
        <v>33067309</v>
      </c>
      <c r="G2527">
        <v>2206.1</v>
      </c>
      <c r="H2527">
        <v>2232.85</v>
      </c>
      <c r="I2527">
        <v>2203.87</v>
      </c>
      <c r="J2527">
        <v>3389535246</v>
      </c>
      <c r="K2527">
        <v>0</v>
      </c>
      <c r="L2527" s="2">
        <f>VLOOKUP(A2527,[1]aaabonddata!$A:$B,2,0)</f>
        <v>2.57</v>
      </c>
    </row>
    <row r="2528" spans="1:12" x14ac:dyDescent="0.2">
      <c r="A2528" s="3">
        <v>42438</v>
      </c>
      <c r="B2528" s="2">
        <v>4293.2299999999996</v>
      </c>
      <c r="C2528" s="2">
        <v>4293.2299999999996</v>
      </c>
      <c r="D2528" s="2">
        <v>4258.08</v>
      </c>
      <c r="E2528" s="2">
        <v>4960347532103</v>
      </c>
      <c r="F2528" s="2">
        <v>383306141</v>
      </c>
      <c r="G2528">
        <v>2230.27</v>
      </c>
      <c r="H2528">
        <v>2234.48</v>
      </c>
      <c r="I2528">
        <v>2209.86</v>
      </c>
      <c r="J2528">
        <v>3426678597</v>
      </c>
      <c r="K2528">
        <v>0</v>
      </c>
      <c r="L2528" s="2">
        <f>VLOOKUP(A2528,[1]aaabonddata!$A:$B,2,0)</f>
        <v>2.61</v>
      </c>
    </row>
    <row r="2529" spans="1:12" x14ac:dyDescent="0.2">
      <c r="A2529" s="3">
        <v>42439</v>
      </c>
      <c r="B2529" s="2">
        <v>4286.97</v>
      </c>
      <c r="C2529" s="2">
        <v>4335.33</v>
      </c>
      <c r="D2529" s="2">
        <v>4232.08</v>
      </c>
      <c r="E2529" s="2">
        <v>4953107819222</v>
      </c>
      <c r="F2529" s="2">
        <v>55089783</v>
      </c>
      <c r="G2529">
        <v>2231.83</v>
      </c>
      <c r="H2529">
        <v>2258.06</v>
      </c>
      <c r="I2529">
        <v>2198.3200000000002</v>
      </c>
      <c r="J2529">
        <v>3429074022</v>
      </c>
      <c r="K2529">
        <v>0</v>
      </c>
      <c r="L2529" s="2">
        <f>VLOOKUP(A2529,[1]aaabonddata!$A:$B,2,0)</f>
        <v>2.62</v>
      </c>
    </row>
    <row r="2530" spans="1:12" x14ac:dyDescent="0.2">
      <c r="A2530" s="3">
        <v>42440</v>
      </c>
      <c r="B2530" s="2">
        <v>4361.83</v>
      </c>
      <c r="C2530" s="2">
        <v>4361.83</v>
      </c>
      <c r="D2530" s="2">
        <v>4320.55</v>
      </c>
      <c r="E2530" s="2">
        <v>5039604190414</v>
      </c>
      <c r="F2530" s="2">
        <v>0</v>
      </c>
      <c r="G2530">
        <v>2277.37</v>
      </c>
      <c r="H2530">
        <v>2277.59</v>
      </c>
      <c r="I2530">
        <v>2252.04</v>
      </c>
      <c r="J2530">
        <v>3499036970</v>
      </c>
      <c r="K2530">
        <v>0</v>
      </c>
      <c r="L2530" s="2">
        <f>VLOOKUP(A2530,[1]aaabonddata!$A:$B,2,0)</f>
        <v>2.62</v>
      </c>
    </row>
    <row r="2531" spans="1:12" x14ac:dyDescent="0.2">
      <c r="A2531" s="3">
        <v>42443</v>
      </c>
      <c r="B2531" s="2">
        <v>4367.33</v>
      </c>
      <c r="C2531" s="2">
        <v>4378.3500000000004</v>
      </c>
      <c r="D2531" s="2">
        <v>4347.55</v>
      </c>
      <c r="E2531" s="2">
        <v>5045957833491</v>
      </c>
      <c r="F2531" s="2">
        <v>619707480</v>
      </c>
      <c r="G2531">
        <v>2269.1</v>
      </c>
      <c r="H2531">
        <v>2275.6799999999998</v>
      </c>
      <c r="I2531">
        <v>2264.14</v>
      </c>
      <c r="J2531">
        <v>3486335406</v>
      </c>
      <c r="K2531">
        <v>0</v>
      </c>
      <c r="L2531" s="2">
        <f>VLOOKUP(A2531,[1]aaabonddata!$A:$B,2,0)</f>
        <v>2.59</v>
      </c>
    </row>
    <row r="2532" spans="1:12" x14ac:dyDescent="0.2">
      <c r="A2532" s="3">
        <v>42444</v>
      </c>
      <c r="B2532" s="2">
        <v>4367.08</v>
      </c>
      <c r="C2532" s="2">
        <v>4371.29</v>
      </c>
      <c r="D2532" s="2">
        <v>4339.8599999999997</v>
      </c>
      <c r="E2532" s="2">
        <v>5045672146889</v>
      </c>
      <c r="F2532" s="2">
        <v>0</v>
      </c>
      <c r="G2532">
        <v>2260.58</v>
      </c>
      <c r="H2532">
        <v>2263.42</v>
      </c>
      <c r="I2532">
        <v>2246.5</v>
      </c>
      <c r="J2532">
        <v>3473251590</v>
      </c>
      <c r="K2532">
        <v>0</v>
      </c>
      <c r="L2532" s="2">
        <f>VLOOKUP(A2532,[1]aaabonddata!$A:$B,2,0)</f>
        <v>2.59</v>
      </c>
    </row>
    <row r="2533" spans="1:12" x14ac:dyDescent="0.2">
      <c r="A2533" s="3">
        <v>42445</v>
      </c>
      <c r="B2533" s="2">
        <v>4404.2</v>
      </c>
      <c r="C2533" s="2">
        <v>4416.1099999999997</v>
      </c>
      <c r="D2533" s="2">
        <v>4357.74</v>
      </c>
      <c r="E2533" s="2">
        <v>5084356736712</v>
      </c>
      <c r="F2533" s="2">
        <v>832976440</v>
      </c>
      <c r="G2533">
        <v>2284.79</v>
      </c>
      <c r="H2533">
        <v>2287.69</v>
      </c>
      <c r="I2533">
        <v>2250.96</v>
      </c>
      <c r="J2533">
        <v>3510436422</v>
      </c>
      <c r="K2533">
        <v>349501</v>
      </c>
      <c r="L2533" s="2">
        <f>VLOOKUP(A2533,[1]aaabonddata!$A:$B,2,0)</f>
        <v>2.56</v>
      </c>
    </row>
    <row r="2534" spans="1:12" x14ac:dyDescent="0.2">
      <c r="A2534" s="3">
        <v>42446</v>
      </c>
      <c r="B2534" s="2">
        <v>4400.26</v>
      </c>
      <c r="C2534" s="2">
        <v>4413.08</v>
      </c>
      <c r="D2534" s="2">
        <v>4376.87</v>
      </c>
      <c r="E2534" s="2">
        <v>5079809821754</v>
      </c>
      <c r="F2534" s="2">
        <v>0</v>
      </c>
      <c r="G2534">
        <v>2297.19</v>
      </c>
      <c r="H2534">
        <v>2303.08</v>
      </c>
      <c r="I2534">
        <v>2276.92</v>
      </c>
      <c r="J2534">
        <v>3529498106</v>
      </c>
      <c r="K2534">
        <v>0</v>
      </c>
      <c r="L2534" s="2">
        <f>VLOOKUP(A2534,[1]aaabonddata!$A:$B,2,0)</f>
        <v>2.54</v>
      </c>
    </row>
    <row r="2535" spans="1:12" x14ac:dyDescent="0.2">
      <c r="A2535" s="3">
        <v>42447</v>
      </c>
      <c r="B2535" s="2">
        <v>4410.83</v>
      </c>
      <c r="C2535" s="2">
        <v>4420.88</v>
      </c>
      <c r="D2535" s="2">
        <v>4387.8</v>
      </c>
      <c r="E2535" s="2">
        <v>5092006064597</v>
      </c>
      <c r="F2535" s="2">
        <v>0</v>
      </c>
      <c r="G2535">
        <v>2323.84</v>
      </c>
      <c r="H2535">
        <v>2324.58</v>
      </c>
      <c r="I2535">
        <v>2305.09</v>
      </c>
      <c r="J2535">
        <v>3570445959</v>
      </c>
      <c r="K2535">
        <v>0</v>
      </c>
      <c r="L2535" s="2">
        <f>VLOOKUP(A2535,[1]aaabonddata!$A:$B,2,0)</f>
        <v>2.5</v>
      </c>
    </row>
    <row r="2536" spans="1:12" x14ac:dyDescent="0.2">
      <c r="A2536" s="3">
        <v>42450</v>
      </c>
      <c r="B2536" s="2">
        <v>4426.9799999999996</v>
      </c>
      <c r="C2536" s="2">
        <v>4430.4399999999996</v>
      </c>
      <c r="D2536" s="2">
        <v>4400.3500000000004</v>
      </c>
      <c r="E2536" s="2">
        <v>5085616888650</v>
      </c>
      <c r="F2536" s="2">
        <v>0</v>
      </c>
      <c r="G2536">
        <v>2330.33</v>
      </c>
      <c r="H2536">
        <v>2331.0100000000002</v>
      </c>
      <c r="I2536">
        <v>2312.09</v>
      </c>
      <c r="J2536">
        <v>3509769402</v>
      </c>
      <c r="K2536">
        <v>0</v>
      </c>
      <c r="L2536" s="2">
        <f>VLOOKUP(A2536,[1]aaabonddata!$A:$B,2,0)</f>
        <v>2.54</v>
      </c>
    </row>
    <row r="2537" spans="1:12" x14ac:dyDescent="0.2">
      <c r="A2537" s="3">
        <v>42451</v>
      </c>
      <c r="B2537" s="2">
        <v>4437.62</v>
      </c>
      <c r="C2537" s="2">
        <v>4450.76</v>
      </c>
      <c r="D2537" s="2">
        <v>4401.26</v>
      </c>
      <c r="E2537" s="2">
        <v>5097842005058</v>
      </c>
      <c r="F2537" s="2">
        <v>0</v>
      </c>
      <c r="G2537">
        <v>2338.42</v>
      </c>
      <c r="H2537">
        <v>2345.38</v>
      </c>
      <c r="I2537">
        <v>2316.8000000000002</v>
      </c>
      <c r="J2537">
        <v>3521955554</v>
      </c>
      <c r="K2537">
        <v>0</v>
      </c>
      <c r="L2537" s="2">
        <f>VLOOKUP(A2537,[1]aaabonddata!$A:$B,2,0)</f>
        <v>2.54</v>
      </c>
    </row>
    <row r="2538" spans="1:12" x14ac:dyDescent="0.2">
      <c r="A2538" s="3">
        <v>42452</v>
      </c>
      <c r="B2538" s="2">
        <v>4402.5600000000004</v>
      </c>
      <c r="C2538" s="2">
        <v>4434.76</v>
      </c>
      <c r="D2538" s="2">
        <v>4394.96</v>
      </c>
      <c r="E2538" s="2">
        <v>5057565809305</v>
      </c>
      <c r="F2538" s="2">
        <v>0</v>
      </c>
      <c r="G2538">
        <v>2302.33</v>
      </c>
      <c r="H2538">
        <v>2336</v>
      </c>
      <c r="I2538">
        <v>2298.46</v>
      </c>
      <c r="J2538">
        <v>3467591302</v>
      </c>
      <c r="K2538">
        <v>0</v>
      </c>
      <c r="L2538" s="2">
        <f>VLOOKUP(A2538,[1]aaabonddata!$A:$B,2,0)</f>
        <v>2.4900000000000002</v>
      </c>
    </row>
    <row r="2539" spans="1:12" x14ac:dyDescent="0.2">
      <c r="A2539" s="3">
        <v>42453</v>
      </c>
      <c r="B2539" s="2">
        <v>4405.53</v>
      </c>
      <c r="C2539" s="2">
        <v>4405.99</v>
      </c>
      <c r="D2539" s="2">
        <v>4374.71</v>
      </c>
      <c r="E2539" s="2">
        <v>5060981670599</v>
      </c>
      <c r="F2539" s="2">
        <v>0</v>
      </c>
      <c r="G2539">
        <v>2297.85</v>
      </c>
      <c r="H2539">
        <v>2297.91</v>
      </c>
      <c r="I2539">
        <v>2275.2800000000002</v>
      </c>
      <c r="J2539">
        <v>3460846650</v>
      </c>
      <c r="K2539">
        <v>0</v>
      </c>
      <c r="L2539" s="2">
        <f>VLOOKUP(A2539,[1]aaabonddata!$A:$B,2,0)</f>
        <v>2.52</v>
      </c>
    </row>
    <row r="2540" spans="1:12" x14ac:dyDescent="0.2">
      <c r="A2540" s="3">
        <v>42457</v>
      </c>
      <c r="B2540" s="2">
        <v>4398.07</v>
      </c>
      <c r="C2540" s="2">
        <v>4417.57</v>
      </c>
      <c r="D2540" s="2">
        <v>4393.08</v>
      </c>
      <c r="E2540" s="2">
        <v>5052403975179</v>
      </c>
      <c r="F2540" s="2">
        <v>191099510</v>
      </c>
      <c r="G2540">
        <v>2294.6</v>
      </c>
      <c r="H2540">
        <v>2304.52</v>
      </c>
      <c r="I2540">
        <v>2287.58</v>
      </c>
      <c r="J2540">
        <v>3455953582</v>
      </c>
      <c r="K2540">
        <v>0</v>
      </c>
      <c r="L2540" s="2">
        <f>VLOOKUP(A2540,[1]aaabonddata!$A:$B,2,0)</f>
        <v>2.5</v>
      </c>
    </row>
    <row r="2541" spans="1:12" x14ac:dyDescent="0.2">
      <c r="A2541" s="3">
        <v>42458</v>
      </c>
      <c r="B2541" s="2">
        <v>4467.72</v>
      </c>
      <c r="C2541" s="2">
        <v>4471.7700000000004</v>
      </c>
      <c r="D2541" s="2">
        <v>4384.2700000000004</v>
      </c>
      <c r="E2541" s="2">
        <v>5132419890770</v>
      </c>
      <c r="F2541" s="2">
        <v>266705905</v>
      </c>
      <c r="G2541">
        <v>2324.42</v>
      </c>
      <c r="H2541">
        <v>2328.58</v>
      </c>
      <c r="I2541">
        <v>2281.16</v>
      </c>
      <c r="J2541">
        <v>3500867693</v>
      </c>
      <c r="K2541">
        <v>0</v>
      </c>
      <c r="L2541" s="2">
        <f>VLOOKUP(A2541,[1]aaabonddata!$A:$B,2,0)</f>
        <v>2.44</v>
      </c>
    </row>
    <row r="2542" spans="1:12" x14ac:dyDescent="0.2">
      <c r="A2542" s="3">
        <v>42459</v>
      </c>
      <c r="B2542" s="2">
        <v>4490.88</v>
      </c>
      <c r="C2542" s="2">
        <v>4518.17</v>
      </c>
      <c r="D2542" s="2">
        <v>4481.84</v>
      </c>
      <c r="E2542" s="2">
        <v>5159022281967</v>
      </c>
      <c r="F2542" s="2">
        <v>116385076</v>
      </c>
      <c r="G2542">
        <v>2337.86</v>
      </c>
      <c r="H2542">
        <v>2350.8200000000002</v>
      </c>
      <c r="I2542">
        <v>2330.36</v>
      </c>
      <c r="J2542">
        <v>3521103746</v>
      </c>
      <c r="K2542">
        <v>1019992</v>
      </c>
      <c r="L2542" s="2">
        <f>VLOOKUP(A2542,[1]aaabonddata!$A:$B,2,0)</f>
        <v>2.44</v>
      </c>
    </row>
    <row r="2543" spans="1:12" x14ac:dyDescent="0.2">
      <c r="A2543" s="3">
        <v>42460</v>
      </c>
      <c r="B2543" s="2">
        <v>4483.66</v>
      </c>
      <c r="C2543" s="2">
        <v>4504.24</v>
      </c>
      <c r="D2543" s="2">
        <v>4478.13</v>
      </c>
      <c r="E2543" s="2">
        <v>5150727476120</v>
      </c>
      <c r="F2543" s="2">
        <v>0</v>
      </c>
      <c r="G2543">
        <v>2342.09</v>
      </c>
      <c r="H2543">
        <v>2349.48</v>
      </c>
      <c r="I2543">
        <v>2331.34</v>
      </c>
      <c r="J2543">
        <v>3527481323</v>
      </c>
      <c r="K2543">
        <v>0</v>
      </c>
      <c r="L2543" s="2">
        <f>VLOOKUP(A2543,[1]aaabonddata!$A:$B,2,0)</f>
        <v>2.4700000000000002</v>
      </c>
    </row>
    <row r="2544" spans="1:12" x14ac:dyDescent="0.2">
      <c r="A2544" s="3">
        <v>42461</v>
      </c>
      <c r="B2544" s="2">
        <v>4532.08</v>
      </c>
      <c r="C2544" s="2">
        <v>4534.32</v>
      </c>
      <c r="D2544" s="2">
        <v>4452.1099999999997</v>
      </c>
      <c r="E2544" s="2">
        <v>5206359249626</v>
      </c>
      <c r="F2544" s="2">
        <v>0</v>
      </c>
      <c r="G2544">
        <v>2353</v>
      </c>
      <c r="H2544">
        <v>2353.4</v>
      </c>
      <c r="I2544">
        <v>2315.14</v>
      </c>
      <c r="J2544">
        <v>3543909608</v>
      </c>
      <c r="K2544">
        <v>0</v>
      </c>
      <c r="L2544" s="2">
        <f>VLOOKUP(A2544,[1]aaabonddata!$A:$B,2,0)</f>
        <v>2.4700000000000002</v>
      </c>
    </row>
    <row r="2545" spans="1:12" x14ac:dyDescent="0.2">
      <c r="A2545" s="3">
        <v>42464</v>
      </c>
      <c r="B2545" s="2">
        <v>4511.7</v>
      </c>
      <c r="C2545" s="2">
        <v>4533.43</v>
      </c>
      <c r="D2545" s="2">
        <v>4503.6499999999996</v>
      </c>
      <c r="E2545" s="2">
        <v>5182948973840</v>
      </c>
      <c r="F2545" s="2">
        <v>1977413868</v>
      </c>
      <c r="G2545">
        <v>2338.4499999999998</v>
      </c>
      <c r="H2545">
        <v>2355.2399999999998</v>
      </c>
      <c r="I2545">
        <v>2333.77</v>
      </c>
      <c r="J2545">
        <v>3521993947</v>
      </c>
      <c r="K2545">
        <v>917755</v>
      </c>
      <c r="L2545" s="2">
        <f>VLOOKUP(A2545,[1]aaabonddata!$A:$B,2,0)</f>
        <v>2.4500000000000002</v>
      </c>
    </row>
    <row r="2546" spans="1:12" x14ac:dyDescent="0.2">
      <c r="A2546" s="3">
        <v>42465</v>
      </c>
      <c r="B2546" s="2">
        <v>4470.75</v>
      </c>
      <c r="C2546" s="2">
        <v>4494.71</v>
      </c>
      <c r="D2546" s="2">
        <v>4465.04</v>
      </c>
      <c r="E2546" s="2">
        <v>5135899929514</v>
      </c>
      <c r="F2546" s="2">
        <v>0</v>
      </c>
      <c r="G2546">
        <v>2310.69</v>
      </c>
      <c r="H2546">
        <v>2324.9699999999998</v>
      </c>
      <c r="I2546">
        <v>2307.4899999999998</v>
      </c>
      <c r="J2546">
        <v>3480192428</v>
      </c>
      <c r="K2546">
        <v>0</v>
      </c>
      <c r="L2546" s="2">
        <f>VLOOKUP(A2546,[1]aaabonddata!$A:$B,2,0)</f>
        <v>2.4</v>
      </c>
    </row>
    <row r="2547" spans="1:12" x14ac:dyDescent="0.2">
      <c r="A2547" s="3">
        <v>42466</v>
      </c>
      <c r="B2547" s="2">
        <v>4543.78</v>
      </c>
      <c r="C2547" s="2">
        <v>4544.59</v>
      </c>
      <c r="D2547" s="2">
        <v>4476.3500000000004</v>
      </c>
      <c r="E2547" s="2">
        <v>5237754551406</v>
      </c>
      <c r="F2547" s="2">
        <v>96445097</v>
      </c>
      <c r="G2547">
        <v>2339.1</v>
      </c>
      <c r="H2547">
        <v>2339.46</v>
      </c>
      <c r="I2547">
        <v>2299.11</v>
      </c>
      <c r="J2547">
        <v>3522977672</v>
      </c>
      <c r="K2547">
        <v>660793</v>
      </c>
      <c r="L2547" s="2">
        <f>VLOOKUP(A2547,[1]aaabonddata!$A:$B,2,0)</f>
        <v>2.42</v>
      </c>
    </row>
    <row r="2548" spans="1:12" x14ac:dyDescent="0.2">
      <c r="A2548" s="3">
        <v>42467</v>
      </c>
      <c r="B2548" s="2">
        <v>4475.29</v>
      </c>
      <c r="C2548" s="2">
        <v>4525.6899999999996</v>
      </c>
      <c r="D2548" s="2">
        <v>4459.72</v>
      </c>
      <c r="E2548" s="2">
        <v>5158797404723</v>
      </c>
      <c r="F2548" s="2">
        <v>77046367</v>
      </c>
      <c r="G2548">
        <v>2302.9</v>
      </c>
      <c r="H2548">
        <v>2327.29</v>
      </c>
      <c r="I2548">
        <v>2294.15</v>
      </c>
      <c r="J2548">
        <v>3468454160</v>
      </c>
      <c r="K2548">
        <v>294089</v>
      </c>
      <c r="L2548" s="2">
        <f>VLOOKUP(A2548,[1]aaabonddata!$A:$B,2,0)</f>
        <v>2.36</v>
      </c>
    </row>
    <row r="2549" spans="1:12" x14ac:dyDescent="0.2">
      <c r="A2549" s="3">
        <v>42468</v>
      </c>
      <c r="B2549" s="2">
        <v>4474.93</v>
      </c>
      <c r="C2549" s="2">
        <v>4515.91</v>
      </c>
      <c r="D2549" s="2">
        <v>4459.5600000000004</v>
      </c>
      <c r="E2549" s="2">
        <v>5158382349241</v>
      </c>
      <c r="F2549" s="2">
        <v>0</v>
      </c>
      <c r="G2549">
        <v>2308.79</v>
      </c>
      <c r="H2549">
        <v>2331.4299999999998</v>
      </c>
      <c r="I2549">
        <v>2301.0500000000002</v>
      </c>
      <c r="J2549">
        <v>3477324064</v>
      </c>
      <c r="K2549">
        <v>0</v>
      </c>
      <c r="L2549" s="2">
        <f>VLOOKUP(A2549,[1]aaabonddata!$A:$B,2,0)</f>
        <v>2.39</v>
      </c>
    </row>
    <row r="2550" spans="1:12" x14ac:dyDescent="0.2">
      <c r="A2550" s="3">
        <v>42471</v>
      </c>
      <c r="B2550" s="2">
        <v>4458.71</v>
      </c>
      <c r="C2550" s="2">
        <v>4516.1000000000004</v>
      </c>
      <c r="D2550" s="2">
        <v>4458.47</v>
      </c>
      <c r="E2550" s="2">
        <v>5139685049654</v>
      </c>
      <c r="F2550" s="2">
        <v>0</v>
      </c>
      <c r="G2550">
        <v>2305.3200000000002</v>
      </c>
      <c r="H2550">
        <v>2341.1799999999998</v>
      </c>
      <c r="I2550">
        <v>2304.96</v>
      </c>
      <c r="J2550">
        <v>3472107322</v>
      </c>
      <c r="K2550">
        <v>0</v>
      </c>
      <c r="L2550" s="2">
        <f>VLOOKUP(A2550,[1]aaabonddata!$A:$B,2,0)</f>
        <v>2.39</v>
      </c>
    </row>
    <row r="2551" spans="1:12" x14ac:dyDescent="0.2">
      <c r="A2551" s="3">
        <v>42472</v>
      </c>
      <c r="B2551" s="2">
        <v>4496.04</v>
      </c>
      <c r="C2551" s="2">
        <v>4503.8900000000003</v>
      </c>
      <c r="D2551" s="2">
        <v>4435.05</v>
      </c>
      <c r="E2551" s="2">
        <v>5182727190393</v>
      </c>
      <c r="F2551" s="2">
        <v>0</v>
      </c>
      <c r="G2551">
        <v>2304.56</v>
      </c>
      <c r="H2551">
        <v>2310.46</v>
      </c>
      <c r="I2551">
        <v>2278.3000000000002</v>
      </c>
      <c r="J2551">
        <v>3470961634</v>
      </c>
      <c r="K2551">
        <v>0</v>
      </c>
      <c r="L2551" s="2">
        <f>VLOOKUP(A2551,[1]aaabonddata!$A:$B,2,0)</f>
        <v>2.4300000000000002</v>
      </c>
    </row>
    <row r="2552" spans="1:12" x14ac:dyDescent="0.2">
      <c r="A2552" s="3">
        <v>42473</v>
      </c>
      <c r="B2552" s="2">
        <v>4554.72</v>
      </c>
      <c r="C2552" s="2">
        <v>4560.1099999999997</v>
      </c>
      <c r="D2552" s="2">
        <v>4524.26</v>
      </c>
      <c r="E2552" s="2">
        <v>5250366385250</v>
      </c>
      <c r="F2552" s="2">
        <v>0</v>
      </c>
      <c r="G2552">
        <v>2347.6799999999998</v>
      </c>
      <c r="H2552">
        <v>2350.09</v>
      </c>
      <c r="I2552">
        <v>2318.58</v>
      </c>
      <c r="J2552">
        <v>3535904633</v>
      </c>
      <c r="K2552">
        <v>0</v>
      </c>
      <c r="L2552" s="2">
        <f>VLOOKUP(A2552,[1]aaabonddata!$A:$B,2,0)</f>
        <v>2.4</v>
      </c>
    </row>
    <row r="2553" spans="1:12" x14ac:dyDescent="0.2">
      <c r="A2553" s="3">
        <v>42474</v>
      </c>
      <c r="B2553" s="2">
        <v>4554.62</v>
      </c>
      <c r="C2553" s="2">
        <v>4569.7299999999996</v>
      </c>
      <c r="D2553" s="2">
        <v>4541.66</v>
      </c>
      <c r="E2553" s="2">
        <v>5250253995911</v>
      </c>
      <c r="F2553" s="2">
        <v>0</v>
      </c>
      <c r="G2553">
        <v>2323.5500000000002</v>
      </c>
      <c r="H2553">
        <v>2329.9</v>
      </c>
      <c r="I2553">
        <v>2310.4</v>
      </c>
      <c r="J2553">
        <v>3499549854</v>
      </c>
      <c r="K2553">
        <v>0</v>
      </c>
      <c r="L2553" s="2">
        <f>VLOOKUP(A2553,[1]aaabonddata!$A:$B,2,0)</f>
        <v>2.42</v>
      </c>
    </row>
    <row r="2554" spans="1:12" x14ac:dyDescent="0.2">
      <c r="A2554" s="3">
        <v>42475</v>
      </c>
      <c r="B2554" s="2">
        <v>4543.16</v>
      </c>
      <c r="C2554" s="2">
        <v>4558.92</v>
      </c>
      <c r="D2554" s="2">
        <v>4531</v>
      </c>
      <c r="E2554" s="2">
        <v>5237039850584</v>
      </c>
      <c r="F2554" s="2">
        <v>0</v>
      </c>
      <c r="G2554">
        <v>2307.0700000000002</v>
      </c>
      <c r="H2554">
        <v>2320.4699999999998</v>
      </c>
      <c r="I2554">
        <v>2303.5300000000002</v>
      </c>
      <c r="J2554">
        <v>3474731742</v>
      </c>
      <c r="K2554">
        <v>0</v>
      </c>
      <c r="L2554" s="2">
        <f>VLOOKUP(A2554,[1]aaabonddata!$A:$B,2,0)</f>
        <v>2.38</v>
      </c>
    </row>
    <row r="2555" spans="1:12" x14ac:dyDescent="0.2">
      <c r="A2555" s="3">
        <v>42478</v>
      </c>
      <c r="B2555" s="2">
        <v>4565.42</v>
      </c>
      <c r="C2555" s="2">
        <v>4570.58</v>
      </c>
      <c r="D2555" s="2">
        <v>4531.1099999999997</v>
      </c>
      <c r="E2555" s="2">
        <v>5262699875179</v>
      </c>
      <c r="F2555" s="2">
        <v>0</v>
      </c>
      <c r="G2555">
        <v>2319.27</v>
      </c>
      <c r="H2555">
        <v>2320.94</v>
      </c>
      <c r="I2555">
        <v>2293.33</v>
      </c>
      <c r="J2555">
        <v>3493107217</v>
      </c>
      <c r="K2555">
        <v>0</v>
      </c>
      <c r="L2555" s="2">
        <f>VLOOKUP(A2555,[1]aaabonddata!$A:$B,2,0)</f>
        <v>2.39</v>
      </c>
    </row>
    <row r="2556" spans="1:12" x14ac:dyDescent="0.2">
      <c r="A2556" s="3">
        <v>42479</v>
      </c>
      <c r="B2556" s="2">
        <v>4537.09</v>
      </c>
      <c r="C2556" s="2">
        <v>4574.38</v>
      </c>
      <c r="D2556" s="2">
        <v>4515.9799999999996</v>
      </c>
      <c r="E2556" s="2">
        <v>5220229862789</v>
      </c>
      <c r="F2556" s="2">
        <v>0</v>
      </c>
      <c r="G2556">
        <v>2302.91</v>
      </c>
      <c r="H2556">
        <v>2326.23</v>
      </c>
      <c r="I2556">
        <v>2288.5300000000002</v>
      </c>
      <c r="J2556">
        <v>3468465639</v>
      </c>
      <c r="K2556">
        <v>0</v>
      </c>
      <c r="L2556" s="2">
        <f>VLOOKUP(A2556,[1]aaabonddata!$A:$B,2,0)</f>
        <v>2.39</v>
      </c>
    </row>
    <row r="2557" spans="1:12" x14ac:dyDescent="0.2">
      <c r="A2557" s="3">
        <v>42480</v>
      </c>
      <c r="B2557" s="2">
        <v>4540.4399999999996</v>
      </c>
      <c r="C2557" s="2">
        <v>4562.34</v>
      </c>
      <c r="D2557" s="2">
        <v>4523.8999999999996</v>
      </c>
      <c r="E2557" s="2">
        <v>5224082514406</v>
      </c>
      <c r="F2557" s="2">
        <v>0</v>
      </c>
      <c r="G2557">
        <v>2315.2800000000002</v>
      </c>
      <c r="H2557">
        <v>2325.64</v>
      </c>
      <c r="I2557">
        <v>2294.7800000000002</v>
      </c>
      <c r="J2557">
        <v>3487108304</v>
      </c>
      <c r="K2557">
        <v>0</v>
      </c>
      <c r="L2557" s="2">
        <f>VLOOKUP(A2557,[1]aaabonddata!$A:$B,2,0)</f>
        <v>2.44</v>
      </c>
    </row>
    <row r="2558" spans="1:12" x14ac:dyDescent="0.2">
      <c r="A2558" s="3">
        <v>42481</v>
      </c>
      <c r="B2558" s="2">
        <v>4540.8</v>
      </c>
      <c r="C2558" s="2">
        <v>4558.67</v>
      </c>
      <c r="D2558" s="2">
        <v>4522.8500000000004</v>
      </c>
      <c r="E2558" s="2">
        <v>5224497087194</v>
      </c>
      <c r="F2558" s="2">
        <v>0</v>
      </c>
      <c r="G2558">
        <v>2310.39</v>
      </c>
      <c r="H2558">
        <v>2326.21</v>
      </c>
      <c r="I2558">
        <v>2306.98</v>
      </c>
      <c r="J2558">
        <v>3479737846</v>
      </c>
      <c r="K2558">
        <v>0</v>
      </c>
      <c r="L2558" s="2">
        <f>VLOOKUP(A2558,[1]aaabonddata!$A:$B,2,0)</f>
        <v>2.4500000000000002</v>
      </c>
    </row>
    <row r="2559" spans="1:12" x14ac:dyDescent="0.2">
      <c r="A2559" s="3">
        <v>42482</v>
      </c>
      <c r="B2559" s="2">
        <v>4474.1899999999996</v>
      </c>
      <c r="C2559" s="2">
        <v>4502.3900000000003</v>
      </c>
      <c r="D2559" s="2">
        <v>4440.1400000000003</v>
      </c>
      <c r="E2559" s="2">
        <v>5147861790513</v>
      </c>
      <c r="F2559" s="2">
        <v>86556621</v>
      </c>
      <c r="G2559">
        <v>2294.29</v>
      </c>
      <c r="H2559">
        <v>2312.14</v>
      </c>
      <c r="I2559">
        <v>2278.2600000000002</v>
      </c>
      <c r="J2559">
        <v>3455487308</v>
      </c>
      <c r="K2559">
        <v>0</v>
      </c>
      <c r="L2559" s="2">
        <f>VLOOKUP(A2559,[1]aaabonddata!$A:$B,2,0)</f>
        <v>2.46</v>
      </c>
    </row>
    <row r="2560" spans="1:12" x14ac:dyDescent="0.2">
      <c r="A2560" s="3">
        <v>42485</v>
      </c>
      <c r="B2560" s="2">
        <v>4474.13</v>
      </c>
      <c r="C2560" s="2">
        <v>4474.7700000000004</v>
      </c>
      <c r="D2560" s="2">
        <v>4452.87</v>
      </c>
      <c r="E2560" s="2">
        <v>5147792123686</v>
      </c>
      <c r="F2560" s="2">
        <v>0</v>
      </c>
      <c r="G2560">
        <v>2293.73</v>
      </c>
      <c r="H2560">
        <v>2298.3000000000002</v>
      </c>
      <c r="I2560">
        <v>2282.6799999999998</v>
      </c>
      <c r="J2560">
        <v>3454650021</v>
      </c>
      <c r="K2560">
        <v>0</v>
      </c>
      <c r="L2560" s="2">
        <f>VLOOKUP(A2560,[1]aaabonddata!$A:$B,2,0)</f>
        <v>2.4700000000000002</v>
      </c>
    </row>
    <row r="2561" spans="1:12" x14ac:dyDescent="0.2">
      <c r="A2561" s="3">
        <v>42486</v>
      </c>
      <c r="B2561" s="2">
        <v>4452.97</v>
      </c>
      <c r="C2561" s="2">
        <v>4490.0600000000004</v>
      </c>
      <c r="D2561" s="2">
        <v>4439.38</v>
      </c>
      <c r="E2561" s="2">
        <v>5123439407668</v>
      </c>
      <c r="F2561" s="2">
        <v>0</v>
      </c>
      <c r="G2561">
        <v>2313.1999999999998</v>
      </c>
      <c r="H2561">
        <v>2324.92</v>
      </c>
      <c r="I2561">
        <v>2304.94</v>
      </c>
      <c r="J2561">
        <v>3483967010</v>
      </c>
      <c r="K2561">
        <v>0</v>
      </c>
      <c r="L2561" s="2">
        <f>VLOOKUP(A2561,[1]aaabonddata!$A:$B,2,0)</f>
        <v>2.4900000000000002</v>
      </c>
    </row>
    <row r="2562" spans="1:12" x14ac:dyDescent="0.2">
      <c r="A2562" s="3">
        <v>42487</v>
      </c>
      <c r="B2562" s="2">
        <v>4416.63</v>
      </c>
      <c r="C2562" s="2">
        <v>4426.28</v>
      </c>
      <c r="D2562" s="2">
        <v>4381.17</v>
      </c>
      <c r="E2562" s="2">
        <v>5081638082337</v>
      </c>
      <c r="F2562" s="2">
        <v>197899772</v>
      </c>
      <c r="G2562">
        <v>2323.14</v>
      </c>
      <c r="H2562">
        <v>2326.29</v>
      </c>
      <c r="I2562">
        <v>2291.46</v>
      </c>
      <c r="J2562">
        <v>3498936313</v>
      </c>
      <c r="K2562">
        <v>0</v>
      </c>
      <c r="L2562" s="2">
        <f>VLOOKUP(A2562,[1]aaabonddata!$A:$B,2,0)</f>
        <v>2.4500000000000002</v>
      </c>
    </row>
    <row r="2563" spans="1:12" x14ac:dyDescent="0.2">
      <c r="A2563" s="3">
        <v>42488</v>
      </c>
      <c r="B2563" s="2">
        <v>4363.99</v>
      </c>
      <c r="C2563" s="2">
        <v>4447.2</v>
      </c>
      <c r="D2563" s="2">
        <v>4355.3</v>
      </c>
      <c r="E2563" s="2">
        <v>5021069990782</v>
      </c>
      <c r="F2563" s="2">
        <v>381997935</v>
      </c>
      <c r="G2563">
        <v>2279.4299999999998</v>
      </c>
      <c r="H2563">
        <v>2330.9699999999998</v>
      </c>
      <c r="I2563">
        <v>2275.1799999999998</v>
      </c>
      <c r="J2563">
        <v>3433109678</v>
      </c>
      <c r="K2563">
        <v>665616</v>
      </c>
      <c r="L2563" s="2">
        <f>VLOOKUP(A2563,[1]aaabonddata!$A:$B,2,0)</f>
        <v>2.42</v>
      </c>
    </row>
    <row r="2564" spans="1:12" x14ac:dyDescent="0.2">
      <c r="A2564" s="3">
        <v>42489</v>
      </c>
      <c r="B2564" s="2">
        <v>4341.3</v>
      </c>
      <c r="C2564" s="2">
        <v>4372.97</v>
      </c>
      <c r="D2564" s="2">
        <v>4307.1000000000004</v>
      </c>
      <c r="E2564" s="2">
        <v>4994959487603</v>
      </c>
      <c r="F2564" s="2">
        <v>0</v>
      </c>
      <c r="G2564">
        <v>2231.13</v>
      </c>
      <c r="H2564">
        <v>2263.48</v>
      </c>
      <c r="I2564">
        <v>2215.21</v>
      </c>
      <c r="J2564">
        <v>3360357098</v>
      </c>
      <c r="K2564">
        <v>0</v>
      </c>
      <c r="L2564" s="2">
        <f>VLOOKUP(A2564,[1]aaabonddata!$A:$B,2,0)</f>
        <v>2.41</v>
      </c>
    </row>
    <row r="2565" spans="1:12" x14ac:dyDescent="0.2">
      <c r="A2565" s="3">
        <v>42492</v>
      </c>
      <c r="B2565" s="2">
        <v>4381.3</v>
      </c>
      <c r="C2565" s="2">
        <v>4386.97</v>
      </c>
      <c r="D2565" s="2">
        <v>4334.59</v>
      </c>
      <c r="E2565" s="2">
        <v>5040987751052</v>
      </c>
      <c r="F2565" s="2">
        <v>60301802</v>
      </c>
      <c r="G2565">
        <v>2235.4299999999998</v>
      </c>
      <c r="H2565">
        <v>2237.79</v>
      </c>
      <c r="I2565">
        <v>2216.04</v>
      </c>
      <c r="J2565">
        <v>3366836325</v>
      </c>
      <c r="K2565">
        <v>0</v>
      </c>
      <c r="L2565" s="2">
        <f>VLOOKUP(A2565,[1]aaabonddata!$A:$B,2,0)</f>
        <v>2.52</v>
      </c>
    </row>
    <row r="2566" spans="1:12" x14ac:dyDescent="0.2">
      <c r="A2566" s="3">
        <v>42493</v>
      </c>
      <c r="B2566" s="2">
        <v>4341.3900000000003</v>
      </c>
      <c r="C2566" s="2">
        <v>4368.76</v>
      </c>
      <c r="D2566" s="2">
        <v>4329.76</v>
      </c>
      <c r="E2566" s="2">
        <v>4995066455563</v>
      </c>
      <c r="F2566" s="2">
        <v>295620000</v>
      </c>
      <c r="G2566">
        <v>2207.35</v>
      </c>
      <c r="H2566">
        <v>2218.36</v>
      </c>
      <c r="I2566">
        <v>2199.1</v>
      </c>
      <c r="J2566">
        <v>3324538245</v>
      </c>
      <c r="K2566">
        <v>0</v>
      </c>
      <c r="L2566" s="2">
        <f>VLOOKUP(A2566,[1]aaabonddata!$A:$B,2,0)</f>
        <v>2.4700000000000002</v>
      </c>
    </row>
    <row r="2567" spans="1:12" x14ac:dyDescent="0.2">
      <c r="A2567" s="3">
        <v>42494</v>
      </c>
      <c r="B2567" s="2">
        <v>4312.01</v>
      </c>
      <c r="C2567" s="2">
        <v>4328.22</v>
      </c>
      <c r="D2567" s="2">
        <v>4301.07</v>
      </c>
      <c r="E2567" s="2">
        <v>4961264913303</v>
      </c>
      <c r="F2567" s="2">
        <v>1228240000</v>
      </c>
      <c r="G2567">
        <v>2190.0700000000002</v>
      </c>
      <c r="H2567">
        <v>2203.61</v>
      </c>
      <c r="I2567">
        <v>2183.37</v>
      </c>
      <c r="J2567">
        <v>3298514810</v>
      </c>
      <c r="K2567">
        <v>795594</v>
      </c>
      <c r="L2567" s="2">
        <f>VLOOKUP(A2567,[1]aaabonddata!$A:$B,2,0)</f>
        <v>2.4700000000000002</v>
      </c>
    </row>
    <row r="2568" spans="1:12" x14ac:dyDescent="0.2">
      <c r="A2568" s="3">
        <v>42495</v>
      </c>
      <c r="B2568" s="2">
        <v>4309.4799999999996</v>
      </c>
      <c r="C2568" s="2">
        <v>4333.12</v>
      </c>
      <c r="D2568" s="2">
        <v>4299.6099999999997</v>
      </c>
      <c r="E2568" s="2">
        <v>4958354733730</v>
      </c>
      <c r="F2568" s="2">
        <v>3312009719</v>
      </c>
      <c r="G2568">
        <v>2190.7800000000002</v>
      </c>
      <c r="H2568">
        <v>2208.04</v>
      </c>
      <c r="I2568">
        <v>2188.4699999999998</v>
      </c>
      <c r="J2568">
        <v>3299586576</v>
      </c>
      <c r="K2568">
        <v>538142</v>
      </c>
      <c r="L2568" s="2">
        <f>VLOOKUP(A2568,[1]aaabonddata!$A:$B,2,0)</f>
        <v>2.4500000000000002</v>
      </c>
    </row>
    <row r="2569" spans="1:12" x14ac:dyDescent="0.2">
      <c r="A2569" s="3">
        <v>42496</v>
      </c>
      <c r="B2569" s="2">
        <v>4330.17</v>
      </c>
      <c r="C2569" s="2">
        <v>4330.24</v>
      </c>
      <c r="D2569" s="2">
        <v>4282</v>
      </c>
      <c r="E2569" s="2">
        <v>4982152556923</v>
      </c>
      <c r="F2569" s="2">
        <v>186745841</v>
      </c>
      <c r="G2569">
        <v>2197.83</v>
      </c>
      <c r="H2569">
        <v>2197.94</v>
      </c>
      <c r="I2569">
        <v>2170.69</v>
      </c>
      <c r="J2569">
        <v>3310214279</v>
      </c>
      <c r="K2569">
        <v>1722724</v>
      </c>
      <c r="L2569" s="2">
        <f>VLOOKUP(A2569,[1]aaabonddata!$A:$B,2,0)</f>
        <v>2.48</v>
      </c>
    </row>
    <row r="2570" spans="1:12" x14ac:dyDescent="0.2">
      <c r="A2570" s="3">
        <v>42499</v>
      </c>
      <c r="B2570" s="2">
        <v>4341.2299999999996</v>
      </c>
      <c r="C2570" s="2">
        <v>4361.87</v>
      </c>
      <c r="D2570" s="2">
        <v>4329.8999999999996</v>
      </c>
      <c r="E2570" s="2">
        <v>4994880717953</v>
      </c>
      <c r="F2570" s="2">
        <v>0</v>
      </c>
      <c r="G2570">
        <v>2196.94</v>
      </c>
      <c r="H2570">
        <v>2207.7800000000002</v>
      </c>
      <c r="I2570">
        <v>2190.41</v>
      </c>
      <c r="J2570">
        <v>3308868133</v>
      </c>
      <c r="K2570">
        <v>0</v>
      </c>
      <c r="L2570" s="2">
        <f>VLOOKUP(A2570,[1]aaabonddata!$A:$B,2,0)</f>
        <v>2.46</v>
      </c>
    </row>
    <row r="2571" spans="1:12" x14ac:dyDescent="0.2">
      <c r="A2571" s="3">
        <v>42500</v>
      </c>
      <c r="B2571" s="2">
        <v>4402.04</v>
      </c>
      <c r="C2571" s="2">
        <v>4404.09</v>
      </c>
      <c r="D2571" s="2">
        <v>4351.16</v>
      </c>
      <c r="E2571" s="2">
        <v>5064843670334</v>
      </c>
      <c r="F2571" s="2">
        <v>49833784</v>
      </c>
      <c r="G2571">
        <v>2226.88</v>
      </c>
      <c r="H2571">
        <v>2227.3000000000002</v>
      </c>
      <c r="I2571">
        <v>2195.5</v>
      </c>
      <c r="J2571">
        <v>3353954217</v>
      </c>
      <c r="K2571">
        <v>337575</v>
      </c>
      <c r="L2571" s="2">
        <f>VLOOKUP(A2571,[1]aaabonddata!$A:$B,2,0)</f>
        <v>2.4500000000000002</v>
      </c>
    </row>
    <row r="2572" spans="1:12" x14ac:dyDescent="0.2">
      <c r="A2572" s="3">
        <v>42501</v>
      </c>
      <c r="B2572" s="2">
        <v>4361.03</v>
      </c>
      <c r="C2572" s="2">
        <v>4407.93</v>
      </c>
      <c r="D2572" s="2">
        <v>4360.7299999999996</v>
      </c>
      <c r="E2572" s="2">
        <v>5017664968588</v>
      </c>
      <c r="F2572" s="2">
        <v>76590673</v>
      </c>
      <c r="G2572">
        <v>2210.87</v>
      </c>
      <c r="H2572">
        <v>2232.25</v>
      </c>
      <c r="I2572">
        <v>2210.69</v>
      </c>
      <c r="J2572">
        <v>3329849105</v>
      </c>
      <c r="K2572">
        <v>718133</v>
      </c>
      <c r="L2572" s="2">
        <f>VLOOKUP(A2572,[1]aaabonddata!$A:$B,2,0)</f>
        <v>2.44</v>
      </c>
    </row>
    <row r="2573" spans="1:12" x14ac:dyDescent="0.2">
      <c r="A2573" s="3">
        <v>42502</v>
      </c>
      <c r="B2573" s="2">
        <v>4342.8100000000004</v>
      </c>
      <c r="C2573" s="2">
        <v>4377.8599999999997</v>
      </c>
      <c r="D2573" s="2">
        <v>4312.88</v>
      </c>
      <c r="E2573" s="2">
        <v>4996696501003</v>
      </c>
      <c r="F2573" s="2">
        <v>32097702</v>
      </c>
      <c r="G2573">
        <v>2196.29</v>
      </c>
      <c r="H2573">
        <v>2225.7199999999998</v>
      </c>
      <c r="I2573">
        <v>2177.8200000000002</v>
      </c>
      <c r="J2573">
        <v>3307893319</v>
      </c>
      <c r="K2573">
        <v>0</v>
      </c>
      <c r="L2573" s="2">
        <f>VLOOKUP(A2573,[1]aaabonddata!$A:$B,2,0)</f>
        <v>2.4700000000000002</v>
      </c>
    </row>
    <row r="2574" spans="1:12" x14ac:dyDescent="0.2">
      <c r="A2574" s="3">
        <v>42503</v>
      </c>
      <c r="B2574" s="2">
        <v>4326.53</v>
      </c>
      <c r="C2574" s="2">
        <v>4364.24</v>
      </c>
      <c r="D2574" s="2">
        <v>4318.7</v>
      </c>
      <c r="E2574" s="2">
        <v>4977967264696</v>
      </c>
      <c r="F2574" s="2">
        <v>752091038</v>
      </c>
      <c r="G2574">
        <v>2202.9699999999998</v>
      </c>
      <c r="H2574">
        <v>2222.15</v>
      </c>
      <c r="I2574">
        <v>2198.4499999999998</v>
      </c>
      <c r="J2574">
        <v>3317956192</v>
      </c>
      <c r="K2574">
        <v>0</v>
      </c>
      <c r="L2574" s="2">
        <f>VLOOKUP(A2574,[1]aaabonddata!$A:$B,2,0)</f>
        <v>2.44</v>
      </c>
    </row>
    <row r="2575" spans="1:12" x14ac:dyDescent="0.2">
      <c r="A2575" s="3">
        <v>42506</v>
      </c>
      <c r="B2575" s="2">
        <v>4380.4799999999996</v>
      </c>
      <c r="C2575" s="2">
        <v>4395.7</v>
      </c>
      <c r="D2575" s="2">
        <v>4329.8900000000003</v>
      </c>
      <c r="E2575" s="2">
        <v>5040043844694</v>
      </c>
      <c r="F2575" s="2">
        <v>472677051</v>
      </c>
      <c r="G2575">
        <v>2236.96</v>
      </c>
      <c r="H2575">
        <v>2248.38</v>
      </c>
      <c r="I2575">
        <v>2206.91</v>
      </c>
      <c r="J2575">
        <v>3369142980</v>
      </c>
      <c r="K2575">
        <v>695176</v>
      </c>
      <c r="L2575" s="2">
        <f>VLOOKUP(A2575,[1]aaabonddata!$A:$B,2,0)</f>
        <v>2.48</v>
      </c>
    </row>
    <row r="2576" spans="1:12" x14ac:dyDescent="0.2">
      <c r="A2576" s="3">
        <v>42507</v>
      </c>
      <c r="B2576" s="2">
        <v>4322.5600000000004</v>
      </c>
      <c r="C2576" s="2">
        <v>4385.0600000000004</v>
      </c>
      <c r="D2576" s="2">
        <v>4311.18</v>
      </c>
      <c r="E2576" s="2">
        <v>4973395118493</v>
      </c>
      <c r="F2576" s="2">
        <v>3146796948</v>
      </c>
      <c r="G2576">
        <v>2224.52</v>
      </c>
      <c r="H2576">
        <v>2247.5300000000002</v>
      </c>
      <c r="I2576">
        <v>2219.06</v>
      </c>
      <c r="J2576">
        <v>3350406863</v>
      </c>
      <c r="K2576">
        <v>1523363</v>
      </c>
      <c r="L2576" s="2">
        <f>VLOOKUP(A2576,[1]aaabonddata!$A:$B,2,0)</f>
        <v>2.4900000000000002</v>
      </c>
    </row>
    <row r="2577" spans="1:12" x14ac:dyDescent="0.2">
      <c r="A2577" s="3">
        <v>42508</v>
      </c>
      <c r="B2577" s="2">
        <v>4338.2299999999996</v>
      </c>
      <c r="C2577" s="2">
        <v>4360.91</v>
      </c>
      <c r="D2577" s="2">
        <v>4305.7299999999996</v>
      </c>
      <c r="E2577" s="2">
        <v>4991430947751</v>
      </c>
      <c r="F2577" s="2">
        <v>76044581</v>
      </c>
      <c r="G2577">
        <v>2246.7199999999998</v>
      </c>
      <c r="H2577">
        <v>2259.5700000000002</v>
      </c>
      <c r="I2577">
        <v>2217.91</v>
      </c>
      <c r="J2577">
        <v>3383843247</v>
      </c>
      <c r="K2577">
        <v>0</v>
      </c>
      <c r="L2577" s="2">
        <f>VLOOKUP(A2577,[1]aaabonddata!$A:$B,2,0)</f>
        <v>2.59</v>
      </c>
    </row>
    <row r="2578" spans="1:12" x14ac:dyDescent="0.2">
      <c r="A2578" s="3">
        <v>42509</v>
      </c>
      <c r="B2578" s="2">
        <v>4315.58</v>
      </c>
      <c r="C2578" s="2">
        <v>4331.58</v>
      </c>
      <c r="D2578" s="2">
        <v>4284.37</v>
      </c>
      <c r="E2578" s="2">
        <v>4965323375130</v>
      </c>
      <c r="F2578" s="2">
        <v>0</v>
      </c>
      <c r="G2578">
        <v>2236.2399999999998</v>
      </c>
      <c r="H2578">
        <v>2251.29</v>
      </c>
      <c r="I2578">
        <v>2218.02</v>
      </c>
      <c r="J2578">
        <v>3368062750</v>
      </c>
      <c r="K2578">
        <v>0</v>
      </c>
      <c r="L2578" s="2">
        <f>VLOOKUP(A2578,[1]aaabonddata!$A:$B,2,0)</f>
        <v>2.56</v>
      </c>
    </row>
    <row r="2579" spans="1:12" x14ac:dyDescent="0.2">
      <c r="A2579" s="3">
        <v>42510</v>
      </c>
      <c r="B2579" s="2">
        <v>4362.8999999999996</v>
      </c>
      <c r="C2579" s="2">
        <v>4379.9799999999996</v>
      </c>
      <c r="D2579" s="2">
        <v>4329.57</v>
      </c>
      <c r="E2579" s="2">
        <v>5019772628281</v>
      </c>
      <c r="F2579" s="2">
        <v>0</v>
      </c>
      <c r="G2579">
        <v>2282.83</v>
      </c>
      <c r="H2579">
        <v>2285.87</v>
      </c>
      <c r="I2579">
        <v>2256.16</v>
      </c>
      <c r="J2579">
        <v>3438221811</v>
      </c>
      <c r="K2579">
        <v>0</v>
      </c>
      <c r="L2579" s="2">
        <f>VLOOKUP(A2579,[1]aaabonddata!$A:$B,2,0)</f>
        <v>2.57</v>
      </c>
    </row>
    <row r="2580" spans="1:12" x14ac:dyDescent="0.2">
      <c r="A2580" s="3">
        <v>42513</v>
      </c>
      <c r="B2580" s="2">
        <v>4355.1000000000004</v>
      </c>
      <c r="C2580" s="2">
        <v>4382.3999999999996</v>
      </c>
      <c r="D2580" s="2">
        <v>4353.3599999999997</v>
      </c>
      <c r="E2580" s="2">
        <v>5010794081756</v>
      </c>
      <c r="F2580" s="2">
        <v>55068746</v>
      </c>
      <c r="G2580">
        <v>2288.61</v>
      </c>
      <c r="H2580">
        <v>2301.69</v>
      </c>
      <c r="I2580">
        <v>2287.83</v>
      </c>
      <c r="J2580">
        <v>3446932167</v>
      </c>
      <c r="K2580">
        <v>493777</v>
      </c>
      <c r="L2580" s="2">
        <f>VLOOKUP(A2580,[1]aaabonddata!$A:$B,2,0)</f>
        <v>2.57</v>
      </c>
    </row>
    <row r="2581" spans="1:12" x14ac:dyDescent="0.2">
      <c r="A2581" s="3">
        <v>42514</v>
      </c>
      <c r="B2581" s="2">
        <v>4444.3</v>
      </c>
      <c r="C2581" s="2">
        <v>4449.21</v>
      </c>
      <c r="D2581" s="2">
        <v>4380.46</v>
      </c>
      <c r="E2581" s="2">
        <v>5113421079786</v>
      </c>
      <c r="F2581" s="2">
        <v>314284279</v>
      </c>
      <c r="G2581">
        <v>2348.6</v>
      </c>
      <c r="H2581">
        <v>2350.21</v>
      </c>
      <c r="I2581">
        <v>2304.21</v>
      </c>
      <c r="J2581">
        <v>3537280151</v>
      </c>
      <c r="K2581">
        <v>1657717</v>
      </c>
      <c r="L2581" s="2">
        <f>VLOOKUP(A2581,[1]aaabonddata!$A:$B,2,0)</f>
        <v>2.58</v>
      </c>
    </row>
    <row r="2582" spans="1:12" x14ac:dyDescent="0.2">
      <c r="A2582" s="3">
        <v>42515</v>
      </c>
      <c r="B2582" s="2">
        <v>4476.43</v>
      </c>
      <c r="C2582" s="2">
        <v>4488.5200000000004</v>
      </c>
      <c r="D2582" s="2">
        <v>4453.05</v>
      </c>
      <c r="E2582" s="2">
        <v>5150396707736</v>
      </c>
      <c r="F2582" s="2">
        <v>827945068</v>
      </c>
      <c r="G2582">
        <v>2354.59</v>
      </c>
      <c r="H2582">
        <v>2364.27</v>
      </c>
      <c r="I2582">
        <v>2347.92</v>
      </c>
      <c r="J2582">
        <v>3546304847</v>
      </c>
      <c r="K2582">
        <v>711744</v>
      </c>
      <c r="L2582" s="2">
        <f>VLOOKUP(A2582,[1]aaabonddata!$A:$B,2,0)</f>
        <v>2.59</v>
      </c>
    </row>
    <row r="2583" spans="1:12" x14ac:dyDescent="0.2">
      <c r="A2583" s="3">
        <v>42516</v>
      </c>
      <c r="B2583" s="2">
        <v>4487.96</v>
      </c>
      <c r="C2583" s="2">
        <v>4494.03</v>
      </c>
      <c r="D2583" s="2">
        <v>4469.76</v>
      </c>
      <c r="E2583" s="2">
        <v>5163658693649</v>
      </c>
      <c r="F2583" s="2">
        <v>173367002</v>
      </c>
      <c r="G2583">
        <v>2364.4299999999998</v>
      </c>
      <c r="H2583">
        <v>2367.11</v>
      </c>
      <c r="I2583">
        <v>2350.21</v>
      </c>
      <c r="J2583">
        <v>3561132674</v>
      </c>
      <c r="K2583">
        <v>0</v>
      </c>
      <c r="L2583" s="2">
        <f>VLOOKUP(A2583,[1]aaabonddata!$A:$B,2,0)</f>
        <v>2.54</v>
      </c>
    </row>
    <row r="2584" spans="1:12" x14ac:dyDescent="0.2">
      <c r="A2584" s="3">
        <v>42517</v>
      </c>
      <c r="B2584" s="2">
        <v>4512.54</v>
      </c>
      <c r="C2584" s="2">
        <v>4512.54</v>
      </c>
      <c r="D2584" s="2">
        <v>4489.16</v>
      </c>
      <c r="E2584" s="2">
        <v>5191940239096</v>
      </c>
      <c r="F2584" s="2">
        <v>792290298</v>
      </c>
      <c r="G2584">
        <v>2382.71</v>
      </c>
      <c r="H2584">
        <v>2382.92</v>
      </c>
      <c r="I2584">
        <v>2361.8200000000002</v>
      </c>
      <c r="J2584">
        <v>3588664643</v>
      </c>
      <c r="K2584">
        <v>1027331</v>
      </c>
      <c r="L2584" s="2">
        <f>VLOOKUP(A2584,[1]aaabonddata!$A:$B,2,0)</f>
        <v>2.5499999999999998</v>
      </c>
    </row>
    <row r="2585" spans="1:12" x14ac:dyDescent="0.2">
      <c r="A2585" s="3">
        <v>42521</v>
      </c>
      <c r="B2585" s="2">
        <v>4523.8900000000003</v>
      </c>
      <c r="C2585" s="2">
        <v>4526.84</v>
      </c>
      <c r="D2585" s="2">
        <v>4497.6499999999996</v>
      </c>
      <c r="E2585" s="2">
        <v>5205000903876</v>
      </c>
      <c r="F2585" s="2">
        <v>0</v>
      </c>
      <c r="G2585">
        <v>2392.0100000000002</v>
      </c>
      <c r="H2585">
        <v>2393.5300000000002</v>
      </c>
      <c r="I2585">
        <v>2378.4299999999998</v>
      </c>
      <c r="J2585">
        <v>3602663721</v>
      </c>
      <c r="K2585">
        <v>0</v>
      </c>
      <c r="L2585" s="2">
        <f>VLOOKUP(A2585,[1]aaabonddata!$A:$B,2,0)</f>
        <v>2.56</v>
      </c>
    </row>
    <row r="2586" spans="1:12" x14ac:dyDescent="0.2">
      <c r="A2586" s="3">
        <v>42522</v>
      </c>
      <c r="B2586" s="2">
        <v>4520.07</v>
      </c>
      <c r="C2586" s="2">
        <v>4530.3900000000003</v>
      </c>
      <c r="D2586" s="2">
        <v>4502.78</v>
      </c>
      <c r="E2586" s="2">
        <v>5200600525857</v>
      </c>
      <c r="F2586" s="2">
        <v>0</v>
      </c>
      <c r="G2586">
        <v>2393.63</v>
      </c>
      <c r="H2586">
        <v>2397.41</v>
      </c>
      <c r="I2586">
        <v>2374.5100000000002</v>
      </c>
      <c r="J2586">
        <v>3605103400</v>
      </c>
      <c r="K2586">
        <v>0</v>
      </c>
      <c r="L2586" s="2">
        <f>VLOOKUP(A2586,[1]aaabonddata!$A:$B,2,0)</f>
        <v>2.58</v>
      </c>
    </row>
    <row r="2587" spans="1:12" x14ac:dyDescent="0.2">
      <c r="A2587" s="3">
        <v>42523</v>
      </c>
      <c r="B2587" s="2">
        <v>4531.3500000000004</v>
      </c>
      <c r="C2587" s="2">
        <v>4531.3500000000004</v>
      </c>
      <c r="D2587" s="2">
        <v>4488.08</v>
      </c>
      <c r="E2587" s="2">
        <v>5213579792350</v>
      </c>
      <c r="F2587" s="2">
        <v>0</v>
      </c>
      <c r="G2587">
        <v>2397.88</v>
      </c>
      <c r="H2587">
        <v>2397.88</v>
      </c>
      <c r="I2587">
        <v>2378.21</v>
      </c>
      <c r="J2587">
        <v>3611514050</v>
      </c>
      <c r="K2587">
        <v>0</v>
      </c>
      <c r="L2587" s="2">
        <f>VLOOKUP(A2587,[1]aaabonddata!$A:$B,2,0)</f>
        <v>2.5499999999999998</v>
      </c>
    </row>
    <row r="2588" spans="1:12" x14ac:dyDescent="0.2">
      <c r="A2588" s="3">
        <v>42524</v>
      </c>
      <c r="B2588" s="2">
        <v>4509.79</v>
      </c>
      <c r="C2588" s="2">
        <v>4523.3599999999997</v>
      </c>
      <c r="D2588" s="2">
        <v>4480.8</v>
      </c>
      <c r="E2588" s="2">
        <v>5188777656885</v>
      </c>
      <c r="F2588" s="2">
        <v>54675681</v>
      </c>
      <c r="G2588">
        <v>2384.06</v>
      </c>
      <c r="H2588">
        <v>2397.4</v>
      </c>
      <c r="I2588">
        <v>2371.66</v>
      </c>
      <c r="J2588">
        <v>3590698452</v>
      </c>
      <c r="K2588">
        <v>0</v>
      </c>
      <c r="L2588" s="2">
        <f>VLOOKUP(A2588,[1]aaabonddata!$A:$B,2,0)</f>
        <v>2.4700000000000002</v>
      </c>
    </row>
    <row r="2589" spans="1:12" x14ac:dyDescent="0.2">
      <c r="A2589" s="3">
        <v>42527</v>
      </c>
      <c r="B2589" s="2">
        <v>4523.63</v>
      </c>
      <c r="C2589" s="2">
        <v>4536.55</v>
      </c>
      <c r="D2589" s="2">
        <v>4510.33</v>
      </c>
      <c r="E2589" s="2">
        <v>5204702279436</v>
      </c>
      <c r="F2589" s="2">
        <v>96584868</v>
      </c>
      <c r="G2589">
        <v>2383.75</v>
      </c>
      <c r="H2589">
        <v>2393.59</v>
      </c>
      <c r="I2589">
        <v>2378.8200000000002</v>
      </c>
      <c r="J2589">
        <v>3590228052</v>
      </c>
      <c r="K2589">
        <v>780965</v>
      </c>
      <c r="L2589" s="2">
        <f>VLOOKUP(A2589,[1]aaabonddata!$A:$B,2,0)</f>
        <v>2.48</v>
      </c>
    </row>
    <row r="2590" spans="1:12" x14ac:dyDescent="0.2">
      <c r="A2590" s="3">
        <v>42528</v>
      </c>
      <c r="B2590" s="2">
        <v>4513.09</v>
      </c>
      <c r="C2590" s="2">
        <v>4532.3</v>
      </c>
      <c r="D2590" s="2">
        <v>4511.42</v>
      </c>
      <c r="E2590" s="2">
        <v>5192568015927</v>
      </c>
      <c r="F2590" s="2">
        <v>0</v>
      </c>
      <c r="G2590">
        <v>2396.6999999999998</v>
      </c>
      <c r="H2590">
        <v>2401.46</v>
      </c>
      <c r="I2590">
        <v>2389.71</v>
      </c>
      <c r="J2590">
        <v>3609731488</v>
      </c>
      <c r="K2590">
        <v>0</v>
      </c>
      <c r="L2590" s="2">
        <f>VLOOKUP(A2590,[1]aaabonddata!$A:$B,2,0)</f>
        <v>2.4700000000000002</v>
      </c>
    </row>
    <row r="2591" spans="1:12" x14ac:dyDescent="0.2">
      <c r="A2591" s="3">
        <v>42529</v>
      </c>
      <c r="B2591" s="2">
        <v>4520.63</v>
      </c>
      <c r="C2591" s="2">
        <v>4529.09</v>
      </c>
      <c r="D2591" s="2">
        <v>4505.3900000000003</v>
      </c>
      <c r="E2591" s="2">
        <v>5201245236200</v>
      </c>
      <c r="F2591" s="2">
        <v>682523900</v>
      </c>
      <c r="G2591">
        <v>2398.69</v>
      </c>
      <c r="H2591">
        <v>2402.83</v>
      </c>
      <c r="I2591">
        <v>2390.92</v>
      </c>
      <c r="J2591">
        <v>3612726220</v>
      </c>
      <c r="K2591">
        <v>0</v>
      </c>
      <c r="L2591" s="2">
        <f>VLOOKUP(A2591,[1]aaabonddata!$A:$B,2,0)</f>
        <v>2.46</v>
      </c>
    </row>
    <row r="2592" spans="1:12" x14ac:dyDescent="0.2">
      <c r="A2592" s="3">
        <v>42530</v>
      </c>
      <c r="B2592" s="2">
        <v>4512.6899999999996</v>
      </c>
      <c r="C2592" s="2">
        <v>4518.5</v>
      </c>
      <c r="D2592" s="2">
        <v>4494.76</v>
      </c>
      <c r="E2592" s="2">
        <v>5192110649925</v>
      </c>
      <c r="F2592" s="2">
        <v>0</v>
      </c>
      <c r="G2592">
        <v>2395.11</v>
      </c>
      <c r="H2592">
        <v>2398.23</v>
      </c>
      <c r="I2592">
        <v>2378.96</v>
      </c>
      <c r="J2592">
        <v>3607339495</v>
      </c>
      <c r="K2592">
        <v>0</v>
      </c>
      <c r="L2592" s="2">
        <f>VLOOKUP(A2592,[1]aaabonddata!$A:$B,2,0)</f>
        <v>2.4300000000000002</v>
      </c>
    </row>
    <row r="2593" spans="1:12" x14ac:dyDescent="0.2">
      <c r="A2593" s="3">
        <v>42531</v>
      </c>
      <c r="B2593" s="2">
        <v>4461.05</v>
      </c>
      <c r="C2593" s="2">
        <v>4480.4799999999996</v>
      </c>
      <c r="D2593" s="2">
        <v>4447.33</v>
      </c>
      <c r="E2593" s="2">
        <v>5132696008345</v>
      </c>
      <c r="F2593" s="2">
        <v>0</v>
      </c>
      <c r="G2593">
        <v>2354.25</v>
      </c>
      <c r="H2593">
        <v>2374.3200000000002</v>
      </c>
      <c r="I2593">
        <v>2347.9899999999998</v>
      </c>
      <c r="J2593">
        <v>3545798658</v>
      </c>
      <c r="K2593">
        <v>0</v>
      </c>
      <c r="L2593" s="2">
        <f>VLOOKUP(A2593,[1]aaabonddata!$A:$B,2,0)</f>
        <v>2.41</v>
      </c>
    </row>
    <row r="2594" spans="1:12" x14ac:dyDescent="0.2">
      <c r="A2594" s="3">
        <v>42534</v>
      </c>
      <c r="B2594" s="2">
        <v>4422.76</v>
      </c>
      <c r="C2594" s="2">
        <v>4461.26</v>
      </c>
      <c r="D2594" s="2">
        <v>4419.7299999999996</v>
      </c>
      <c r="E2594" s="2">
        <v>5088640980980</v>
      </c>
      <c r="F2594" s="2">
        <v>138582554</v>
      </c>
      <c r="G2594">
        <v>2343.4</v>
      </c>
      <c r="H2594">
        <v>2370.5100000000002</v>
      </c>
      <c r="I2594">
        <v>2341.4499999999998</v>
      </c>
      <c r="J2594">
        <v>3529456825</v>
      </c>
      <c r="K2594">
        <v>0</v>
      </c>
      <c r="L2594" s="2">
        <f>VLOOKUP(A2594,[1]aaabonddata!$A:$B,2,0)</f>
        <v>2.41</v>
      </c>
    </row>
    <row r="2595" spans="1:12" x14ac:dyDescent="0.2">
      <c r="A2595" s="3">
        <v>42535</v>
      </c>
      <c r="B2595" s="2">
        <v>4424.91</v>
      </c>
      <c r="C2595" s="2">
        <v>4439.7299999999996</v>
      </c>
      <c r="D2595" s="2">
        <v>4392.43</v>
      </c>
      <c r="E2595" s="2">
        <v>5091117059664</v>
      </c>
      <c r="F2595" s="2">
        <v>642417475</v>
      </c>
      <c r="G2595">
        <v>2347.5300000000002</v>
      </c>
      <c r="H2595">
        <v>2355.2600000000002</v>
      </c>
      <c r="I2595">
        <v>2328.48</v>
      </c>
      <c r="J2595">
        <v>3535677159</v>
      </c>
      <c r="K2595">
        <v>0</v>
      </c>
      <c r="L2595" s="2">
        <f>VLOOKUP(A2595,[1]aaabonddata!$A:$B,2,0)</f>
        <v>2.42</v>
      </c>
    </row>
    <row r="2596" spans="1:12" x14ac:dyDescent="0.2">
      <c r="A2596" s="3">
        <v>42536</v>
      </c>
      <c r="B2596" s="2">
        <v>4409.51</v>
      </c>
      <c r="C2596" s="2">
        <v>4439.6099999999997</v>
      </c>
      <c r="D2596" s="2">
        <v>4404.58</v>
      </c>
      <c r="E2596" s="2">
        <v>5073396332069</v>
      </c>
      <c r="F2596" s="2">
        <v>215672412</v>
      </c>
      <c r="G2596">
        <v>2344.54</v>
      </c>
      <c r="H2596">
        <v>2357.27</v>
      </c>
      <c r="I2596">
        <v>2342.4299999999998</v>
      </c>
      <c r="J2596">
        <v>3531167359</v>
      </c>
      <c r="K2596">
        <v>327891</v>
      </c>
      <c r="L2596" s="2">
        <f>VLOOKUP(A2596,[1]aaabonddata!$A:$B,2,0)</f>
        <v>2.41</v>
      </c>
    </row>
    <row r="2597" spans="1:12" x14ac:dyDescent="0.2">
      <c r="A2597" s="3">
        <v>42537</v>
      </c>
      <c r="B2597" s="2">
        <v>4424.2299999999996</v>
      </c>
      <c r="C2597" s="2">
        <v>4428.2700000000004</v>
      </c>
      <c r="D2597" s="2">
        <v>4362.16</v>
      </c>
      <c r="E2597" s="2">
        <v>5090336952471</v>
      </c>
      <c r="F2597" s="2">
        <v>0</v>
      </c>
      <c r="G2597">
        <v>2351.66</v>
      </c>
      <c r="H2597">
        <v>2354.0700000000002</v>
      </c>
      <c r="I2597">
        <v>2313.31</v>
      </c>
      <c r="J2597">
        <v>3541891599</v>
      </c>
      <c r="K2597">
        <v>0</v>
      </c>
      <c r="L2597" s="2">
        <f>VLOOKUP(A2597,[1]aaabonddata!$A:$B,2,0)</f>
        <v>2.4</v>
      </c>
    </row>
    <row r="2598" spans="1:12" x14ac:dyDescent="0.2">
      <c r="A2598" s="3">
        <v>42538</v>
      </c>
      <c r="B2598" s="2">
        <v>4374.38</v>
      </c>
      <c r="C2598" s="2">
        <v>4409.75</v>
      </c>
      <c r="D2598" s="2">
        <v>4363.63</v>
      </c>
      <c r="E2598" s="2">
        <v>5032978305975</v>
      </c>
      <c r="F2598" s="2">
        <v>0</v>
      </c>
      <c r="G2598">
        <v>2333.73</v>
      </c>
      <c r="H2598">
        <v>2348.86</v>
      </c>
      <c r="I2598">
        <v>2322.19</v>
      </c>
      <c r="J2598">
        <v>3514888937</v>
      </c>
      <c r="K2598">
        <v>0</v>
      </c>
      <c r="L2598" s="2">
        <f>VLOOKUP(A2598,[1]aaabonddata!$A:$B,2,0)</f>
        <v>2.44</v>
      </c>
    </row>
    <row r="2599" spans="1:12" x14ac:dyDescent="0.2">
      <c r="A2599" s="3">
        <v>42541</v>
      </c>
      <c r="B2599" s="2">
        <v>4400.16</v>
      </c>
      <c r="C2599" s="2">
        <v>4444.07</v>
      </c>
      <c r="D2599" s="2">
        <v>4397.3599999999997</v>
      </c>
      <c r="E2599" s="2">
        <v>5100461138435</v>
      </c>
      <c r="F2599" s="2">
        <v>0</v>
      </c>
      <c r="G2599">
        <v>2361.17</v>
      </c>
      <c r="H2599">
        <v>2383.2399999999998</v>
      </c>
      <c r="I2599">
        <v>2359.16</v>
      </c>
      <c r="J2599">
        <v>3541160989</v>
      </c>
      <c r="K2599">
        <v>0</v>
      </c>
      <c r="L2599" s="2">
        <f>VLOOKUP(A2599,[1]aaabonddata!$A:$B,2,0)</f>
        <v>2.46</v>
      </c>
    </row>
    <row r="2600" spans="1:12" x14ac:dyDescent="0.2">
      <c r="A2600" s="3">
        <v>42542</v>
      </c>
      <c r="B2600" s="2">
        <v>4413.3999999999996</v>
      </c>
      <c r="C2600" s="2">
        <v>0</v>
      </c>
      <c r="D2600" s="2">
        <v>0</v>
      </c>
      <c r="E2600" s="2">
        <v>5111564888541</v>
      </c>
      <c r="F2600" s="2">
        <v>0</v>
      </c>
      <c r="G2600">
        <v>2376.48</v>
      </c>
      <c r="H2600">
        <v>0</v>
      </c>
      <c r="I2600">
        <v>0</v>
      </c>
      <c r="J2600">
        <v>3564121065</v>
      </c>
      <c r="K2600">
        <v>0</v>
      </c>
      <c r="L2600" s="2">
        <f>VLOOKUP(A2600,[1]aaabonddata!$A:$B,2,0)</f>
        <v>2.48</v>
      </c>
    </row>
    <row r="2601" spans="1:12" x14ac:dyDescent="0.2">
      <c r="A2601" s="3">
        <v>42543</v>
      </c>
      <c r="B2601" s="2">
        <v>4404.7299999999996</v>
      </c>
      <c r="C2601" s="2">
        <v>4442.0200000000004</v>
      </c>
      <c r="D2601" s="2">
        <v>4400.88</v>
      </c>
      <c r="E2601" s="2">
        <v>5101514226908</v>
      </c>
      <c r="F2601" s="2">
        <v>18152898</v>
      </c>
      <c r="G2601">
        <v>2368.64</v>
      </c>
      <c r="H2601">
        <v>2390.4899999999998</v>
      </c>
      <c r="I2601">
        <v>2366.48</v>
      </c>
      <c r="J2601">
        <v>3552360162</v>
      </c>
      <c r="K2601">
        <v>0</v>
      </c>
      <c r="L2601" s="2">
        <f>VLOOKUP(A2601,[1]aaabonddata!$A:$B,2,0)</f>
        <v>2.4700000000000002</v>
      </c>
    </row>
    <row r="2602" spans="1:12" x14ac:dyDescent="0.2">
      <c r="A2602" s="3">
        <v>42544</v>
      </c>
      <c r="B2602" s="2">
        <v>4467.4799999999996</v>
      </c>
      <c r="C2602" s="2">
        <v>4467.4799999999996</v>
      </c>
      <c r="D2602" s="2">
        <v>4420.16</v>
      </c>
      <c r="E2602" s="2">
        <v>5174196717192</v>
      </c>
      <c r="F2602" s="2">
        <v>0</v>
      </c>
      <c r="G2602">
        <v>2426.0500000000002</v>
      </c>
      <c r="H2602">
        <v>2426.06</v>
      </c>
      <c r="I2602">
        <v>2392.75</v>
      </c>
      <c r="J2602">
        <v>3638455590</v>
      </c>
      <c r="K2602">
        <v>0</v>
      </c>
      <c r="L2602" s="2">
        <f>VLOOKUP(A2602,[1]aaabonddata!$A:$B,2,0)</f>
        <v>2.5099999999999998</v>
      </c>
    </row>
    <row r="2603" spans="1:12" x14ac:dyDescent="0.2">
      <c r="A2603" s="3">
        <v>42545</v>
      </c>
      <c r="B2603" s="2">
        <v>4285.7</v>
      </c>
      <c r="C2603" s="2">
        <v>4373.1499999999996</v>
      </c>
      <c r="D2603" s="2">
        <v>4274.54</v>
      </c>
      <c r="E2603" s="2">
        <v>4963660102929</v>
      </c>
      <c r="F2603" s="2">
        <v>0</v>
      </c>
      <c r="G2603">
        <v>2302.94</v>
      </c>
      <c r="H2603">
        <v>2365.44</v>
      </c>
      <c r="I2603">
        <v>2301.4</v>
      </c>
      <c r="J2603">
        <v>3453825427</v>
      </c>
      <c r="K2603">
        <v>0</v>
      </c>
      <c r="L2603" s="2">
        <f>VLOOKUP(A2603,[1]aaabonddata!$A:$B,2,0)</f>
        <v>2.4</v>
      </c>
    </row>
    <row r="2604" spans="1:12" x14ac:dyDescent="0.2">
      <c r="A2604" s="3">
        <v>42548</v>
      </c>
      <c r="B2604" s="2">
        <v>4201.05</v>
      </c>
      <c r="C2604" s="2">
        <v>4249</v>
      </c>
      <c r="D2604" s="2">
        <v>4179.74</v>
      </c>
      <c r="E2604" s="2">
        <v>4865623405973</v>
      </c>
      <c r="F2604" s="2">
        <v>0</v>
      </c>
      <c r="G2604">
        <v>2217.9699999999998</v>
      </c>
      <c r="H2604">
        <v>2278.42</v>
      </c>
      <c r="I2604">
        <v>2206.1799999999998</v>
      </c>
      <c r="J2604">
        <v>3326394313</v>
      </c>
      <c r="K2604">
        <v>0</v>
      </c>
      <c r="L2604" s="2">
        <f>VLOOKUP(A2604,[1]aaabonddata!$A:$B,2,0)</f>
        <v>2.31</v>
      </c>
    </row>
    <row r="2605" spans="1:12" x14ac:dyDescent="0.2">
      <c r="A2605" s="3">
        <v>42549</v>
      </c>
      <c r="B2605" s="2">
        <v>4290.47</v>
      </c>
      <c r="C2605" s="2">
        <v>4291.43</v>
      </c>
      <c r="D2605" s="2">
        <v>4245.29</v>
      </c>
      <c r="E2605" s="2">
        <v>4969180679662</v>
      </c>
      <c r="F2605" s="2">
        <v>263850318</v>
      </c>
      <c r="G2605">
        <v>2274.04</v>
      </c>
      <c r="H2605">
        <v>2276.31</v>
      </c>
      <c r="I2605">
        <v>2248.7199999999998</v>
      </c>
      <c r="J2605">
        <v>3410475505</v>
      </c>
      <c r="K2605">
        <v>0</v>
      </c>
      <c r="L2605" s="2">
        <f>VLOOKUP(A2605,[1]aaabonddata!$A:$B,2,0)</f>
        <v>2.3199999999999998</v>
      </c>
    </row>
    <row r="2606" spans="1:12" x14ac:dyDescent="0.2">
      <c r="A2606" s="3">
        <v>42550</v>
      </c>
      <c r="B2606" s="2">
        <v>4364.74</v>
      </c>
      <c r="C2606" s="2">
        <v>4373.96</v>
      </c>
      <c r="D2606" s="2">
        <v>4322.3599999999997</v>
      </c>
      <c r="E2606" s="2">
        <v>5055199748892</v>
      </c>
      <c r="F2606" s="2">
        <v>184097397</v>
      </c>
      <c r="G2606">
        <v>2327.8200000000002</v>
      </c>
      <c r="H2606">
        <v>2334.02</v>
      </c>
      <c r="I2606">
        <v>2292.9299999999998</v>
      </c>
      <c r="J2606">
        <v>3491135284</v>
      </c>
      <c r="K2606">
        <v>1073192</v>
      </c>
      <c r="L2606" s="2">
        <f>VLOOKUP(A2606,[1]aaabonddata!$A:$B,2,0)</f>
        <v>2.34</v>
      </c>
    </row>
    <row r="2607" spans="1:12" x14ac:dyDescent="0.2">
      <c r="A2607" s="3">
        <v>42551</v>
      </c>
      <c r="B2607" s="2">
        <v>4417.7</v>
      </c>
      <c r="C2607" s="2">
        <v>4417.96</v>
      </c>
      <c r="D2607" s="2">
        <v>4359.57</v>
      </c>
      <c r="E2607" s="2">
        <v>5116538504109</v>
      </c>
      <c r="F2607" s="2">
        <v>0</v>
      </c>
      <c r="G2607">
        <v>2367.31</v>
      </c>
      <c r="H2607">
        <v>2367.33</v>
      </c>
      <c r="I2607">
        <v>2326.42</v>
      </c>
      <c r="J2607">
        <v>3550362606</v>
      </c>
      <c r="K2607">
        <v>0</v>
      </c>
      <c r="L2607" s="2">
        <f>VLOOKUP(A2607,[1]aaabonddata!$A:$B,2,0)</f>
        <v>2.34</v>
      </c>
    </row>
    <row r="2608" spans="1:12" x14ac:dyDescent="0.2">
      <c r="A2608" s="3">
        <v>42552</v>
      </c>
      <c r="B2608" s="2">
        <v>4437.4399999999996</v>
      </c>
      <c r="C2608" s="2">
        <v>4453.8599999999997</v>
      </c>
      <c r="D2608" s="2">
        <v>4411.76</v>
      </c>
      <c r="E2608" s="2">
        <v>5139408116008</v>
      </c>
      <c r="F2608" s="2">
        <v>664881585</v>
      </c>
      <c r="G2608">
        <v>2350.3200000000002</v>
      </c>
      <c r="H2608">
        <v>2362.4</v>
      </c>
      <c r="I2608">
        <v>2347.75</v>
      </c>
      <c r="J2608">
        <v>3524884824</v>
      </c>
      <c r="K2608">
        <v>0</v>
      </c>
      <c r="L2608" s="2">
        <f>VLOOKUP(A2608,[1]aaabonddata!$A:$B,2,0)</f>
        <v>2.31</v>
      </c>
    </row>
    <row r="2609" spans="1:12" x14ac:dyDescent="0.2">
      <c r="A2609" s="3">
        <v>42556</v>
      </c>
      <c r="B2609" s="2">
        <v>4410.75</v>
      </c>
      <c r="C2609" s="2">
        <v>4418.04</v>
      </c>
      <c r="D2609" s="2">
        <v>4386.5600000000004</v>
      </c>
      <c r="E2609" s="2">
        <v>5108487350391</v>
      </c>
      <c r="F2609" s="2">
        <v>1307725114</v>
      </c>
      <c r="G2609">
        <v>2317.21</v>
      </c>
      <c r="H2609">
        <v>2334.23</v>
      </c>
      <c r="I2609">
        <v>2303.37</v>
      </c>
      <c r="J2609">
        <v>3475220901</v>
      </c>
      <c r="K2609">
        <v>898100</v>
      </c>
      <c r="L2609" s="2">
        <f>VLOOKUP(A2609,[1]aaabonddata!$A:$B,2,0)</f>
        <v>2.2400000000000002</v>
      </c>
    </row>
    <row r="2610" spans="1:12" x14ac:dyDescent="0.2">
      <c r="A2610" s="3">
        <v>42557</v>
      </c>
      <c r="B2610" s="2">
        <v>4444.7</v>
      </c>
      <c r="C2610" s="2">
        <v>4447.2299999999996</v>
      </c>
      <c r="D2610" s="2">
        <v>4375.72</v>
      </c>
      <c r="E2610" s="2">
        <v>5147814187397</v>
      </c>
      <c r="F2610" s="2">
        <v>0</v>
      </c>
      <c r="G2610">
        <v>2329.4499999999998</v>
      </c>
      <c r="H2610">
        <v>2332.0500000000002</v>
      </c>
      <c r="I2610">
        <v>2289.0700000000002</v>
      </c>
      <c r="J2610">
        <v>3493582215</v>
      </c>
      <c r="K2610">
        <v>0</v>
      </c>
      <c r="L2610" s="2">
        <f>VLOOKUP(A2610,[1]aaabonddata!$A:$B,2,0)</f>
        <v>2.25</v>
      </c>
    </row>
    <row r="2611" spans="1:12" x14ac:dyDescent="0.2">
      <c r="A2611" s="3">
        <v>42558</v>
      </c>
      <c r="B2611" s="2">
        <v>4459.58</v>
      </c>
      <c r="C2611" s="2">
        <v>4468.3100000000004</v>
      </c>
      <c r="D2611" s="2">
        <v>4438.8</v>
      </c>
      <c r="E2611" s="2">
        <v>5165050302813</v>
      </c>
      <c r="F2611" s="2">
        <v>0</v>
      </c>
      <c r="G2611">
        <v>2351.7800000000002</v>
      </c>
      <c r="H2611">
        <v>2362.6999999999998</v>
      </c>
      <c r="I2611">
        <v>2338.44</v>
      </c>
      <c r="J2611">
        <v>3527073153</v>
      </c>
      <c r="K2611">
        <v>0</v>
      </c>
      <c r="L2611" s="2">
        <f>VLOOKUP(A2611,[1]aaabonddata!$A:$B,2,0)</f>
        <v>2.2400000000000002</v>
      </c>
    </row>
    <row r="2612" spans="1:12" x14ac:dyDescent="0.2">
      <c r="A2612" s="3">
        <v>42559</v>
      </c>
      <c r="B2612" s="2">
        <v>4528.3599999999997</v>
      </c>
      <c r="C2612" s="2">
        <v>4529.72</v>
      </c>
      <c r="D2612" s="2">
        <v>4476.5</v>
      </c>
      <c r="E2612" s="2">
        <v>5244710606021</v>
      </c>
      <c r="F2612" s="2">
        <v>76761378</v>
      </c>
      <c r="G2612">
        <v>2399.4</v>
      </c>
      <c r="H2612">
        <v>2400.91</v>
      </c>
      <c r="I2612">
        <v>2363.15</v>
      </c>
      <c r="J2612">
        <v>3598493617</v>
      </c>
      <c r="K2612">
        <v>284738</v>
      </c>
      <c r="L2612" s="2">
        <f>VLOOKUP(A2612,[1]aaabonddata!$A:$B,2,0)</f>
        <v>2.2200000000000002</v>
      </c>
    </row>
    <row r="2613" spans="1:12" x14ac:dyDescent="0.2">
      <c r="A2613" s="3">
        <v>42562</v>
      </c>
      <c r="B2613" s="2">
        <v>4554.71</v>
      </c>
      <c r="C2613" s="2">
        <v>4569.97</v>
      </c>
      <c r="D2613" s="2">
        <v>4544.33</v>
      </c>
      <c r="E2613" s="2">
        <v>5275223576175</v>
      </c>
      <c r="F2613" s="2">
        <v>0</v>
      </c>
      <c r="G2613">
        <v>2420.06</v>
      </c>
      <c r="H2613">
        <v>2427.11</v>
      </c>
      <c r="I2613">
        <v>2410.7600000000002</v>
      </c>
      <c r="J2613">
        <v>3629481122</v>
      </c>
      <c r="K2613">
        <v>0</v>
      </c>
      <c r="L2613" s="2">
        <f>VLOOKUP(A2613,[1]aaabonddata!$A:$B,2,0)</f>
        <v>2.2599999999999998</v>
      </c>
    </row>
    <row r="2614" spans="1:12" x14ac:dyDescent="0.2">
      <c r="A2614" s="3">
        <v>42563</v>
      </c>
      <c r="B2614" s="2">
        <v>4577.6099999999997</v>
      </c>
      <c r="C2614" s="2">
        <v>4588.24</v>
      </c>
      <c r="D2614" s="2">
        <v>4570.5600000000004</v>
      </c>
      <c r="E2614" s="2">
        <v>5301748736739</v>
      </c>
      <c r="F2614" s="2">
        <v>0</v>
      </c>
      <c r="G2614">
        <v>2461.75</v>
      </c>
      <c r="H2614">
        <v>2464.2800000000002</v>
      </c>
      <c r="I2614">
        <v>2449.41</v>
      </c>
      <c r="J2614">
        <v>3692001328</v>
      </c>
      <c r="K2614">
        <v>0</v>
      </c>
      <c r="L2614" s="2">
        <f>VLOOKUP(A2614,[1]aaabonddata!$A:$B,2,0)</f>
        <v>2.31</v>
      </c>
    </row>
    <row r="2615" spans="1:12" x14ac:dyDescent="0.2">
      <c r="A2615" s="3">
        <v>42564</v>
      </c>
      <c r="B2615" s="2">
        <v>4565.7700000000004</v>
      </c>
      <c r="C2615" s="2">
        <v>4589.95</v>
      </c>
      <c r="D2615" s="2">
        <v>4565.7</v>
      </c>
      <c r="E2615" s="2">
        <v>5288034183052</v>
      </c>
      <c r="F2615" s="2">
        <v>0</v>
      </c>
      <c r="G2615">
        <v>2463.96</v>
      </c>
      <c r="H2615">
        <v>2476.4899999999998</v>
      </c>
      <c r="I2615">
        <v>2460.98</v>
      </c>
      <c r="J2615">
        <v>3695317270</v>
      </c>
      <c r="K2615">
        <v>0</v>
      </c>
      <c r="L2615" s="2">
        <f>VLOOKUP(A2615,[1]aaabonddata!$A:$B,2,0)</f>
        <v>2.27</v>
      </c>
    </row>
    <row r="2616" spans="1:12" x14ac:dyDescent="0.2">
      <c r="A2616" s="3">
        <v>42565</v>
      </c>
      <c r="B2616" s="2">
        <v>4596.49</v>
      </c>
      <c r="C2616" s="2">
        <v>4604.76</v>
      </c>
      <c r="D2616" s="2">
        <v>4585.7</v>
      </c>
      <c r="E2616" s="2">
        <v>5323611373574</v>
      </c>
      <c r="F2616" s="2">
        <v>54925751</v>
      </c>
      <c r="G2616">
        <v>2474.66</v>
      </c>
      <c r="H2616">
        <v>2483.36</v>
      </c>
      <c r="I2616">
        <v>2469.21</v>
      </c>
      <c r="J2616">
        <v>3711366316</v>
      </c>
      <c r="K2616">
        <v>764280</v>
      </c>
      <c r="L2616" s="2">
        <f>VLOOKUP(A2616,[1]aaabonddata!$A:$B,2,0)</f>
        <v>2.31</v>
      </c>
    </row>
    <row r="2617" spans="1:12" x14ac:dyDescent="0.2">
      <c r="A2617" s="3">
        <v>42566</v>
      </c>
      <c r="B2617" s="2">
        <v>4589.83</v>
      </c>
      <c r="C2617" s="2">
        <v>4607.17</v>
      </c>
      <c r="D2617" s="2">
        <v>4579.83</v>
      </c>
      <c r="E2617" s="2">
        <v>5315897618136</v>
      </c>
      <c r="F2617" s="2">
        <v>0</v>
      </c>
      <c r="G2617">
        <v>2467.9499999999998</v>
      </c>
      <c r="H2617">
        <v>2476.4699999999998</v>
      </c>
      <c r="I2617">
        <v>2461.7600000000002</v>
      </c>
      <c r="J2617">
        <v>3701295897</v>
      </c>
      <c r="K2617">
        <v>0</v>
      </c>
      <c r="L2617" s="2">
        <f>VLOOKUP(A2617,[1]aaabonddata!$A:$B,2,0)</f>
        <v>2.35</v>
      </c>
    </row>
    <row r="2618" spans="1:12" x14ac:dyDescent="0.2">
      <c r="A2618" s="3">
        <v>42569</v>
      </c>
      <c r="B2618" s="2">
        <v>4619.68</v>
      </c>
      <c r="C2618" s="2">
        <v>4627.57</v>
      </c>
      <c r="D2618" s="2">
        <v>4591.83</v>
      </c>
      <c r="E2618" s="2">
        <v>5358146532700</v>
      </c>
      <c r="F2618" s="2">
        <v>0</v>
      </c>
      <c r="G2618">
        <v>2490.5100000000002</v>
      </c>
      <c r="H2618">
        <v>2493.58</v>
      </c>
      <c r="I2618">
        <v>2476.21</v>
      </c>
      <c r="J2618">
        <v>3735127649</v>
      </c>
      <c r="K2618">
        <v>0</v>
      </c>
      <c r="L2618" s="2">
        <f>VLOOKUP(A2618,[1]aaabonddata!$A:$B,2,0)</f>
        <v>2.34</v>
      </c>
    </row>
    <row r="2619" spans="1:12" x14ac:dyDescent="0.2">
      <c r="A2619" s="3">
        <v>42570</v>
      </c>
      <c r="B2619" s="2">
        <v>4603.28</v>
      </c>
      <c r="C2619" s="2">
        <v>4617.47</v>
      </c>
      <c r="D2619" s="2">
        <v>4595.38</v>
      </c>
      <c r="E2619" s="2">
        <v>5339129583188</v>
      </c>
      <c r="F2619" s="2">
        <v>0</v>
      </c>
      <c r="G2619">
        <v>2480.79</v>
      </c>
      <c r="H2619">
        <v>2491.14</v>
      </c>
      <c r="I2619">
        <v>2475.12</v>
      </c>
      <c r="J2619">
        <v>3720559447</v>
      </c>
      <c r="K2619">
        <v>0</v>
      </c>
      <c r="L2619" s="2">
        <f>VLOOKUP(A2619,[1]aaabonddata!$A:$B,2,0)</f>
        <v>2.33</v>
      </c>
    </row>
    <row r="2620" spans="1:12" x14ac:dyDescent="0.2">
      <c r="A2620" s="3">
        <v>42571</v>
      </c>
      <c r="B2620" s="2">
        <v>4657.2</v>
      </c>
      <c r="C2620" s="2">
        <v>4665.67</v>
      </c>
      <c r="D2620" s="2">
        <v>4623.93</v>
      </c>
      <c r="E2620" s="2">
        <v>5401663823468</v>
      </c>
      <c r="F2620" s="2">
        <v>0</v>
      </c>
      <c r="G2620">
        <v>2512.6799999999998</v>
      </c>
      <c r="H2620">
        <v>2516.2399999999998</v>
      </c>
      <c r="I2620">
        <v>2486.13</v>
      </c>
      <c r="J2620">
        <v>3768373798</v>
      </c>
      <c r="K2620">
        <v>0</v>
      </c>
      <c r="L2620" s="2">
        <f>VLOOKUP(A2620,[1]aaabonddata!$A:$B,2,0)</f>
        <v>2.35</v>
      </c>
    </row>
    <row r="2621" spans="1:12" x14ac:dyDescent="0.2">
      <c r="A2621" s="3">
        <v>42572</v>
      </c>
      <c r="B2621" s="2">
        <v>4647.0200000000004</v>
      </c>
      <c r="C2621" s="2">
        <v>4669.53</v>
      </c>
      <c r="D2621" s="2">
        <v>4634.07</v>
      </c>
      <c r="E2621" s="2">
        <v>5389851846274</v>
      </c>
      <c r="F2621" s="2">
        <v>0</v>
      </c>
      <c r="G2621">
        <v>2496.5</v>
      </c>
      <c r="H2621">
        <v>2518.09</v>
      </c>
      <c r="I2621">
        <v>2489.7800000000002</v>
      </c>
      <c r="J2621">
        <v>3744110510</v>
      </c>
      <c r="K2621">
        <v>0</v>
      </c>
      <c r="L2621" s="2">
        <f>VLOOKUP(A2621,[1]aaabonddata!$A:$B,2,0)</f>
        <v>2.34</v>
      </c>
    </row>
    <row r="2622" spans="1:12" x14ac:dyDescent="0.2">
      <c r="A2622" s="3">
        <v>42573</v>
      </c>
      <c r="B2622" s="2">
        <v>4666.07</v>
      </c>
      <c r="C2622" s="2">
        <v>4670.54</v>
      </c>
      <c r="D2622" s="2">
        <v>4635.22</v>
      </c>
      <c r="E2622" s="2">
        <v>5411953577927</v>
      </c>
      <c r="F2622" s="2">
        <v>86664975</v>
      </c>
      <c r="G2622">
        <v>2511.71</v>
      </c>
      <c r="H2622">
        <v>2511.71</v>
      </c>
      <c r="I2622">
        <v>2481.2399999999998</v>
      </c>
      <c r="J2622">
        <v>3766919997</v>
      </c>
      <c r="K2622">
        <v>0</v>
      </c>
      <c r="L2622" s="2">
        <f>VLOOKUP(A2622,[1]aaabonddata!$A:$B,2,0)</f>
        <v>2.35</v>
      </c>
    </row>
    <row r="2623" spans="1:12" x14ac:dyDescent="0.2">
      <c r="A2623" s="3">
        <v>42576</v>
      </c>
      <c r="B2623" s="2">
        <v>4665.93</v>
      </c>
      <c r="C2623" s="2">
        <v>4667.09</v>
      </c>
      <c r="D2623" s="2">
        <v>4650.5</v>
      </c>
      <c r="E2623" s="2">
        <v>5411233674518</v>
      </c>
      <c r="F2623" s="2">
        <v>0</v>
      </c>
      <c r="G2623">
        <v>2519.46</v>
      </c>
      <c r="H2623">
        <v>2519.46</v>
      </c>
      <c r="I2623">
        <v>2509.0500000000002</v>
      </c>
      <c r="J2623">
        <v>3778543311</v>
      </c>
      <c r="K2623">
        <v>0</v>
      </c>
      <c r="L2623" s="2">
        <f>VLOOKUP(A2623,[1]aaabonddata!$A:$B,2,0)</f>
        <v>2.35</v>
      </c>
    </row>
    <row r="2624" spans="1:12" x14ac:dyDescent="0.2">
      <c r="A2624" s="3">
        <v>42577</v>
      </c>
      <c r="B2624" s="2">
        <v>4672.1099999999997</v>
      </c>
      <c r="C2624" s="2">
        <v>4687.8999999999996</v>
      </c>
      <c r="D2624" s="2">
        <v>4648.92</v>
      </c>
      <c r="E2624" s="2">
        <v>5418405106561</v>
      </c>
      <c r="F2624" s="2">
        <v>0</v>
      </c>
      <c r="G2624">
        <v>2577.5300000000002</v>
      </c>
      <c r="H2624">
        <v>2581.09</v>
      </c>
      <c r="I2624">
        <v>2527.2199999999998</v>
      </c>
      <c r="J2624">
        <v>3865633260</v>
      </c>
      <c r="K2624">
        <v>0</v>
      </c>
      <c r="L2624" s="2">
        <f>VLOOKUP(A2624,[1]aaabonddata!$A:$B,2,0)</f>
        <v>2.35</v>
      </c>
    </row>
    <row r="2625" spans="1:12" x14ac:dyDescent="0.2">
      <c r="A2625" s="3">
        <v>42578</v>
      </c>
      <c r="B2625" s="2">
        <v>4702.88</v>
      </c>
      <c r="C2625" s="2">
        <v>4716.07</v>
      </c>
      <c r="D2625" s="2">
        <v>4685.1099999999997</v>
      </c>
      <c r="E2625" s="2">
        <v>5454093054778</v>
      </c>
      <c r="F2625" s="2">
        <v>0</v>
      </c>
      <c r="G2625">
        <v>2563.96</v>
      </c>
      <c r="H2625">
        <v>2580.71</v>
      </c>
      <c r="I2625">
        <v>2549.9299999999998</v>
      </c>
      <c r="J2625">
        <v>3845283355</v>
      </c>
      <c r="K2625">
        <v>0</v>
      </c>
      <c r="L2625" s="2">
        <f>VLOOKUP(A2625,[1]aaabonddata!$A:$B,2,0)</f>
        <v>2.3199999999999998</v>
      </c>
    </row>
    <row r="2626" spans="1:12" x14ac:dyDescent="0.2">
      <c r="A2626" s="3">
        <v>42579</v>
      </c>
      <c r="B2626" s="2">
        <v>4721.41</v>
      </c>
      <c r="C2626" s="2">
        <v>4725.78</v>
      </c>
      <c r="D2626" s="2">
        <v>4696.08</v>
      </c>
      <c r="E2626" s="2">
        <v>5475576247610</v>
      </c>
      <c r="F2626" s="2">
        <v>547261911</v>
      </c>
      <c r="G2626">
        <v>2565.56</v>
      </c>
      <c r="H2626">
        <v>2572.5</v>
      </c>
      <c r="I2626">
        <v>2553.39</v>
      </c>
      <c r="J2626">
        <v>3847687490</v>
      </c>
      <c r="K2626">
        <v>616683</v>
      </c>
      <c r="L2626" s="2">
        <f>VLOOKUP(A2626,[1]aaabonddata!$A:$B,2,0)</f>
        <v>2.3199999999999998</v>
      </c>
    </row>
    <row r="2627" spans="1:12" x14ac:dyDescent="0.2">
      <c r="A2627" s="3">
        <v>42580</v>
      </c>
      <c r="B2627" s="2">
        <v>4730.2299999999996</v>
      </c>
      <c r="C2627" s="2">
        <v>4743.25</v>
      </c>
      <c r="D2627" s="2">
        <v>4715.7700000000004</v>
      </c>
      <c r="E2627" s="2">
        <v>5485807393724</v>
      </c>
      <c r="F2627" s="2">
        <v>0</v>
      </c>
      <c r="G2627">
        <v>2546</v>
      </c>
      <c r="H2627">
        <v>2560.8200000000002</v>
      </c>
      <c r="I2627">
        <v>2536.06</v>
      </c>
      <c r="J2627">
        <v>3818352298</v>
      </c>
      <c r="K2627">
        <v>0</v>
      </c>
      <c r="L2627" s="2">
        <f>VLOOKUP(A2627,[1]aaabonddata!$A:$B,2,0)</f>
        <v>2.27</v>
      </c>
    </row>
    <row r="2628" spans="1:12" x14ac:dyDescent="0.2">
      <c r="A2628" s="3">
        <v>42583</v>
      </c>
      <c r="B2628" s="2">
        <v>4756.04</v>
      </c>
      <c r="C2628" s="2">
        <v>4767.24</v>
      </c>
      <c r="D2628" s="2">
        <v>4728.7299999999996</v>
      </c>
      <c r="E2628" s="2">
        <v>5515738259043</v>
      </c>
      <c r="F2628" s="2">
        <v>0</v>
      </c>
      <c r="G2628">
        <v>2549.33</v>
      </c>
      <c r="H2628">
        <v>2555.4899999999998</v>
      </c>
      <c r="I2628">
        <v>2539.5100000000002</v>
      </c>
      <c r="J2628">
        <v>3823351678</v>
      </c>
      <c r="K2628">
        <v>0</v>
      </c>
      <c r="L2628" s="2">
        <f>VLOOKUP(A2628,[1]aaabonddata!$A:$B,2,0)</f>
        <v>2.3199999999999998</v>
      </c>
    </row>
    <row r="2629" spans="1:12" x14ac:dyDescent="0.2">
      <c r="A2629" s="3">
        <v>42584</v>
      </c>
      <c r="B2629" s="2">
        <v>4719.21</v>
      </c>
      <c r="C2629" s="2">
        <v>4752.29</v>
      </c>
      <c r="D2629" s="2">
        <v>4689.55</v>
      </c>
      <c r="E2629" s="2">
        <v>5473029093979</v>
      </c>
      <c r="F2629" s="2">
        <v>346246678</v>
      </c>
      <c r="G2629">
        <v>2510.4299999999998</v>
      </c>
      <c r="H2629">
        <v>2548.7600000000002</v>
      </c>
      <c r="I2629">
        <v>2496.7399999999998</v>
      </c>
      <c r="J2629">
        <v>3765002398</v>
      </c>
      <c r="K2629">
        <v>437705</v>
      </c>
      <c r="L2629" s="2">
        <f>VLOOKUP(A2629,[1]aaabonddata!$A:$B,2,0)</f>
        <v>2.37</v>
      </c>
    </row>
    <row r="2630" spans="1:12" x14ac:dyDescent="0.2">
      <c r="A2630" s="3">
        <v>42585</v>
      </c>
      <c r="B2630" s="2">
        <v>4734.33</v>
      </c>
      <c r="C2630" s="2">
        <v>4734.33</v>
      </c>
      <c r="D2630" s="2">
        <v>4712.1000000000004</v>
      </c>
      <c r="E2630" s="2">
        <v>5490560123510</v>
      </c>
      <c r="F2630" s="2">
        <v>1285537174</v>
      </c>
      <c r="G2630">
        <v>2523.89</v>
      </c>
      <c r="H2630">
        <v>2523.89</v>
      </c>
      <c r="I2630">
        <v>2504.8000000000002</v>
      </c>
      <c r="J2630">
        <v>3785191763</v>
      </c>
      <c r="K2630">
        <v>818640</v>
      </c>
      <c r="L2630" s="2">
        <f>VLOOKUP(A2630,[1]aaabonddata!$A:$B,2,0)</f>
        <v>2.37</v>
      </c>
    </row>
    <row r="2631" spans="1:12" x14ac:dyDescent="0.2">
      <c r="A2631" s="3">
        <v>42586</v>
      </c>
      <c r="B2631" s="2">
        <v>4743.8100000000004</v>
      </c>
      <c r="C2631" s="2">
        <v>4749.09</v>
      </c>
      <c r="D2631" s="2">
        <v>4719.01</v>
      </c>
      <c r="E2631" s="2">
        <v>5501558223850</v>
      </c>
      <c r="F2631" s="2">
        <v>3122132250</v>
      </c>
      <c r="G2631">
        <v>2541.6</v>
      </c>
      <c r="H2631">
        <v>2543.48</v>
      </c>
      <c r="I2631">
        <v>2525.79</v>
      </c>
      <c r="J2631">
        <v>3811754391</v>
      </c>
      <c r="K2631">
        <v>597923</v>
      </c>
      <c r="L2631" s="2">
        <f>VLOOKUP(A2631,[1]aaabonddata!$A:$B,2,0)</f>
        <v>2.33</v>
      </c>
    </row>
    <row r="2632" spans="1:12" x14ac:dyDescent="0.2">
      <c r="A2632" s="3">
        <v>42587</v>
      </c>
      <c r="B2632" s="2">
        <v>4791.21</v>
      </c>
      <c r="C2632" s="2">
        <v>4799.8599999999997</v>
      </c>
      <c r="D2632" s="2">
        <v>4763.58</v>
      </c>
      <c r="E2632" s="2">
        <v>5556526591366</v>
      </c>
      <c r="F2632" s="2">
        <v>0</v>
      </c>
      <c r="G2632">
        <v>2579.4899999999998</v>
      </c>
      <c r="H2632">
        <v>2581.8200000000002</v>
      </c>
      <c r="I2632">
        <v>2555.31</v>
      </c>
      <c r="J2632">
        <v>3868573121</v>
      </c>
      <c r="K2632">
        <v>0</v>
      </c>
      <c r="L2632" s="2">
        <f>VLOOKUP(A2632,[1]aaabonddata!$A:$B,2,0)</f>
        <v>2.39</v>
      </c>
    </row>
    <row r="2633" spans="1:12" x14ac:dyDescent="0.2">
      <c r="A2633" s="3">
        <v>42590</v>
      </c>
      <c r="B2633" s="2">
        <v>4784.74</v>
      </c>
      <c r="C2633" s="2">
        <v>4794.1400000000003</v>
      </c>
      <c r="D2633" s="2">
        <v>4770.22</v>
      </c>
      <c r="E2633" s="2">
        <v>5549027171522</v>
      </c>
      <c r="F2633" s="2">
        <v>0</v>
      </c>
      <c r="G2633">
        <v>2576.27</v>
      </c>
      <c r="H2633">
        <v>2590.56</v>
      </c>
      <c r="I2633">
        <v>2572.11</v>
      </c>
      <c r="J2633">
        <v>3863752201</v>
      </c>
      <c r="K2633">
        <v>0</v>
      </c>
      <c r="L2633" s="2">
        <f>VLOOKUP(A2633,[1]aaabonddata!$A:$B,2,0)</f>
        <v>2.37</v>
      </c>
    </row>
    <row r="2634" spans="1:12" x14ac:dyDescent="0.2">
      <c r="A2634" s="3">
        <v>42591</v>
      </c>
      <c r="B2634" s="2">
        <v>4795.75</v>
      </c>
      <c r="C2634" s="2">
        <v>4811.01</v>
      </c>
      <c r="D2634" s="2">
        <v>4786.38</v>
      </c>
      <c r="E2634" s="2">
        <v>5561790730873</v>
      </c>
      <c r="F2634" s="2">
        <v>83730240</v>
      </c>
      <c r="G2634">
        <v>2581.9699999999998</v>
      </c>
      <c r="H2634">
        <v>2589.5500000000002</v>
      </c>
      <c r="I2634">
        <v>2579.1799999999998</v>
      </c>
      <c r="J2634">
        <v>3872295568</v>
      </c>
      <c r="K2634">
        <v>711207</v>
      </c>
      <c r="L2634" s="2">
        <f>VLOOKUP(A2634,[1]aaabonddata!$A:$B,2,0)</f>
        <v>2.34</v>
      </c>
    </row>
    <row r="2635" spans="1:12" x14ac:dyDescent="0.2">
      <c r="A2635" s="3">
        <v>42592</v>
      </c>
      <c r="B2635" s="2">
        <v>4783.3900000000003</v>
      </c>
      <c r="C2635" s="2">
        <v>4799.88</v>
      </c>
      <c r="D2635" s="2">
        <v>4771.9799999999996</v>
      </c>
      <c r="E2635" s="2">
        <v>5547461434096</v>
      </c>
      <c r="F2635" s="2">
        <v>358188281</v>
      </c>
      <c r="G2635">
        <v>2570.48</v>
      </c>
      <c r="H2635">
        <v>2584.69</v>
      </c>
      <c r="I2635">
        <v>2564.11</v>
      </c>
      <c r="J2635">
        <v>3855069052</v>
      </c>
      <c r="K2635">
        <v>693391</v>
      </c>
      <c r="L2635" s="2">
        <f>VLOOKUP(A2635,[1]aaabonddata!$A:$B,2,0)</f>
        <v>2.2999999999999998</v>
      </c>
    </row>
    <row r="2636" spans="1:12" x14ac:dyDescent="0.2">
      <c r="A2636" s="3">
        <v>42593</v>
      </c>
      <c r="B2636" s="2">
        <v>4803.3100000000004</v>
      </c>
      <c r="C2636" s="2">
        <v>4813.3599999999997</v>
      </c>
      <c r="D2636" s="2">
        <v>4790.6499999999996</v>
      </c>
      <c r="E2636" s="2">
        <v>5570564587147</v>
      </c>
      <c r="F2636" s="2">
        <v>32022471</v>
      </c>
      <c r="G2636">
        <v>2589.61</v>
      </c>
      <c r="H2636">
        <v>2593.21</v>
      </c>
      <c r="I2636">
        <v>2576.59</v>
      </c>
      <c r="J2636">
        <v>3883757062</v>
      </c>
      <c r="K2636">
        <v>0</v>
      </c>
      <c r="L2636" s="2">
        <f>VLOOKUP(A2636,[1]aaabonddata!$A:$B,2,0)</f>
        <v>2.35</v>
      </c>
    </row>
    <row r="2637" spans="1:12" x14ac:dyDescent="0.2">
      <c r="A2637" s="3">
        <v>42594</v>
      </c>
      <c r="B2637" s="2">
        <v>4807.08</v>
      </c>
      <c r="C2637" s="2">
        <v>4807.53</v>
      </c>
      <c r="D2637" s="2">
        <v>4790.49</v>
      </c>
      <c r="E2637" s="2">
        <v>5574927350528</v>
      </c>
      <c r="F2637" s="2">
        <v>0</v>
      </c>
      <c r="G2637">
        <v>2604.88</v>
      </c>
      <c r="H2637">
        <v>2605.52</v>
      </c>
      <c r="I2637">
        <v>2589.2600000000002</v>
      </c>
      <c r="J2637">
        <v>3906654910</v>
      </c>
      <c r="K2637">
        <v>0</v>
      </c>
      <c r="L2637" s="2">
        <f>VLOOKUP(A2637,[1]aaabonddata!$A:$B,2,0)</f>
        <v>2.31</v>
      </c>
    </row>
    <row r="2638" spans="1:12" x14ac:dyDescent="0.2">
      <c r="A2638" s="3">
        <v>42597</v>
      </c>
      <c r="B2638" s="2">
        <v>4827.12</v>
      </c>
      <c r="C2638" s="2">
        <v>4837.67</v>
      </c>
      <c r="D2638" s="2">
        <v>4812.45</v>
      </c>
      <c r="E2638" s="2">
        <v>5598167855005</v>
      </c>
      <c r="F2638" s="2">
        <v>751217078</v>
      </c>
      <c r="G2638">
        <v>2633.1</v>
      </c>
      <c r="H2638">
        <v>2641.59</v>
      </c>
      <c r="I2638">
        <v>2612.46</v>
      </c>
      <c r="J2638">
        <v>3948987678</v>
      </c>
      <c r="K2638">
        <v>0</v>
      </c>
      <c r="L2638" s="2">
        <f>VLOOKUP(A2638,[1]aaabonddata!$A:$B,2,0)</f>
        <v>2.33</v>
      </c>
    </row>
    <row r="2639" spans="1:12" x14ac:dyDescent="0.2">
      <c r="A2639" s="3">
        <v>42598</v>
      </c>
      <c r="B2639" s="2">
        <v>4797.1899999999996</v>
      </c>
      <c r="C2639" s="2">
        <v>4814.96</v>
      </c>
      <c r="D2639" s="2">
        <v>4796.92</v>
      </c>
      <c r="E2639" s="2">
        <v>5563459197529</v>
      </c>
      <c r="F2639" s="2">
        <v>2923590442</v>
      </c>
      <c r="G2639">
        <v>2622.64</v>
      </c>
      <c r="H2639">
        <v>2631.7</v>
      </c>
      <c r="I2639">
        <v>2618.69</v>
      </c>
      <c r="J2639">
        <v>3933287686</v>
      </c>
      <c r="K2639">
        <v>1623979</v>
      </c>
      <c r="L2639" s="2">
        <f>VLOOKUP(A2639,[1]aaabonddata!$A:$B,2,0)</f>
        <v>2.35</v>
      </c>
    </row>
    <row r="2640" spans="1:12" x14ac:dyDescent="0.2">
      <c r="A2640" s="3">
        <v>42599</v>
      </c>
      <c r="B2640" s="2">
        <v>4805.45</v>
      </c>
      <c r="C2640" s="2">
        <v>4807.05</v>
      </c>
      <c r="D2640" s="2">
        <v>4772.43</v>
      </c>
      <c r="E2640" s="2">
        <v>5573045027878</v>
      </c>
      <c r="F2640" s="2">
        <v>405092145</v>
      </c>
      <c r="G2640">
        <v>2617.62</v>
      </c>
      <c r="H2640">
        <v>2623.59</v>
      </c>
      <c r="I2640">
        <v>2603.6</v>
      </c>
      <c r="J2640">
        <v>3925771198</v>
      </c>
      <c r="K2640">
        <v>0</v>
      </c>
      <c r="L2640" s="2">
        <f>VLOOKUP(A2640,[1]aaabonddata!$A:$B,2,0)</f>
        <v>2.33</v>
      </c>
    </row>
    <row r="2641" spans="1:12" x14ac:dyDescent="0.2">
      <c r="A2641" s="3">
        <v>42600</v>
      </c>
      <c r="B2641" s="2">
        <v>4808.68</v>
      </c>
      <c r="C2641" s="2">
        <v>4814.54</v>
      </c>
      <c r="D2641" s="2">
        <v>4794.29</v>
      </c>
      <c r="E2641" s="2">
        <v>5576792411224</v>
      </c>
      <c r="F2641" s="2">
        <v>123255387</v>
      </c>
      <c r="G2641">
        <v>2644.04</v>
      </c>
      <c r="H2641">
        <v>2644.04</v>
      </c>
      <c r="I2641">
        <v>2623.46</v>
      </c>
      <c r="J2641">
        <v>3965394341</v>
      </c>
      <c r="K2641">
        <v>375563</v>
      </c>
      <c r="L2641" s="2">
        <f>VLOOKUP(A2641,[1]aaabonddata!$A:$B,2,0)</f>
        <v>2.31</v>
      </c>
    </row>
    <row r="2642" spans="1:12" x14ac:dyDescent="0.2">
      <c r="A2642" s="3">
        <v>42601</v>
      </c>
      <c r="B2642" s="2">
        <v>4806.1400000000003</v>
      </c>
      <c r="C2642" s="2">
        <v>4816</v>
      </c>
      <c r="D2642" s="2">
        <v>4786.2700000000004</v>
      </c>
      <c r="E2642" s="2">
        <v>5573839736355</v>
      </c>
      <c r="F2642" s="2">
        <v>129369393</v>
      </c>
      <c r="G2642">
        <v>2665.59</v>
      </c>
      <c r="H2642">
        <v>2670.12</v>
      </c>
      <c r="I2642">
        <v>2643.22</v>
      </c>
      <c r="J2642">
        <v>3997703089</v>
      </c>
      <c r="K2642">
        <v>0</v>
      </c>
      <c r="L2642" s="2">
        <f>VLOOKUP(A2642,[1]aaabonddata!$A:$B,2,0)</f>
        <v>2.34</v>
      </c>
    </row>
    <row r="2643" spans="1:12" x14ac:dyDescent="0.2">
      <c r="A2643" s="3">
        <v>42604</v>
      </c>
      <c r="B2643" s="2">
        <v>4808.5600000000004</v>
      </c>
      <c r="C2643" s="2">
        <v>4817.3599999999997</v>
      </c>
      <c r="D2643" s="2">
        <v>4791.0600000000004</v>
      </c>
      <c r="E2643" s="2">
        <v>5576646055691</v>
      </c>
      <c r="F2643" s="2">
        <v>0</v>
      </c>
      <c r="G2643">
        <v>2660.8</v>
      </c>
      <c r="H2643">
        <v>2667.89</v>
      </c>
      <c r="I2643">
        <v>2650.83</v>
      </c>
      <c r="J2643">
        <v>3990522033</v>
      </c>
      <c r="K2643">
        <v>0</v>
      </c>
      <c r="L2643" s="2">
        <f>VLOOKUP(A2643,[1]aaabonddata!$A:$B,2,0)</f>
        <v>2.3199999999999998</v>
      </c>
    </row>
    <row r="2644" spans="1:12" x14ac:dyDescent="0.2">
      <c r="A2644" s="3">
        <v>42605</v>
      </c>
      <c r="B2644" s="2">
        <v>4818.4799999999996</v>
      </c>
      <c r="C2644" s="2">
        <v>4836.45</v>
      </c>
      <c r="D2644" s="2">
        <v>4816.76</v>
      </c>
      <c r="E2644" s="2">
        <v>5588152570658</v>
      </c>
      <c r="F2644" s="2">
        <v>311957574</v>
      </c>
      <c r="G2644">
        <v>2675.95</v>
      </c>
      <c r="H2644">
        <v>2684.41</v>
      </c>
      <c r="I2644">
        <v>2672.3</v>
      </c>
      <c r="J2644">
        <v>4013244781</v>
      </c>
      <c r="K2644">
        <v>1452529</v>
      </c>
      <c r="L2644" s="2">
        <f>VLOOKUP(A2644,[1]aaabonddata!$A:$B,2,0)</f>
        <v>2.31</v>
      </c>
    </row>
    <row r="2645" spans="1:12" x14ac:dyDescent="0.2">
      <c r="A2645" s="3">
        <v>42606</v>
      </c>
      <c r="B2645" s="2">
        <v>4783.49</v>
      </c>
      <c r="C2645" s="2">
        <v>4821.3</v>
      </c>
      <c r="D2645" s="2">
        <v>4770.7299999999996</v>
      </c>
      <c r="E2645" s="2">
        <v>5547568494072</v>
      </c>
      <c r="F2645" s="2">
        <v>858660054</v>
      </c>
      <c r="G2645">
        <v>2652.18</v>
      </c>
      <c r="H2645">
        <v>2676.64</v>
      </c>
      <c r="I2645">
        <v>2644.52</v>
      </c>
      <c r="J2645">
        <v>3977594030</v>
      </c>
      <c r="K2645">
        <v>750134</v>
      </c>
      <c r="L2645" s="2">
        <f>VLOOKUP(A2645,[1]aaabonddata!$A:$B,2,0)</f>
        <v>2.31</v>
      </c>
    </row>
    <row r="2646" spans="1:12" x14ac:dyDescent="0.2">
      <c r="A2646" s="3">
        <v>42607</v>
      </c>
      <c r="B2646" s="2">
        <v>4775.43</v>
      </c>
      <c r="C2646" s="2">
        <v>4792.47</v>
      </c>
      <c r="D2646" s="2">
        <v>4768</v>
      </c>
      <c r="E2646" s="2">
        <v>5538220634687</v>
      </c>
      <c r="F2646" s="2">
        <v>0</v>
      </c>
      <c r="G2646">
        <v>2662.22</v>
      </c>
      <c r="H2646">
        <v>2671.81</v>
      </c>
      <c r="I2646">
        <v>2649.81</v>
      </c>
      <c r="J2646">
        <v>3992649063</v>
      </c>
      <c r="K2646">
        <v>0</v>
      </c>
      <c r="L2646" s="2">
        <f>VLOOKUP(A2646,[1]aaabonddata!$A:$B,2,0)</f>
        <v>2.33</v>
      </c>
    </row>
    <row r="2647" spans="1:12" x14ac:dyDescent="0.2">
      <c r="A2647" s="3">
        <v>42608</v>
      </c>
      <c r="B2647" s="2">
        <v>4783.6899999999996</v>
      </c>
      <c r="C2647" s="2">
        <v>4815.58</v>
      </c>
      <c r="D2647" s="2">
        <v>4758.1000000000004</v>
      </c>
      <c r="E2647" s="2">
        <v>5547810211195</v>
      </c>
      <c r="F2647" s="2">
        <v>0</v>
      </c>
      <c r="G2647">
        <v>2687.36</v>
      </c>
      <c r="H2647">
        <v>2699.89</v>
      </c>
      <c r="I2647">
        <v>2667.25</v>
      </c>
      <c r="J2647">
        <v>4030352868</v>
      </c>
      <c r="K2647">
        <v>0</v>
      </c>
      <c r="L2647" s="2">
        <f>VLOOKUP(A2647,[1]aaabonddata!$A:$B,2,0)</f>
        <v>2.38</v>
      </c>
    </row>
    <row r="2648" spans="1:12" x14ac:dyDescent="0.2">
      <c r="A2648" s="3">
        <v>42611</v>
      </c>
      <c r="B2648" s="2">
        <v>4791.09</v>
      </c>
      <c r="C2648" s="2">
        <v>4804.42</v>
      </c>
      <c r="D2648" s="2">
        <v>4784.63</v>
      </c>
      <c r="E2648" s="2">
        <v>5556383535716</v>
      </c>
      <c r="F2648" s="2">
        <v>1010142528</v>
      </c>
      <c r="G2648">
        <v>2694.05</v>
      </c>
      <c r="H2648">
        <v>2701.9</v>
      </c>
      <c r="I2648">
        <v>2690.06</v>
      </c>
      <c r="J2648">
        <v>4040391138</v>
      </c>
      <c r="K2648">
        <v>1467934</v>
      </c>
      <c r="L2648" s="2">
        <f>VLOOKUP(A2648,[1]aaabonddata!$A:$B,2,0)</f>
        <v>2.3199999999999998</v>
      </c>
    </row>
    <row r="2649" spans="1:12" x14ac:dyDescent="0.2">
      <c r="A2649" s="3">
        <v>42612</v>
      </c>
      <c r="B2649" s="2">
        <v>4775.99</v>
      </c>
      <c r="C2649" s="2">
        <v>4797.62</v>
      </c>
      <c r="D2649" s="2">
        <v>4760.28</v>
      </c>
      <c r="E2649" s="2">
        <v>5538881590749</v>
      </c>
      <c r="F2649" s="2">
        <v>0</v>
      </c>
      <c r="G2649">
        <v>2686.07</v>
      </c>
      <c r="H2649">
        <v>2703.85</v>
      </c>
      <c r="I2649">
        <v>2675.36</v>
      </c>
      <c r="J2649">
        <v>4028419761</v>
      </c>
      <c r="K2649">
        <v>0</v>
      </c>
      <c r="L2649" s="2">
        <f>VLOOKUP(A2649,[1]aaabonddata!$A:$B,2,0)</f>
        <v>2.3199999999999998</v>
      </c>
    </row>
    <row r="2650" spans="1:12" x14ac:dyDescent="0.2">
      <c r="A2650" s="3">
        <v>42613</v>
      </c>
      <c r="B2650" s="2">
        <v>4771.05</v>
      </c>
      <c r="C2650" s="2">
        <v>4775.1899999999996</v>
      </c>
      <c r="D2650" s="2">
        <v>4751.6899999999996</v>
      </c>
      <c r="E2650" s="2">
        <v>5533152108834</v>
      </c>
      <c r="F2650" s="2">
        <v>54243583</v>
      </c>
      <c r="G2650">
        <v>2678.9</v>
      </c>
      <c r="H2650">
        <v>2683.26</v>
      </c>
      <c r="I2650">
        <v>2663.82</v>
      </c>
      <c r="J2650">
        <v>4017673810</v>
      </c>
      <c r="K2650">
        <v>0</v>
      </c>
      <c r="L2650" s="2">
        <f>VLOOKUP(A2650,[1]aaabonddata!$A:$B,2,0)</f>
        <v>2.41</v>
      </c>
    </row>
    <row r="2651" spans="1:12" x14ac:dyDescent="0.2">
      <c r="A2651" s="3">
        <v>42614</v>
      </c>
      <c r="B2651" s="2">
        <v>4783.9399999999996</v>
      </c>
      <c r="C2651" s="2">
        <v>4787.9399999999996</v>
      </c>
      <c r="D2651" s="2">
        <v>4750.24</v>
      </c>
      <c r="E2651" s="2">
        <v>5548093924269</v>
      </c>
      <c r="F2651" s="2">
        <v>0</v>
      </c>
      <c r="G2651">
        <v>2696.02</v>
      </c>
      <c r="H2651">
        <v>2696.02</v>
      </c>
      <c r="I2651">
        <v>2667.38</v>
      </c>
      <c r="J2651">
        <v>4043348290</v>
      </c>
      <c r="K2651">
        <v>0</v>
      </c>
      <c r="L2651" s="2">
        <f>VLOOKUP(A2651,[1]aaabonddata!$A:$B,2,0)</f>
        <v>2.41</v>
      </c>
    </row>
    <row r="2652" spans="1:12" x14ac:dyDescent="0.2">
      <c r="A2652" s="3">
        <v>42615</v>
      </c>
      <c r="B2652" s="2">
        <v>4798.74</v>
      </c>
      <c r="C2652" s="2">
        <v>4816.7</v>
      </c>
      <c r="D2652" s="2">
        <v>4781.6099999999997</v>
      </c>
      <c r="E2652" s="2">
        <v>5565260873576</v>
      </c>
      <c r="F2652" s="2">
        <v>0</v>
      </c>
      <c r="G2652">
        <v>2700.52</v>
      </c>
      <c r="H2652">
        <v>2710.45</v>
      </c>
      <c r="I2652">
        <v>2690.21</v>
      </c>
      <c r="J2652">
        <v>4050088894</v>
      </c>
      <c r="K2652">
        <v>0</v>
      </c>
      <c r="L2652" s="2">
        <f>VLOOKUP(A2652,[1]aaabonddata!$A:$B,2,0)</f>
        <v>2.4300000000000002</v>
      </c>
    </row>
    <row r="2653" spans="1:12" x14ac:dyDescent="0.2">
      <c r="A2653" s="3">
        <v>42619</v>
      </c>
      <c r="B2653" s="2">
        <v>4829.51</v>
      </c>
      <c r="C2653" s="2">
        <v>4829.51</v>
      </c>
      <c r="D2653" s="2">
        <v>4797.34</v>
      </c>
      <c r="E2653" s="2">
        <v>5600947192546</v>
      </c>
      <c r="F2653" s="2">
        <v>0</v>
      </c>
      <c r="G2653">
        <v>2716.49</v>
      </c>
      <c r="H2653">
        <v>2717.01</v>
      </c>
      <c r="I2653">
        <v>2701.27</v>
      </c>
      <c r="J2653">
        <v>4074051038</v>
      </c>
      <c r="K2653">
        <v>0</v>
      </c>
      <c r="L2653" s="2">
        <f>VLOOKUP(A2653,[1]aaabonddata!$A:$B,2,0)</f>
        <v>2.39</v>
      </c>
    </row>
    <row r="2654" spans="1:12" x14ac:dyDescent="0.2">
      <c r="A2654" s="3">
        <v>42620</v>
      </c>
      <c r="B2654" s="2">
        <v>4831.8599999999997</v>
      </c>
      <c r="C2654" s="2">
        <v>4839.59</v>
      </c>
      <c r="D2654" s="2">
        <v>4813.99</v>
      </c>
      <c r="E2654" s="2">
        <v>5603671880605</v>
      </c>
      <c r="F2654" s="2">
        <v>241433446</v>
      </c>
      <c r="G2654">
        <v>2721.36</v>
      </c>
      <c r="H2654">
        <v>2732.77</v>
      </c>
      <c r="I2654">
        <v>2712.87</v>
      </c>
      <c r="J2654">
        <v>4081351342</v>
      </c>
      <c r="K2654">
        <v>0</v>
      </c>
      <c r="L2654" s="2">
        <f>VLOOKUP(A2654,[1]aaabonddata!$A:$B,2,0)</f>
        <v>2.4</v>
      </c>
    </row>
    <row r="2655" spans="1:12" x14ac:dyDescent="0.2">
      <c r="A2655" s="3">
        <v>42621</v>
      </c>
      <c r="B2655" s="2">
        <v>4804</v>
      </c>
      <c r="C2655" s="2">
        <v>4816.4799999999996</v>
      </c>
      <c r="D2655" s="2">
        <v>4791.22</v>
      </c>
      <c r="E2655" s="2">
        <v>5571357712905</v>
      </c>
      <c r="F2655" s="2">
        <v>0</v>
      </c>
      <c r="G2655">
        <v>2708.06</v>
      </c>
      <c r="H2655">
        <v>2719.96</v>
      </c>
      <c r="I2655">
        <v>2699.75</v>
      </c>
      <c r="J2655">
        <v>4061395921</v>
      </c>
      <c r="K2655">
        <v>0</v>
      </c>
      <c r="L2655" s="2">
        <f>VLOOKUP(A2655,[1]aaabonddata!$A:$B,2,0)</f>
        <v>2.4700000000000002</v>
      </c>
    </row>
    <row r="2656" spans="1:12" x14ac:dyDescent="0.2">
      <c r="A2656" s="3">
        <v>42622</v>
      </c>
      <c r="B2656" s="2">
        <v>4681.53</v>
      </c>
      <c r="C2656" s="2">
        <v>4773.7700000000004</v>
      </c>
      <c r="D2656" s="2">
        <v>4681.53</v>
      </c>
      <c r="E2656" s="2">
        <v>5429333048422</v>
      </c>
      <c r="F2656" s="2">
        <v>0</v>
      </c>
      <c r="G2656">
        <v>2631.35</v>
      </c>
      <c r="H2656">
        <v>2695.92</v>
      </c>
      <c r="I2656">
        <v>2631.03</v>
      </c>
      <c r="J2656">
        <v>3946358050</v>
      </c>
      <c r="K2656">
        <v>0</v>
      </c>
      <c r="L2656" s="2">
        <f>VLOOKUP(A2656,[1]aaabonddata!$A:$B,2,0)</f>
        <v>2.52</v>
      </c>
    </row>
    <row r="2657" spans="1:12" x14ac:dyDescent="0.2">
      <c r="A2657" s="3">
        <v>42625</v>
      </c>
      <c r="B2657" s="2">
        <v>4764.6499999999996</v>
      </c>
      <c r="C2657" s="2">
        <v>4772.4399999999996</v>
      </c>
      <c r="D2657" s="2">
        <v>4656.51</v>
      </c>
      <c r="E2657" s="2">
        <v>5525727061859</v>
      </c>
      <c r="F2657" s="2">
        <v>388843740</v>
      </c>
      <c r="G2657">
        <v>2678.85</v>
      </c>
      <c r="H2657">
        <v>2682.5</v>
      </c>
      <c r="I2657">
        <v>2606.27</v>
      </c>
      <c r="J2657">
        <v>4017598255</v>
      </c>
      <c r="K2657">
        <v>361925</v>
      </c>
      <c r="L2657" s="2">
        <f>VLOOKUP(A2657,[1]aaabonddata!$A:$B,2,0)</f>
        <v>2.52</v>
      </c>
    </row>
    <row r="2658" spans="1:12" x14ac:dyDescent="0.2">
      <c r="A2658" s="3">
        <v>42626</v>
      </c>
      <c r="B2658" s="2">
        <v>4722.84</v>
      </c>
      <c r="C2658" s="2">
        <v>4756.2</v>
      </c>
      <c r="D2658" s="2">
        <v>4701.79</v>
      </c>
      <c r="E2658" s="2">
        <v>5477241380940</v>
      </c>
      <c r="F2658" s="2">
        <v>0</v>
      </c>
      <c r="G2658">
        <v>2651.37</v>
      </c>
      <c r="H2658">
        <v>2681.64</v>
      </c>
      <c r="I2658">
        <v>2638.38</v>
      </c>
      <c r="J2658">
        <v>3976374455</v>
      </c>
      <c r="K2658">
        <v>0</v>
      </c>
      <c r="L2658" s="2">
        <f>VLOOKUP(A2658,[1]aaabonddata!$A:$B,2,0)</f>
        <v>2.58</v>
      </c>
    </row>
    <row r="2659" spans="1:12" x14ac:dyDescent="0.2">
      <c r="A2659" s="3">
        <v>42627</v>
      </c>
      <c r="B2659" s="2">
        <v>4746.0600000000004</v>
      </c>
      <c r="C2659" s="2">
        <v>4770.3900000000003</v>
      </c>
      <c r="D2659" s="2">
        <v>4726.75</v>
      </c>
      <c r="E2659" s="2">
        <v>5504168667640</v>
      </c>
      <c r="F2659" s="2">
        <v>645251941</v>
      </c>
      <c r="G2659">
        <v>2663.74</v>
      </c>
      <c r="H2659">
        <v>2679.09</v>
      </c>
      <c r="I2659">
        <v>2646.99</v>
      </c>
      <c r="J2659">
        <v>3994931578</v>
      </c>
      <c r="K2659">
        <v>0</v>
      </c>
      <c r="L2659" s="2">
        <f>VLOOKUP(A2659,[1]aaabonddata!$A:$B,2,0)</f>
        <v>2.5499999999999998</v>
      </c>
    </row>
    <row r="2660" spans="1:12" x14ac:dyDescent="0.2">
      <c r="A2660" s="3">
        <v>42628</v>
      </c>
      <c r="B2660" s="2">
        <v>4819.8999999999996</v>
      </c>
      <c r="C2660" s="2">
        <v>4826.0200000000004</v>
      </c>
      <c r="D2660" s="2">
        <v>4748.67</v>
      </c>
      <c r="E2660" s="2">
        <v>5589795967956</v>
      </c>
      <c r="F2660" s="2">
        <v>199128460</v>
      </c>
      <c r="G2660">
        <v>2710.77</v>
      </c>
      <c r="H2660">
        <v>2713.14</v>
      </c>
      <c r="I2660">
        <v>2663.16</v>
      </c>
      <c r="J2660">
        <v>4065472739</v>
      </c>
      <c r="K2660">
        <v>326923</v>
      </c>
      <c r="L2660" s="2">
        <f>VLOOKUP(A2660,[1]aaabonddata!$A:$B,2,0)</f>
        <v>2.5499999999999998</v>
      </c>
    </row>
    <row r="2661" spans="1:12" x14ac:dyDescent="0.2">
      <c r="A2661" s="3">
        <v>42629</v>
      </c>
      <c r="B2661" s="2">
        <v>4818.05</v>
      </c>
      <c r="C2661" s="2">
        <v>4821.8500000000004</v>
      </c>
      <c r="D2661" s="2">
        <v>4794.2</v>
      </c>
      <c r="E2661" s="2">
        <v>5587658447700</v>
      </c>
      <c r="F2661" s="2">
        <v>0</v>
      </c>
      <c r="G2661">
        <v>2704.1</v>
      </c>
      <c r="H2661">
        <v>2721.7</v>
      </c>
      <c r="I2661">
        <v>2692.44</v>
      </c>
      <c r="J2661">
        <v>4055467266</v>
      </c>
      <c r="K2661">
        <v>0</v>
      </c>
      <c r="L2661" s="2">
        <f>VLOOKUP(A2661,[1]aaabonddata!$A:$B,2,0)</f>
        <v>2.5499999999999998</v>
      </c>
    </row>
    <row r="2662" spans="1:12" x14ac:dyDescent="0.2">
      <c r="A2662" s="3">
        <v>42632</v>
      </c>
      <c r="B2662" s="2">
        <v>4796.07</v>
      </c>
      <c r="C2662" s="2">
        <v>4843.76</v>
      </c>
      <c r="D2662" s="2">
        <v>4787.4399999999996</v>
      </c>
      <c r="E2662" s="2">
        <v>5546218561222</v>
      </c>
      <c r="F2662" s="2">
        <v>188854267</v>
      </c>
      <c r="G2662">
        <v>2704.79</v>
      </c>
      <c r="H2662">
        <v>2735.24</v>
      </c>
      <c r="I2662">
        <v>2697.08</v>
      </c>
      <c r="J2662">
        <v>3600919157</v>
      </c>
      <c r="K2662">
        <v>2713178</v>
      </c>
      <c r="L2662" s="2">
        <f>VLOOKUP(A2662,[1]aaabonddata!$A:$B,2,0)</f>
        <v>2.54</v>
      </c>
    </row>
    <row r="2663" spans="1:12" x14ac:dyDescent="0.2">
      <c r="A2663" s="3">
        <v>42633</v>
      </c>
      <c r="B2663" s="2">
        <v>4805.22</v>
      </c>
      <c r="C2663" s="2">
        <v>4824.21</v>
      </c>
      <c r="D2663" s="2">
        <v>4797.78</v>
      </c>
      <c r="E2663" s="2">
        <v>5556798189169</v>
      </c>
      <c r="F2663" s="2">
        <v>0</v>
      </c>
      <c r="G2663">
        <v>2697.46</v>
      </c>
      <c r="H2663">
        <v>2719.06</v>
      </c>
      <c r="I2663">
        <v>2691.51</v>
      </c>
      <c r="J2663">
        <v>3591153672</v>
      </c>
      <c r="K2663">
        <v>0</v>
      </c>
      <c r="L2663" s="2">
        <f>VLOOKUP(A2663,[1]aaabonddata!$A:$B,2,0)</f>
        <v>2.5299999999999998</v>
      </c>
    </row>
    <row r="2664" spans="1:12" x14ac:dyDescent="0.2">
      <c r="A2664" s="3">
        <v>42634</v>
      </c>
      <c r="B2664" s="2">
        <v>4853.75</v>
      </c>
      <c r="C2664" s="2">
        <v>4858.57</v>
      </c>
      <c r="D2664" s="2">
        <v>4797.8999999999996</v>
      </c>
      <c r="E2664" s="2">
        <v>5612916904127</v>
      </c>
      <c r="F2664" s="2">
        <v>76320138</v>
      </c>
      <c r="G2664">
        <v>2746.05</v>
      </c>
      <c r="H2664">
        <v>2748.36</v>
      </c>
      <c r="I2664">
        <v>2714.56</v>
      </c>
      <c r="J2664">
        <v>3655840271</v>
      </c>
      <c r="K2664">
        <v>0</v>
      </c>
      <c r="L2664" s="2">
        <f>VLOOKUP(A2664,[1]aaabonddata!$A:$B,2,0)</f>
        <v>2.52</v>
      </c>
    </row>
    <row r="2665" spans="1:12" x14ac:dyDescent="0.2">
      <c r="A2665" s="3">
        <v>42635</v>
      </c>
      <c r="B2665" s="2">
        <v>4891.3599999999997</v>
      </c>
      <c r="C2665" s="2">
        <v>4895.5</v>
      </c>
      <c r="D2665" s="2">
        <v>4876.37</v>
      </c>
      <c r="E2665" s="2">
        <v>5656414759546</v>
      </c>
      <c r="F2665" s="2">
        <v>69444928</v>
      </c>
      <c r="G2665">
        <v>2754.39</v>
      </c>
      <c r="H2665">
        <v>2765.48</v>
      </c>
      <c r="I2665">
        <v>2747.72</v>
      </c>
      <c r="J2665">
        <v>3666945457</v>
      </c>
      <c r="K2665">
        <v>0</v>
      </c>
      <c r="L2665" s="2">
        <f>VLOOKUP(A2665,[1]aaabonddata!$A:$B,2,0)</f>
        <v>2.4900000000000002</v>
      </c>
    </row>
    <row r="2666" spans="1:12" x14ac:dyDescent="0.2">
      <c r="A2666" s="3">
        <v>42636</v>
      </c>
      <c r="B2666" s="2">
        <v>4858.91</v>
      </c>
      <c r="C2666" s="2">
        <v>4882.42</v>
      </c>
      <c r="D2666" s="2">
        <v>4853.41</v>
      </c>
      <c r="E2666" s="2">
        <v>5618884495430</v>
      </c>
      <c r="F2666" s="2">
        <v>0</v>
      </c>
      <c r="G2666">
        <v>2730.38</v>
      </c>
      <c r="H2666">
        <v>2748.14</v>
      </c>
      <c r="I2666">
        <v>2728.47</v>
      </c>
      <c r="J2666">
        <v>3634982054</v>
      </c>
      <c r="K2666">
        <v>0</v>
      </c>
      <c r="L2666" s="2">
        <f>VLOOKUP(A2666,[1]aaabonddata!$A:$B,2,0)</f>
        <v>2.4700000000000002</v>
      </c>
    </row>
    <row r="2667" spans="1:12" x14ac:dyDescent="0.2">
      <c r="A2667" s="3">
        <v>42639</v>
      </c>
      <c r="B2667" s="2">
        <v>4817.17</v>
      </c>
      <c r="C2667" s="2">
        <v>4837.34</v>
      </c>
      <c r="D2667" s="2">
        <v>4812.32</v>
      </c>
      <c r="E2667" s="2">
        <v>5570614594516</v>
      </c>
      <c r="F2667" s="2">
        <v>0</v>
      </c>
      <c r="G2667">
        <v>2709.64</v>
      </c>
      <c r="H2667">
        <v>2722.08</v>
      </c>
      <c r="I2667">
        <v>2700.67</v>
      </c>
      <c r="J2667">
        <v>3607366884</v>
      </c>
      <c r="K2667">
        <v>0</v>
      </c>
      <c r="L2667" s="2">
        <f>VLOOKUP(A2667,[1]aaabonddata!$A:$B,2,0)</f>
        <v>2.4500000000000002</v>
      </c>
    </row>
    <row r="2668" spans="1:12" x14ac:dyDescent="0.2">
      <c r="A2668" s="3">
        <v>42640</v>
      </c>
      <c r="B2668" s="2">
        <v>4866.71</v>
      </c>
      <c r="C2668" s="2">
        <v>4868.38</v>
      </c>
      <c r="D2668" s="2">
        <v>4811.28</v>
      </c>
      <c r="E2668" s="2">
        <v>5627901748901</v>
      </c>
      <c r="F2668" s="2">
        <v>0</v>
      </c>
      <c r="G2668">
        <v>2749.86</v>
      </c>
      <c r="H2668">
        <v>2750.14</v>
      </c>
      <c r="I2668">
        <v>2706.65</v>
      </c>
      <c r="J2668">
        <v>3660919570</v>
      </c>
      <c r="K2668">
        <v>0</v>
      </c>
      <c r="L2668" s="2">
        <f>VLOOKUP(A2668,[1]aaabonddata!$A:$B,2,0)</f>
        <v>2.4300000000000002</v>
      </c>
    </row>
    <row r="2669" spans="1:12" x14ac:dyDescent="0.2">
      <c r="A2669" s="3">
        <v>42641</v>
      </c>
      <c r="B2669" s="2">
        <v>4875.2700000000004</v>
      </c>
      <c r="C2669" s="2">
        <v>4877.3</v>
      </c>
      <c r="D2669" s="2">
        <v>4850.04</v>
      </c>
      <c r="E2669" s="2">
        <v>5637803082708</v>
      </c>
      <c r="F2669" s="2">
        <v>455742427</v>
      </c>
      <c r="G2669">
        <v>2753.07</v>
      </c>
      <c r="H2669">
        <v>2758.02</v>
      </c>
      <c r="I2669">
        <v>2734.91</v>
      </c>
      <c r="J2669">
        <v>3665186402</v>
      </c>
      <c r="K2669">
        <v>910084</v>
      </c>
      <c r="L2669" s="2">
        <f>VLOOKUP(A2669,[1]aaabonddata!$A:$B,2,0)</f>
        <v>2.44</v>
      </c>
    </row>
    <row r="2670" spans="1:12" x14ac:dyDescent="0.2">
      <c r="A2670" s="3">
        <v>42642</v>
      </c>
      <c r="B2670" s="2">
        <v>4838.3</v>
      </c>
      <c r="C2670" s="2">
        <v>4875.5200000000004</v>
      </c>
      <c r="D2670" s="2">
        <v>4819.0200000000004</v>
      </c>
      <c r="E2670" s="2">
        <v>5595052335142</v>
      </c>
      <c r="F2670" s="2">
        <v>43038605</v>
      </c>
      <c r="G2670">
        <v>2754.83</v>
      </c>
      <c r="H2670">
        <v>2767.97</v>
      </c>
      <c r="I2670">
        <v>2722.67</v>
      </c>
      <c r="J2670">
        <v>3667538528</v>
      </c>
      <c r="K2670">
        <v>0</v>
      </c>
      <c r="L2670" s="2">
        <f>VLOOKUP(A2670,[1]aaabonddata!$A:$B,2,0)</f>
        <v>2.4300000000000002</v>
      </c>
    </row>
    <row r="2671" spans="1:12" x14ac:dyDescent="0.2">
      <c r="A2671" s="3">
        <v>42643</v>
      </c>
      <c r="B2671" s="2">
        <v>4875.7</v>
      </c>
      <c r="C2671" s="2">
        <v>4889.2299999999996</v>
      </c>
      <c r="D2671" s="2">
        <v>4846.8999999999996</v>
      </c>
      <c r="E2671" s="2">
        <v>5638298730706</v>
      </c>
      <c r="F2671" s="2">
        <v>0</v>
      </c>
      <c r="G2671">
        <v>2775.07</v>
      </c>
      <c r="H2671">
        <v>2785.59</v>
      </c>
      <c r="I2671">
        <v>2761.91</v>
      </c>
      <c r="J2671">
        <v>3694477502</v>
      </c>
      <c r="K2671">
        <v>0</v>
      </c>
      <c r="L2671" s="2">
        <f>VLOOKUP(A2671,[1]aaabonddata!$A:$B,2,0)</f>
        <v>2.4700000000000002</v>
      </c>
    </row>
    <row r="2672" spans="1:12" x14ac:dyDescent="0.2">
      <c r="A2672" s="3">
        <v>42646</v>
      </c>
      <c r="B2672" s="2">
        <v>4866.63</v>
      </c>
      <c r="C2672" s="2">
        <v>4872.1400000000003</v>
      </c>
      <c r="D2672" s="2">
        <v>4848.21</v>
      </c>
      <c r="E2672" s="2">
        <v>5627807976737</v>
      </c>
      <c r="F2672" s="2">
        <v>1968379975</v>
      </c>
      <c r="G2672">
        <v>2770.52</v>
      </c>
      <c r="H2672">
        <v>2790.06</v>
      </c>
      <c r="I2672">
        <v>2764.48</v>
      </c>
      <c r="J2672">
        <v>3688416990</v>
      </c>
      <c r="K2672">
        <v>843061</v>
      </c>
      <c r="L2672" s="2">
        <f>VLOOKUP(A2672,[1]aaabonddata!$A:$B,2,0)</f>
        <v>2.48</v>
      </c>
    </row>
    <row r="2673" spans="1:12" x14ac:dyDescent="0.2">
      <c r="A2673" s="3">
        <v>42647</v>
      </c>
      <c r="B2673" s="2">
        <v>4859.47</v>
      </c>
      <c r="C2673" s="2">
        <v>4891.5</v>
      </c>
      <c r="D2673" s="2">
        <v>4841.72</v>
      </c>
      <c r="E2673" s="2">
        <v>5619530423357</v>
      </c>
      <c r="F2673" s="2">
        <v>0</v>
      </c>
      <c r="G2673">
        <v>2769.48</v>
      </c>
      <c r="H2673">
        <v>2788.71</v>
      </c>
      <c r="I2673">
        <v>2758.72</v>
      </c>
      <c r="J2673">
        <v>3687036337</v>
      </c>
      <c r="K2673">
        <v>0</v>
      </c>
      <c r="L2673" s="2">
        <f>VLOOKUP(A2673,[1]aaabonddata!$A:$B,2,0)</f>
        <v>2.52</v>
      </c>
    </row>
    <row r="2674" spans="1:12" x14ac:dyDescent="0.2">
      <c r="A2674" s="3">
        <v>42648</v>
      </c>
      <c r="B2674" s="2">
        <v>4877.75</v>
      </c>
      <c r="C2674" s="2">
        <v>4891.3500000000004</v>
      </c>
      <c r="D2674" s="2">
        <v>4870.8100000000004</v>
      </c>
      <c r="E2674" s="2">
        <v>5640671785428</v>
      </c>
      <c r="F2674" s="2">
        <v>139864134</v>
      </c>
      <c r="G2674">
        <v>2789.11</v>
      </c>
      <c r="H2674">
        <v>2799.25</v>
      </c>
      <c r="I2674">
        <v>2773.26</v>
      </c>
      <c r="J2674">
        <v>3713171966</v>
      </c>
      <c r="K2674">
        <v>857747</v>
      </c>
      <c r="L2674" s="2">
        <f>VLOOKUP(A2674,[1]aaabonddata!$A:$B,2,0)</f>
        <v>2.54</v>
      </c>
    </row>
    <row r="2675" spans="1:12" x14ac:dyDescent="0.2">
      <c r="A2675" s="3">
        <v>42649</v>
      </c>
      <c r="B2675" s="2">
        <v>4873.92</v>
      </c>
      <c r="C2675" s="2">
        <v>4883.97</v>
      </c>
      <c r="D2675" s="2">
        <v>4851.53</v>
      </c>
      <c r="E2675" s="2">
        <v>5636248427278</v>
      </c>
      <c r="F2675" s="2">
        <v>0</v>
      </c>
      <c r="G2675">
        <v>2791.91</v>
      </c>
      <c r="H2675">
        <v>2793.72</v>
      </c>
      <c r="I2675">
        <v>2769.89</v>
      </c>
      <c r="J2675">
        <v>3716896427</v>
      </c>
      <c r="K2675">
        <v>0</v>
      </c>
      <c r="L2675" s="2">
        <f>VLOOKUP(A2675,[1]aaabonddata!$A:$B,2,0)</f>
        <v>2.5499999999999998</v>
      </c>
    </row>
    <row r="2676" spans="1:12" x14ac:dyDescent="0.2">
      <c r="A2676" s="3">
        <v>42650</v>
      </c>
      <c r="B2676" s="2">
        <v>4864.5200000000004</v>
      </c>
      <c r="C2676" s="2">
        <v>4884.7</v>
      </c>
      <c r="D2676" s="2">
        <v>4840.93</v>
      </c>
      <c r="E2676" s="2">
        <v>5625376585022</v>
      </c>
      <c r="F2676" s="2">
        <v>0</v>
      </c>
      <c r="G2676">
        <v>2784.17</v>
      </c>
      <c r="H2676">
        <v>2794.81</v>
      </c>
      <c r="I2676">
        <v>2767.29</v>
      </c>
      <c r="J2676">
        <v>3706589290</v>
      </c>
      <c r="K2676">
        <v>0</v>
      </c>
      <c r="L2676" s="2">
        <f>VLOOKUP(A2676,[1]aaabonddata!$A:$B,2,0)</f>
        <v>2.5499999999999998</v>
      </c>
    </row>
    <row r="2677" spans="1:12" x14ac:dyDescent="0.2">
      <c r="A2677" s="3">
        <v>42653</v>
      </c>
      <c r="B2677" s="2">
        <v>4893.7700000000004</v>
      </c>
      <c r="C2677" s="2">
        <v>4904.72</v>
      </c>
      <c r="D2677" s="2">
        <v>4885.59</v>
      </c>
      <c r="E2677" s="2">
        <v>5659195622632</v>
      </c>
      <c r="F2677" s="2">
        <v>0</v>
      </c>
      <c r="G2677">
        <v>2788.38</v>
      </c>
      <c r="H2677">
        <v>2808.11</v>
      </c>
      <c r="I2677">
        <v>2787.69</v>
      </c>
      <c r="J2677">
        <v>3712200298</v>
      </c>
      <c r="K2677">
        <v>0</v>
      </c>
      <c r="L2677" s="2">
        <f>VLOOKUP(A2677,[1]aaabonddata!$A:$B,2,0)</f>
        <v>2.5499999999999998</v>
      </c>
    </row>
    <row r="2678" spans="1:12" x14ac:dyDescent="0.2">
      <c r="A2678" s="3">
        <v>42654</v>
      </c>
      <c r="B2678" s="2">
        <v>4821.91</v>
      </c>
      <c r="C2678" s="2">
        <v>4890.17</v>
      </c>
      <c r="D2678" s="2">
        <v>4804.24</v>
      </c>
      <c r="E2678" s="2">
        <v>5576103145190</v>
      </c>
      <c r="F2678" s="2">
        <v>0</v>
      </c>
      <c r="G2678">
        <v>2733.55</v>
      </c>
      <c r="H2678">
        <v>2787.13</v>
      </c>
      <c r="I2678">
        <v>2716.65</v>
      </c>
      <c r="J2678">
        <v>3639204325</v>
      </c>
      <c r="K2678">
        <v>0</v>
      </c>
      <c r="L2678" s="2">
        <f>VLOOKUP(A2678,[1]aaabonddata!$A:$B,2,0)</f>
        <v>2.56</v>
      </c>
    </row>
    <row r="2679" spans="1:12" x14ac:dyDescent="0.2">
      <c r="A2679" s="3">
        <v>42655</v>
      </c>
      <c r="B2679" s="2">
        <v>4819.63</v>
      </c>
      <c r="C2679" s="2">
        <v>4836.55</v>
      </c>
      <c r="D2679" s="2">
        <v>4806.33</v>
      </c>
      <c r="E2679" s="2">
        <v>5582531363719</v>
      </c>
      <c r="F2679" s="2">
        <v>0</v>
      </c>
      <c r="G2679">
        <v>2729.68</v>
      </c>
      <c r="H2679">
        <v>2737.44</v>
      </c>
      <c r="I2679">
        <v>2714.44</v>
      </c>
      <c r="J2679">
        <v>3634044710</v>
      </c>
      <c r="K2679">
        <v>0</v>
      </c>
      <c r="L2679" s="2">
        <f>VLOOKUP(A2679,[1]aaabonddata!$A:$B,2,0)</f>
        <v>2.57</v>
      </c>
    </row>
    <row r="2680" spans="1:12" x14ac:dyDescent="0.2">
      <c r="A2680" s="3">
        <v>42656</v>
      </c>
      <c r="B2680" s="2">
        <v>4803.1000000000004</v>
      </c>
      <c r="C2680" s="2">
        <v>4816.33</v>
      </c>
      <c r="D2680" s="2">
        <v>4760.07</v>
      </c>
      <c r="E2680" s="2">
        <v>5563381314455</v>
      </c>
      <c r="F2680" s="2">
        <v>0</v>
      </c>
      <c r="G2680">
        <v>2711.57</v>
      </c>
      <c r="H2680">
        <v>2718.81</v>
      </c>
      <c r="I2680">
        <v>2672.46</v>
      </c>
      <c r="J2680">
        <v>3609941446</v>
      </c>
      <c r="K2680">
        <v>0</v>
      </c>
      <c r="L2680" s="2">
        <f>VLOOKUP(A2680,[1]aaabonddata!$A:$B,2,0)</f>
        <v>2.54</v>
      </c>
    </row>
    <row r="2681" spans="1:12" x14ac:dyDescent="0.2">
      <c r="A2681" s="3">
        <v>42657</v>
      </c>
      <c r="B2681" s="2">
        <v>4808.49</v>
      </c>
      <c r="C2681" s="2">
        <v>4845.99</v>
      </c>
      <c r="D2681" s="2">
        <v>4806.7299999999996</v>
      </c>
      <c r="E2681" s="2">
        <v>5569616572225</v>
      </c>
      <c r="F2681" s="2">
        <v>0</v>
      </c>
      <c r="G2681">
        <v>2718.55</v>
      </c>
      <c r="H2681">
        <v>2750.91</v>
      </c>
      <c r="I2681">
        <v>2715.29</v>
      </c>
      <c r="J2681">
        <v>3619237648</v>
      </c>
      <c r="K2681">
        <v>0</v>
      </c>
      <c r="L2681" s="2">
        <f>VLOOKUP(A2681,[1]aaabonddata!$A:$B,2,0)</f>
        <v>2.58</v>
      </c>
    </row>
    <row r="2682" spans="1:12" x14ac:dyDescent="0.2">
      <c r="A2682" s="3">
        <v>42660</v>
      </c>
      <c r="B2682" s="2">
        <v>4796.17</v>
      </c>
      <c r="C2682" s="2">
        <v>4814.88</v>
      </c>
      <c r="D2682" s="2">
        <v>4790.45</v>
      </c>
      <c r="E2682" s="2">
        <v>5555351720703</v>
      </c>
      <c r="F2682" s="2">
        <v>0</v>
      </c>
      <c r="G2682">
        <v>2708.66</v>
      </c>
      <c r="H2682">
        <v>2727.34</v>
      </c>
      <c r="I2682">
        <v>2706.97</v>
      </c>
      <c r="J2682">
        <v>3606066360</v>
      </c>
      <c r="K2682">
        <v>0</v>
      </c>
      <c r="L2682" s="2">
        <f>VLOOKUP(A2682,[1]aaabonddata!$A:$B,2,0)</f>
        <v>2.5499999999999998</v>
      </c>
    </row>
    <row r="2683" spans="1:12" x14ac:dyDescent="0.2">
      <c r="A2683" s="3">
        <v>42661</v>
      </c>
      <c r="B2683" s="2">
        <v>4839.72</v>
      </c>
      <c r="C2683" s="2">
        <v>4860.68</v>
      </c>
      <c r="D2683" s="2">
        <v>4837.3100000000004</v>
      </c>
      <c r="E2683" s="2">
        <v>5605796811434</v>
      </c>
      <c r="F2683" s="2">
        <v>0</v>
      </c>
      <c r="G2683">
        <v>2736.22</v>
      </c>
      <c r="H2683">
        <v>2747.52</v>
      </c>
      <c r="I2683">
        <v>2731.71</v>
      </c>
      <c r="J2683">
        <v>3642760040</v>
      </c>
      <c r="K2683">
        <v>0</v>
      </c>
      <c r="L2683" s="2">
        <f>VLOOKUP(A2683,[1]aaabonddata!$A:$B,2,0)</f>
        <v>2.52</v>
      </c>
    </row>
    <row r="2684" spans="1:12" x14ac:dyDescent="0.2">
      <c r="A2684" s="3">
        <v>42662</v>
      </c>
      <c r="B2684" s="2">
        <v>4836.6099999999997</v>
      </c>
      <c r="C2684" s="2">
        <v>4845.07</v>
      </c>
      <c r="D2684" s="2">
        <v>4830.68</v>
      </c>
      <c r="E2684" s="2">
        <v>5604964034851</v>
      </c>
      <c r="F2684" s="2">
        <v>0</v>
      </c>
      <c r="G2684">
        <v>2734.69</v>
      </c>
      <c r="H2684">
        <v>2738</v>
      </c>
      <c r="I2684">
        <v>2723.4</v>
      </c>
      <c r="J2684">
        <v>3539841290</v>
      </c>
      <c r="K2684">
        <v>0</v>
      </c>
      <c r="L2684" s="2">
        <f>VLOOKUP(A2684,[1]aaabonddata!$A:$B,2,0)</f>
        <v>2.52</v>
      </c>
    </row>
    <row r="2685" spans="1:12" x14ac:dyDescent="0.2">
      <c r="A2685" s="3">
        <v>42663</v>
      </c>
      <c r="B2685" s="2">
        <v>4832.71</v>
      </c>
      <c r="C2685" s="2">
        <v>4842.32</v>
      </c>
      <c r="D2685" s="2">
        <v>4805.84</v>
      </c>
      <c r="E2685" s="2">
        <v>5600444677048</v>
      </c>
      <c r="F2685" s="2">
        <v>0</v>
      </c>
      <c r="G2685">
        <v>2742.72</v>
      </c>
      <c r="H2685">
        <v>2750.24</v>
      </c>
      <c r="I2685">
        <v>2715.66</v>
      </c>
      <c r="J2685">
        <v>3550232305</v>
      </c>
      <c r="K2685">
        <v>0</v>
      </c>
      <c r="L2685" s="2">
        <f>VLOOKUP(A2685,[1]aaabonddata!$A:$B,2,0)</f>
        <v>2.52</v>
      </c>
    </row>
    <row r="2686" spans="1:12" x14ac:dyDescent="0.2">
      <c r="A2686" s="3">
        <v>42664</v>
      </c>
      <c r="B2686" s="2">
        <v>4851.8599999999997</v>
      </c>
      <c r="C2686" s="2">
        <v>4853.6099999999997</v>
      </c>
      <c r="D2686" s="2">
        <v>4822.78</v>
      </c>
      <c r="E2686" s="2">
        <v>5622638006168</v>
      </c>
      <c r="F2686" s="2">
        <v>86689785</v>
      </c>
      <c r="G2686">
        <v>2739.02</v>
      </c>
      <c r="H2686">
        <v>2741.37</v>
      </c>
      <c r="I2686">
        <v>2719.44</v>
      </c>
      <c r="J2686">
        <v>3545437307</v>
      </c>
      <c r="K2686">
        <v>0</v>
      </c>
      <c r="L2686" s="2">
        <f>VLOOKUP(A2686,[1]aaabonddata!$A:$B,2,0)</f>
        <v>2.52</v>
      </c>
    </row>
    <row r="2687" spans="1:12" x14ac:dyDescent="0.2">
      <c r="A2687" s="3">
        <v>42667</v>
      </c>
      <c r="B2687" s="2">
        <v>4909.97</v>
      </c>
      <c r="C2687" s="2">
        <v>4911.59</v>
      </c>
      <c r="D2687" s="2">
        <v>4880.7700000000004</v>
      </c>
      <c r="E2687" s="2">
        <v>5689977049059</v>
      </c>
      <c r="F2687" s="2">
        <v>0</v>
      </c>
      <c r="G2687">
        <v>2778.59</v>
      </c>
      <c r="H2687">
        <v>2779.9</v>
      </c>
      <c r="I2687">
        <v>2758.5</v>
      </c>
      <c r="J2687">
        <v>3596655756</v>
      </c>
      <c r="K2687">
        <v>0</v>
      </c>
      <c r="L2687" s="2">
        <f>VLOOKUP(A2687,[1]aaabonddata!$A:$B,2,0)</f>
        <v>2.5499999999999998</v>
      </c>
    </row>
    <row r="2688" spans="1:12" x14ac:dyDescent="0.2">
      <c r="A2688" s="3">
        <v>42668</v>
      </c>
      <c r="B2688" s="2">
        <v>4891.45</v>
      </c>
      <c r="C2688" s="2">
        <v>4911.76</v>
      </c>
      <c r="D2688" s="2">
        <v>4885.8999999999996</v>
      </c>
      <c r="E2688" s="2">
        <v>5668521713061</v>
      </c>
      <c r="F2688" s="2">
        <v>0</v>
      </c>
      <c r="G2688">
        <v>2769.11</v>
      </c>
      <c r="H2688">
        <v>2782.49</v>
      </c>
      <c r="I2688">
        <v>2765.52</v>
      </c>
      <c r="J2688">
        <v>3584384995</v>
      </c>
      <c r="K2688">
        <v>0</v>
      </c>
      <c r="L2688" s="2">
        <f>VLOOKUP(A2688,[1]aaabonddata!$A:$B,2,0)</f>
        <v>2.5499999999999998</v>
      </c>
    </row>
    <row r="2689" spans="1:12" x14ac:dyDescent="0.2">
      <c r="A2689" s="3">
        <v>42669</v>
      </c>
      <c r="B2689" s="2">
        <v>4860.59</v>
      </c>
      <c r="C2689" s="2">
        <v>4886.32</v>
      </c>
      <c r="D2689" s="2">
        <v>4846.4399999999996</v>
      </c>
      <c r="E2689" s="2">
        <v>5632757309439</v>
      </c>
      <c r="F2689" s="2">
        <v>0</v>
      </c>
      <c r="G2689">
        <v>2774.6</v>
      </c>
      <c r="H2689">
        <v>2788.36</v>
      </c>
      <c r="I2689">
        <v>2758.54</v>
      </c>
      <c r="J2689">
        <v>3591492817</v>
      </c>
      <c r="K2689">
        <v>0</v>
      </c>
      <c r="L2689" s="2">
        <f>VLOOKUP(A2689,[1]aaabonddata!$A:$B,2,0)</f>
        <v>2.59</v>
      </c>
    </row>
    <row r="2690" spans="1:12" x14ac:dyDescent="0.2">
      <c r="A2690" s="3">
        <v>42670</v>
      </c>
      <c r="B2690" s="2">
        <v>4836.45</v>
      </c>
      <c r="C2690" s="2">
        <v>4885.83</v>
      </c>
      <c r="D2690" s="2">
        <v>4831.6899999999996</v>
      </c>
      <c r="E2690" s="2">
        <v>5604775884928</v>
      </c>
      <c r="F2690" s="2">
        <v>0</v>
      </c>
      <c r="G2690">
        <v>2770.94</v>
      </c>
      <c r="H2690">
        <v>2804.99</v>
      </c>
      <c r="I2690">
        <v>2767.27</v>
      </c>
      <c r="J2690">
        <v>3586753427</v>
      </c>
      <c r="K2690">
        <v>0</v>
      </c>
      <c r="L2690" s="2">
        <f>VLOOKUP(A2690,[1]aaabonddata!$A:$B,2,0)</f>
        <v>2.63</v>
      </c>
    </row>
    <row r="2691" spans="1:12" x14ac:dyDescent="0.2">
      <c r="A2691" s="3">
        <v>42671</v>
      </c>
      <c r="B2691" s="2">
        <v>4805.59</v>
      </c>
      <c r="C2691" s="2">
        <v>4848.54</v>
      </c>
      <c r="D2691" s="2">
        <v>4794.07</v>
      </c>
      <c r="E2691" s="2">
        <v>5569020175679</v>
      </c>
      <c r="F2691" s="2">
        <v>165844720</v>
      </c>
      <c r="G2691">
        <v>2769.88</v>
      </c>
      <c r="H2691">
        <v>2797.39</v>
      </c>
      <c r="I2691">
        <v>2762.83</v>
      </c>
      <c r="J2691">
        <v>3585388439</v>
      </c>
      <c r="K2691">
        <v>0</v>
      </c>
      <c r="L2691" s="2">
        <f>VLOOKUP(A2691,[1]aaabonddata!$A:$B,2,0)</f>
        <v>2.63</v>
      </c>
    </row>
    <row r="2692" spans="1:12" x14ac:dyDescent="0.2">
      <c r="A2692" s="3">
        <v>42674</v>
      </c>
      <c r="B2692" s="2">
        <v>4801.2700000000004</v>
      </c>
      <c r="C2692" s="2">
        <v>4823.92</v>
      </c>
      <c r="D2692" s="2">
        <v>4801.16</v>
      </c>
      <c r="E2692" s="2">
        <v>5564011023892</v>
      </c>
      <c r="F2692" s="2">
        <v>0</v>
      </c>
      <c r="G2692">
        <v>2775.91</v>
      </c>
      <c r="H2692">
        <v>2792.22</v>
      </c>
      <c r="I2692">
        <v>2775.49</v>
      </c>
      <c r="J2692">
        <v>3593192222</v>
      </c>
      <c r="K2692">
        <v>0</v>
      </c>
      <c r="L2692" s="2">
        <f>VLOOKUP(A2692,[1]aaabonddata!$A:$B,2,0)</f>
        <v>2.64</v>
      </c>
    </row>
    <row r="2693" spans="1:12" x14ac:dyDescent="0.2">
      <c r="A2693" s="3">
        <v>42675</v>
      </c>
      <c r="B2693" s="2">
        <v>4766.9399999999996</v>
      </c>
      <c r="C2693" s="2">
        <v>4811.0200000000004</v>
      </c>
      <c r="D2693" s="2">
        <v>4726.3500000000004</v>
      </c>
      <c r="E2693" s="2">
        <v>5524222574496</v>
      </c>
      <c r="F2693" s="2">
        <v>0</v>
      </c>
      <c r="G2693">
        <v>2744.51</v>
      </c>
      <c r="H2693">
        <v>2783.48</v>
      </c>
      <c r="I2693">
        <v>2716.87</v>
      </c>
      <c r="J2693">
        <v>3552545809</v>
      </c>
      <c r="K2693">
        <v>0</v>
      </c>
      <c r="L2693" s="2">
        <f>VLOOKUP(A2693,[1]aaabonddata!$A:$B,2,0)</f>
        <v>2.63</v>
      </c>
    </row>
    <row r="2694" spans="1:12" x14ac:dyDescent="0.2">
      <c r="A2694" s="3">
        <v>42676</v>
      </c>
      <c r="B2694" s="2">
        <v>4726.91</v>
      </c>
      <c r="C2694" s="2">
        <v>4773.6499999999996</v>
      </c>
      <c r="D2694" s="2">
        <v>4717.5600000000004</v>
      </c>
      <c r="E2694" s="2">
        <v>5477833223554</v>
      </c>
      <c r="F2694" s="2">
        <v>197129503</v>
      </c>
      <c r="G2694">
        <v>2712.55</v>
      </c>
      <c r="H2694">
        <v>2749.57</v>
      </c>
      <c r="I2694">
        <v>2705.41</v>
      </c>
      <c r="J2694">
        <v>3511176189</v>
      </c>
      <c r="K2694">
        <v>0</v>
      </c>
      <c r="L2694" s="2">
        <f>VLOOKUP(A2694,[1]aaabonddata!$A:$B,2,0)</f>
        <v>2.62</v>
      </c>
    </row>
    <row r="2695" spans="1:12" x14ac:dyDescent="0.2">
      <c r="A2695" s="3">
        <v>42677</v>
      </c>
      <c r="B2695" s="2">
        <v>4679.1000000000004</v>
      </c>
      <c r="C2695" s="2">
        <v>4732.2</v>
      </c>
      <c r="D2695" s="2">
        <v>4673.05</v>
      </c>
      <c r="E2695" s="2">
        <v>5422435720537</v>
      </c>
      <c r="F2695" s="2">
        <v>4856068725</v>
      </c>
      <c r="G2695">
        <v>2698.83</v>
      </c>
      <c r="H2695">
        <v>2717.16</v>
      </c>
      <c r="I2695">
        <v>2696.07</v>
      </c>
      <c r="J2695">
        <v>3493415074</v>
      </c>
      <c r="K2695">
        <v>1907078</v>
      </c>
      <c r="L2695" s="2">
        <f>VLOOKUP(A2695,[1]aaabonddata!$A:$B,2,0)</f>
        <v>2.63</v>
      </c>
    </row>
    <row r="2696" spans="1:12" x14ac:dyDescent="0.2">
      <c r="A2696" s="3">
        <v>42678</v>
      </c>
      <c r="B2696" s="2">
        <v>4660.46</v>
      </c>
      <c r="C2696" s="2">
        <v>4697.9399999999996</v>
      </c>
      <c r="D2696" s="2">
        <v>4647.59</v>
      </c>
      <c r="E2696" s="2">
        <v>5400826588034</v>
      </c>
      <c r="F2696" s="2">
        <v>83649101</v>
      </c>
      <c r="G2696">
        <v>2682.85</v>
      </c>
      <c r="H2696">
        <v>2708.11</v>
      </c>
      <c r="I2696">
        <v>2674.08</v>
      </c>
      <c r="J2696">
        <v>3472730567</v>
      </c>
      <c r="K2696">
        <v>618441</v>
      </c>
      <c r="L2696" s="2">
        <f>VLOOKUP(A2696,[1]aaabonddata!$A:$B,2,0)</f>
        <v>2.61</v>
      </c>
    </row>
    <row r="2697" spans="1:12" x14ac:dyDescent="0.2">
      <c r="A2697" s="3">
        <v>42681</v>
      </c>
      <c r="B2697" s="2">
        <v>4773.7299999999996</v>
      </c>
      <c r="C2697" s="2">
        <v>4777.0600000000004</v>
      </c>
      <c r="D2697" s="2">
        <v>4731.79</v>
      </c>
      <c r="E2697" s="2">
        <v>5532093940237</v>
      </c>
      <c r="F2697" s="2">
        <v>48778892</v>
      </c>
      <c r="G2697">
        <v>2759.01</v>
      </c>
      <c r="H2697">
        <v>2760.5</v>
      </c>
      <c r="I2697">
        <v>2729.07</v>
      </c>
      <c r="J2697">
        <v>3571317982</v>
      </c>
      <c r="K2697">
        <v>0</v>
      </c>
      <c r="L2697" s="2">
        <f>VLOOKUP(A2697,[1]aaabonddata!$A:$B,2,0)</f>
        <v>2.64</v>
      </c>
    </row>
    <row r="2698" spans="1:12" x14ac:dyDescent="0.2">
      <c r="A2698" s="3">
        <v>42682</v>
      </c>
      <c r="B2698" s="2">
        <v>4804.92</v>
      </c>
      <c r="C2698" s="2">
        <v>4824.97</v>
      </c>
      <c r="D2698" s="2">
        <v>4757.24</v>
      </c>
      <c r="E2698" s="2">
        <v>5565887570811</v>
      </c>
      <c r="F2698" s="2">
        <v>0</v>
      </c>
      <c r="G2698">
        <v>2767.3</v>
      </c>
      <c r="H2698">
        <v>2779.13</v>
      </c>
      <c r="I2698">
        <v>2744.03</v>
      </c>
      <c r="J2698">
        <v>3582041627</v>
      </c>
      <c r="K2698">
        <v>0</v>
      </c>
      <c r="L2698" s="2">
        <f>VLOOKUP(A2698,[1]aaabonddata!$A:$B,2,0)</f>
        <v>2.66</v>
      </c>
    </row>
    <row r="2699" spans="1:12" x14ac:dyDescent="0.2">
      <c r="A2699" s="3">
        <v>42683</v>
      </c>
      <c r="B2699" s="2">
        <v>4825.18</v>
      </c>
      <c r="C2699" s="2">
        <v>4832.9399999999996</v>
      </c>
      <c r="D2699" s="2">
        <v>4747.3500000000004</v>
      </c>
      <c r="E2699" s="2">
        <v>5589360747126</v>
      </c>
      <c r="F2699" s="2">
        <v>32079548</v>
      </c>
      <c r="G2699">
        <v>2760.12</v>
      </c>
      <c r="H2699">
        <v>2767.51</v>
      </c>
      <c r="I2699">
        <v>2691.1</v>
      </c>
      <c r="J2699">
        <v>3572753224</v>
      </c>
      <c r="K2699">
        <v>0</v>
      </c>
      <c r="L2699" s="2">
        <f>VLOOKUP(A2699,[1]aaabonddata!$A:$B,2,0)</f>
        <v>2.82</v>
      </c>
    </row>
    <row r="2700" spans="1:12" x14ac:dyDescent="0.2">
      <c r="A2700" s="3">
        <v>42684</v>
      </c>
      <c r="B2700" s="2">
        <v>4747.03</v>
      </c>
      <c r="C2700" s="2">
        <v>4855.79</v>
      </c>
      <c r="D2700" s="2">
        <v>4685.74</v>
      </c>
      <c r="E2700" s="2">
        <v>5498826833256</v>
      </c>
      <c r="F2700" s="2">
        <v>0</v>
      </c>
      <c r="G2700">
        <v>2719.56</v>
      </c>
      <c r="H2700">
        <v>2795.02</v>
      </c>
      <c r="I2700">
        <v>2688.85</v>
      </c>
      <c r="J2700">
        <v>3520248094</v>
      </c>
      <c r="K2700">
        <v>0</v>
      </c>
      <c r="L2700" s="2">
        <f>VLOOKUP(A2700,[1]aaabonddata!$A:$B,2,0)</f>
        <v>2.82</v>
      </c>
    </row>
    <row r="2701" spans="1:12" x14ac:dyDescent="0.2">
      <c r="A2701" s="3">
        <v>42685</v>
      </c>
      <c r="B2701" s="2">
        <v>4751.95</v>
      </c>
      <c r="C2701" s="2">
        <v>4759.82</v>
      </c>
      <c r="D2701" s="2">
        <v>4711.96</v>
      </c>
      <c r="E2701" s="2">
        <v>5504529612141</v>
      </c>
      <c r="F2701" s="2">
        <v>0</v>
      </c>
      <c r="G2701">
        <v>2761.1</v>
      </c>
      <c r="H2701">
        <v>2763.22</v>
      </c>
      <c r="I2701">
        <v>2723.64</v>
      </c>
      <c r="J2701">
        <v>3574026529</v>
      </c>
      <c r="K2701">
        <v>0</v>
      </c>
      <c r="L2701" s="2">
        <f>VLOOKUP(A2701,[1]aaabonddata!$A:$B,2,0)</f>
        <v>2.82</v>
      </c>
    </row>
    <row r="2702" spans="1:12" x14ac:dyDescent="0.2">
      <c r="A2702" s="3">
        <v>42688</v>
      </c>
      <c r="B2702" s="2">
        <v>4702.04</v>
      </c>
      <c r="C2702" s="2">
        <v>4753.2700000000004</v>
      </c>
      <c r="D2702" s="2">
        <v>4677.41</v>
      </c>
      <c r="E2702" s="2">
        <v>5446719794397</v>
      </c>
      <c r="F2702" s="2">
        <v>748360906</v>
      </c>
      <c r="G2702">
        <v>2738.99</v>
      </c>
      <c r="H2702">
        <v>2769.93</v>
      </c>
      <c r="I2702">
        <v>2733.85</v>
      </c>
      <c r="J2702">
        <v>3545394859</v>
      </c>
      <c r="K2702">
        <v>0</v>
      </c>
      <c r="L2702" s="2">
        <f>VLOOKUP(A2702,[1]aaabonddata!$A:$B,2,0)</f>
        <v>2.9</v>
      </c>
    </row>
    <row r="2703" spans="1:12" x14ac:dyDescent="0.2">
      <c r="A2703" s="3">
        <v>42689</v>
      </c>
      <c r="B2703" s="2">
        <v>4764.47</v>
      </c>
      <c r="C2703" s="2">
        <v>4778.6499999999996</v>
      </c>
      <c r="D2703" s="2">
        <v>4727.9799999999996</v>
      </c>
      <c r="E2703" s="2">
        <v>5519036184336</v>
      </c>
      <c r="F2703" s="2">
        <v>4006573059</v>
      </c>
      <c r="G2703">
        <v>2779.71</v>
      </c>
      <c r="H2703">
        <v>2786.53</v>
      </c>
      <c r="I2703">
        <v>2753.76</v>
      </c>
      <c r="J2703">
        <v>3598107713</v>
      </c>
      <c r="K2703">
        <v>1847427</v>
      </c>
      <c r="L2703" s="2">
        <f>VLOOKUP(A2703,[1]aaabonddata!$A:$B,2,0)</f>
        <v>2.92</v>
      </c>
    </row>
    <row r="2704" spans="1:12" x14ac:dyDescent="0.2">
      <c r="A2704" s="3">
        <v>42690</v>
      </c>
      <c r="B2704" s="2">
        <v>4792.2700000000004</v>
      </c>
      <c r="C2704" s="2">
        <v>4794.57</v>
      </c>
      <c r="D2704" s="2">
        <v>4742.9399999999996</v>
      </c>
      <c r="E2704" s="2">
        <v>5553150604526</v>
      </c>
      <c r="F2704" s="2">
        <v>84126795</v>
      </c>
      <c r="G2704">
        <v>2798.75</v>
      </c>
      <c r="H2704">
        <v>2799.74</v>
      </c>
      <c r="I2704">
        <v>2768.45</v>
      </c>
      <c r="J2704">
        <v>3622756061</v>
      </c>
      <c r="K2704">
        <v>0</v>
      </c>
      <c r="L2704" s="2">
        <f>VLOOKUP(A2704,[1]aaabonddata!$A:$B,2,0)</f>
        <v>2.9</v>
      </c>
    </row>
    <row r="2705" spans="1:12" x14ac:dyDescent="0.2">
      <c r="A2705" s="3">
        <v>42691</v>
      </c>
      <c r="B2705" s="2">
        <v>4826.59</v>
      </c>
      <c r="C2705" s="2">
        <v>4826.75</v>
      </c>
      <c r="D2705" s="2">
        <v>4781.72</v>
      </c>
      <c r="E2705" s="2">
        <v>5592919018720</v>
      </c>
      <c r="F2705" s="2">
        <v>123780629</v>
      </c>
      <c r="G2705">
        <v>2827.89</v>
      </c>
      <c r="H2705">
        <v>2830.16</v>
      </c>
      <c r="I2705">
        <v>2799.99</v>
      </c>
      <c r="J2705">
        <v>3660479434</v>
      </c>
      <c r="K2705">
        <v>895246</v>
      </c>
      <c r="L2705" s="2">
        <f>VLOOKUP(A2705,[1]aaabonddata!$A:$B,2,0)</f>
        <v>2.95</v>
      </c>
    </row>
    <row r="2706" spans="1:12" x14ac:dyDescent="0.2">
      <c r="A2706" s="3">
        <v>42692</v>
      </c>
      <c r="B2706" s="2">
        <v>4808.04</v>
      </c>
      <c r="C2706" s="2">
        <v>4840.8100000000004</v>
      </c>
      <c r="D2706" s="2">
        <v>4804.4399999999996</v>
      </c>
      <c r="E2706" s="2">
        <v>5571428314468</v>
      </c>
      <c r="F2706" s="2">
        <v>129435243</v>
      </c>
      <c r="G2706">
        <v>2825.74</v>
      </c>
      <c r="H2706">
        <v>2834.36</v>
      </c>
      <c r="I2706">
        <v>2817.3</v>
      </c>
      <c r="J2706">
        <v>3657689670</v>
      </c>
      <c r="K2706">
        <v>0</v>
      </c>
      <c r="L2706" s="2">
        <f>VLOOKUP(A2706,[1]aaabonddata!$A:$B,2,0)</f>
        <v>2.99</v>
      </c>
    </row>
    <row r="2707" spans="1:12" x14ac:dyDescent="0.2">
      <c r="A2707" s="3">
        <v>42695</v>
      </c>
      <c r="B2707" s="2">
        <v>4859</v>
      </c>
      <c r="C2707" s="2">
        <v>4862.2299999999996</v>
      </c>
      <c r="D2707" s="2">
        <v>4819.57</v>
      </c>
      <c r="E2707" s="2">
        <v>5630475489239</v>
      </c>
      <c r="F2707" s="2">
        <v>117158723</v>
      </c>
      <c r="G2707">
        <v>2849.29</v>
      </c>
      <c r="H2707">
        <v>2851.23</v>
      </c>
      <c r="I2707">
        <v>2828.64</v>
      </c>
      <c r="J2707">
        <v>3688180035</v>
      </c>
      <c r="K2707">
        <v>0</v>
      </c>
      <c r="L2707" s="2">
        <f>VLOOKUP(A2707,[1]aaabonddata!$A:$B,2,0)</f>
        <v>3.01</v>
      </c>
    </row>
    <row r="2708" spans="1:12" x14ac:dyDescent="0.2">
      <c r="A2708" s="3">
        <v>42696</v>
      </c>
      <c r="B2708" s="2">
        <v>4873.84</v>
      </c>
      <c r="C2708" s="2">
        <v>4884.63</v>
      </c>
      <c r="D2708" s="2">
        <v>4861.08</v>
      </c>
      <c r="E2708" s="2">
        <v>5647675763273</v>
      </c>
      <c r="F2708" s="2">
        <v>369116853</v>
      </c>
      <c r="G2708">
        <v>2856.96</v>
      </c>
      <c r="H2708">
        <v>2863.63</v>
      </c>
      <c r="I2708">
        <v>2849.7</v>
      </c>
      <c r="J2708">
        <v>3698108102</v>
      </c>
      <c r="K2708">
        <v>660468</v>
      </c>
      <c r="L2708" s="2">
        <f>VLOOKUP(A2708,[1]aaabonddata!$A:$B,2,0)</f>
        <v>3</v>
      </c>
    </row>
    <row r="2709" spans="1:12" x14ac:dyDescent="0.2">
      <c r="A2709" s="3">
        <v>42697</v>
      </c>
      <c r="B2709" s="2">
        <v>4853.8599999999997</v>
      </c>
      <c r="C2709" s="2">
        <v>4859.67</v>
      </c>
      <c r="D2709" s="2">
        <v>4832.59</v>
      </c>
      <c r="E2709" s="2">
        <v>5624523946637</v>
      </c>
      <c r="F2709" s="2">
        <v>74900000</v>
      </c>
      <c r="G2709">
        <v>2848.09</v>
      </c>
      <c r="H2709">
        <v>2853.4</v>
      </c>
      <c r="I2709">
        <v>2838.98</v>
      </c>
      <c r="J2709">
        <v>3686628308</v>
      </c>
      <c r="K2709">
        <v>222788</v>
      </c>
      <c r="L2709" s="2">
        <f>VLOOKUP(A2709,[1]aaabonddata!$A:$B,2,0)</f>
        <v>3.01</v>
      </c>
    </row>
    <row r="2710" spans="1:12" x14ac:dyDescent="0.2">
      <c r="A2710" s="3">
        <v>42699</v>
      </c>
      <c r="B2710" s="2">
        <v>4870.0200000000004</v>
      </c>
      <c r="C2710" s="2">
        <v>4870.8999999999996</v>
      </c>
      <c r="D2710" s="2">
        <v>4853.04</v>
      </c>
      <c r="E2710" s="2">
        <v>5643243802753</v>
      </c>
      <c r="F2710" s="2">
        <v>0</v>
      </c>
      <c r="G2710">
        <v>2858.53</v>
      </c>
      <c r="H2710">
        <v>2858.53</v>
      </c>
      <c r="I2710">
        <v>2845.7</v>
      </c>
      <c r="J2710">
        <v>3700132768</v>
      </c>
      <c r="K2710">
        <v>0</v>
      </c>
      <c r="L2710" s="2">
        <f>VLOOKUP(A2710,[1]aaabonddata!$A:$B,2,0)</f>
        <v>3.02</v>
      </c>
    </row>
    <row r="2711" spans="1:12" x14ac:dyDescent="0.2">
      <c r="A2711" s="3">
        <v>42702</v>
      </c>
      <c r="B2711" s="2">
        <v>4857.0200000000004</v>
      </c>
      <c r="C2711" s="2">
        <v>4878.87</v>
      </c>
      <c r="D2711" s="2">
        <v>4852.71</v>
      </c>
      <c r="E2711" s="2">
        <v>5628184205670</v>
      </c>
      <c r="F2711" s="2">
        <v>951312014</v>
      </c>
      <c r="G2711">
        <v>2859.71</v>
      </c>
      <c r="H2711">
        <v>2873.4</v>
      </c>
      <c r="I2711">
        <v>2856.73</v>
      </c>
      <c r="J2711">
        <v>3701669555</v>
      </c>
      <c r="K2711">
        <v>841404</v>
      </c>
      <c r="L2711" s="2">
        <f>VLOOKUP(A2711,[1]aaabonddata!$A:$B,2,0)</f>
        <v>2.98</v>
      </c>
    </row>
    <row r="2712" spans="1:12" x14ac:dyDescent="0.2">
      <c r="A2712" s="3">
        <v>42703</v>
      </c>
      <c r="B2712" s="2">
        <v>4873.21</v>
      </c>
      <c r="C2712" s="2">
        <v>4896.57</v>
      </c>
      <c r="D2712" s="2">
        <v>4848.8900000000003</v>
      </c>
      <c r="E2712" s="2">
        <v>5646942957522</v>
      </c>
      <c r="F2712" s="2">
        <v>93558720</v>
      </c>
      <c r="G2712">
        <v>2860.27</v>
      </c>
      <c r="H2712">
        <v>2877.19</v>
      </c>
      <c r="I2712">
        <v>2847.52</v>
      </c>
      <c r="J2712">
        <v>3702392426</v>
      </c>
      <c r="K2712">
        <v>850296</v>
      </c>
      <c r="L2712" s="2">
        <f>VLOOKUP(A2712,[1]aaabonddata!$A:$B,2,0)</f>
        <v>2.96</v>
      </c>
    </row>
    <row r="2713" spans="1:12" x14ac:dyDescent="0.2">
      <c r="A2713" s="3">
        <v>42704</v>
      </c>
      <c r="B2713" s="2">
        <v>4810.8100000000004</v>
      </c>
      <c r="C2713" s="2">
        <v>4880.76</v>
      </c>
      <c r="D2713" s="2">
        <v>4810.8100000000004</v>
      </c>
      <c r="E2713" s="2">
        <v>5574640763985</v>
      </c>
      <c r="F2713" s="2">
        <v>859729682</v>
      </c>
      <c r="G2713">
        <v>2839.49</v>
      </c>
      <c r="H2713">
        <v>2867.9</v>
      </c>
      <c r="I2713">
        <v>2839.49</v>
      </c>
      <c r="J2713">
        <v>3675493726</v>
      </c>
      <c r="K2713">
        <v>676874</v>
      </c>
      <c r="L2713" s="2">
        <f>VLOOKUP(A2713,[1]aaabonddata!$A:$B,2,0)</f>
        <v>3.05</v>
      </c>
    </row>
    <row r="2714" spans="1:12" x14ac:dyDescent="0.2">
      <c r="A2714" s="3">
        <v>42705</v>
      </c>
      <c r="B2714" s="2">
        <v>4734.1000000000004</v>
      </c>
      <c r="C2714" s="2">
        <v>4810.4399999999996</v>
      </c>
      <c r="D2714" s="2">
        <v>4723.57</v>
      </c>
      <c r="E2714" s="2">
        <v>5485742225186</v>
      </c>
      <c r="F2714" s="2">
        <v>0</v>
      </c>
      <c r="G2714">
        <v>2735.43</v>
      </c>
      <c r="H2714">
        <v>2839</v>
      </c>
      <c r="I2714">
        <v>2728.62</v>
      </c>
      <c r="J2714">
        <v>3540796017</v>
      </c>
      <c r="K2714">
        <v>0</v>
      </c>
      <c r="L2714" s="2">
        <f>VLOOKUP(A2714,[1]aaabonddata!$A:$B,2,0)</f>
        <v>3.1</v>
      </c>
    </row>
    <row r="2715" spans="1:12" x14ac:dyDescent="0.2">
      <c r="A2715" s="3">
        <v>42706</v>
      </c>
      <c r="B2715" s="2">
        <v>4739.37</v>
      </c>
      <c r="C2715" s="2">
        <v>4759.03</v>
      </c>
      <c r="D2715" s="2">
        <v>4721.41</v>
      </c>
      <c r="E2715" s="2">
        <v>5491856405707</v>
      </c>
      <c r="F2715" s="2">
        <v>0</v>
      </c>
      <c r="G2715">
        <v>2762.22</v>
      </c>
      <c r="H2715">
        <v>2765.23</v>
      </c>
      <c r="I2715">
        <v>2727.93</v>
      </c>
      <c r="J2715">
        <v>3575472328</v>
      </c>
      <c r="K2715">
        <v>0</v>
      </c>
      <c r="L2715" s="2">
        <f>VLOOKUP(A2715,[1]aaabonddata!$A:$B,2,0)</f>
        <v>3.06</v>
      </c>
    </row>
    <row r="2716" spans="1:12" x14ac:dyDescent="0.2">
      <c r="A2716" s="3">
        <v>42709</v>
      </c>
      <c r="B2716" s="2">
        <v>4778.1400000000003</v>
      </c>
      <c r="C2716" s="2">
        <v>4795.28</v>
      </c>
      <c r="D2716" s="2">
        <v>4743.53</v>
      </c>
      <c r="E2716" s="2">
        <v>5536780167253</v>
      </c>
      <c r="F2716" s="2">
        <v>53933823</v>
      </c>
      <c r="G2716">
        <v>2792.41</v>
      </c>
      <c r="H2716">
        <v>2803.31</v>
      </c>
      <c r="I2716">
        <v>2768.68</v>
      </c>
      <c r="J2716">
        <v>3614553904</v>
      </c>
      <c r="K2716">
        <v>0</v>
      </c>
      <c r="L2716" s="2">
        <f>VLOOKUP(A2716,[1]aaabonddata!$A:$B,2,0)</f>
        <v>3.06</v>
      </c>
    </row>
    <row r="2717" spans="1:12" x14ac:dyDescent="0.2">
      <c r="A2717" s="3">
        <v>42710</v>
      </c>
      <c r="B2717" s="2">
        <v>4788.67</v>
      </c>
      <c r="C2717" s="2">
        <v>4796.58</v>
      </c>
      <c r="D2717" s="2">
        <v>4769.3900000000003</v>
      </c>
      <c r="E2717" s="2">
        <v>5548982726070</v>
      </c>
      <c r="F2717" s="2">
        <v>0</v>
      </c>
      <c r="G2717">
        <v>2808.3</v>
      </c>
      <c r="H2717">
        <v>2808.82</v>
      </c>
      <c r="I2717">
        <v>2783.03</v>
      </c>
      <c r="J2717">
        <v>3635113694</v>
      </c>
      <c r="K2717">
        <v>0</v>
      </c>
      <c r="L2717" s="2">
        <f>VLOOKUP(A2717,[1]aaabonddata!$A:$B,2,0)</f>
        <v>3.06</v>
      </c>
    </row>
    <row r="2718" spans="1:12" x14ac:dyDescent="0.2">
      <c r="A2718" s="3">
        <v>42711</v>
      </c>
      <c r="B2718" s="2">
        <v>4851.9399999999996</v>
      </c>
      <c r="C2718" s="2">
        <v>4854.32</v>
      </c>
      <c r="D2718" s="2">
        <v>4765.4399999999996</v>
      </c>
      <c r="E2718" s="2">
        <v>5622295991298</v>
      </c>
      <c r="F2718" s="2">
        <v>260020862</v>
      </c>
      <c r="G2718">
        <v>2871.9</v>
      </c>
      <c r="H2718">
        <v>2874.12</v>
      </c>
      <c r="I2718">
        <v>2803.52</v>
      </c>
      <c r="J2718">
        <v>3717439692</v>
      </c>
      <c r="K2718">
        <v>0</v>
      </c>
      <c r="L2718" s="2">
        <f>VLOOKUP(A2718,[1]aaabonddata!$A:$B,2,0)</f>
        <v>3.03</v>
      </c>
    </row>
    <row r="2719" spans="1:12" x14ac:dyDescent="0.2">
      <c r="A2719" s="3">
        <v>42712</v>
      </c>
      <c r="B2719" s="2">
        <v>4859.1899999999996</v>
      </c>
      <c r="C2719" s="2">
        <v>4869.5600000000004</v>
      </c>
      <c r="D2719" s="2">
        <v>4843.04</v>
      </c>
      <c r="E2719" s="2">
        <v>5630693032617</v>
      </c>
      <c r="F2719" s="2">
        <v>0</v>
      </c>
      <c r="G2719">
        <v>2879.89</v>
      </c>
      <c r="H2719">
        <v>2891.07</v>
      </c>
      <c r="I2719">
        <v>2866.82</v>
      </c>
      <c r="J2719">
        <v>3727790202</v>
      </c>
      <c r="K2719">
        <v>0</v>
      </c>
      <c r="L2719" s="2">
        <f>VLOOKUP(A2719,[1]aaabonddata!$A:$B,2,0)</f>
        <v>3.06</v>
      </c>
    </row>
    <row r="2720" spans="1:12" x14ac:dyDescent="0.2">
      <c r="A2720" s="3">
        <v>42713</v>
      </c>
      <c r="B2720" s="2">
        <v>4895.8999999999996</v>
      </c>
      <c r="C2720" s="2">
        <v>4897.24</v>
      </c>
      <c r="D2720" s="2">
        <v>4877.18</v>
      </c>
      <c r="E2720" s="2">
        <v>5673240489246</v>
      </c>
      <c r="F2720" s="2">
        <v>0</v>
      </c>
      <c r="G2720">
        <v>2876.58</v>
      </c>
      <c r="H2720">
        <v>2894.93</v>
      </c>
      <c r="I2720">
        <v>2864.11</v>
      </c>
      <c r="J2720">
        <v>3723494182</v>
      </c>
      <c r="K2720">
        <v>0</v>
      </c>
      <c r="L2720" s="2">
        <f>VLOOKUP(A2720,[1]aaabonddata!$A:$B,2,0)</f>
        <v>3.12</v>
      </c>
    </row>
    <row r="2721" spans="1:12" x14ac:dyDescent="0.2">
      <c r="A2721" s="3">
        <v>42716</v>
      </c>
      <c r="B2721" s="2">
        <v>4874.3</v>
      </c>
      <c r="C2721" s="2">
        <v>4882.9799999999996</v>
      </c>
      <c r="D2721" s="2">
        <v>4854.2700000000004</v>
      </c>
      <c r="E2721" s="2">
        <v>5648203920632</v>
      </c>
      <c r="F2721" s="2">
        <v>72117004</v>
      </c>
      <c r="G2721">
        <v>2854.1</v>
      </c>
      <c r="H2721">
        <v>2864.82</v>
      </c>
      <c r="I2721">
        <v>2833.91</v>
      </c>
      <c r="J2721">
        <v>3694401295</v>
      </c>
      <c r="K2721">
        <v>484079</v>
      </c>
      <c r="L2721" s="2">
        <f>VLOOKUP(A2721,[1]aaabonddata!$A:$B,2,0)</f>
        <v>3.12</v>
      </c>
    </row>
    <row r="2722" spans="1:12" x14ac:dyDescent="0.2">
      <c r="A2722" s="3">
        <v>42717</v>
      </c>
      <c r="B2722" s="2">
        <v>4935.84</v>
      </c>
      <c r="C2722" s="2">
        <v>4960.4799999999996</v>
      </c>
      <c r="D2722" s="2">
        <v>4890.1499999999996</v>
      </c>
      <c r="E2722" s="2">
        <v>5719514865038</v>
      </c>
      <c r="F2722" s="2">
        <v>689684417</v>
      </c>
      <c r="G2722">
        <v>2889.46</v>
      </c>
      <c r="H2722">
        <v>2907.27</v>
      </c>
      <c r="I2722">
        <v>2862.42</v>
      </c>
      <c r="J2722">
        <v>3740173696</v>
      </c>
      <c r="K2722">
        <v>0</v>
      </c>
      <c r="L2722" s="2">
        <f>VLOOKUP(A2722,[1]aaabonddata!$A:$B,2,0)</f>
        <v>3.12</v>
      </c>
    </row>
    <row r="2723" spans="1:12" x14ac:dyDescent="0.2">
      <c r="A2723" s="3">
        <v>42718</v>
      </c>
      <c r="B2723" s="2">
        <v>4921.22</v>
      </c>
      <c r="C2723" s="2">
        <v>4955.25</v>
      </c>
      <c r="D2723" s="2">
        <v>4910.76</v>
      </c>
      <c r="E2723" s="2">
        <v>5702364946323</v>
      </c>
      <c r="F2723" s="2">
        <v>422736728</v>
      </c>
      <c r="G2723">
        <v>2881.16</v>
      </c>
      <c r="H2723">
        <v>2904.6</v>
      </c>
      <c r="I2723">
        <v>2873.24</v>
      </c>
      <c r="J2723">
        <v>3729432428</v>
      </c>
      <c r="K2723">
        <v>595656</v>
      </c>
      <c r="L2723" s="2">
        <f>VLOOKUP(A2723,[1]aaabonddata!$A:$B,2,0)</f>
        <v>3.15</v>
      </c>
    </row>
    <row r="2724" spans="1:12" x14ac:dyDescent="0.2">
      <c r="A2724" s="3">
        <v>42719</v>
      </c>
      <c r="B2724" s="2">
        <v>4933.41</v>
      </c>
      <c r="C2724" s="2">
        <v>4959.8999999999996</v>
      </c>
      <c r="D2724" s="2">
        <v>4919.8100000000004</v>
      </c>
      <c r="E2724" s="2">
        <v>5716487820801</v>
      </c>
      <c r="F2724" s="2">
        <v>0</v>
      </c>
      <c r="G2724">
        <v>2906.71</v>
      </c>
      <c r="H2724">
        <v>2920.77</v>
      </c>
      <c r="I2724">
        <v>2880.62</v>
      </c>
      <c r="J2724">
        <v>3762500738</v>
      </c>
      <c r="K2724">
        <v>0</v>
      </c>
      <c r="L2724" s="2">
        <f>VLOOKUP(A2724,[1]aaabonddata!$A:$B,2,0)</f>
        <v>3.18</v>
      </c>
    </row>
    <row r="2725" spans="1:12" x14ac:dyDescent="0.2">
      <c r="A2725" s="3">
        <v>42720</v>
      </c>
      <c r="B2725" s="2">
        <v>4914.8599999999997</v>
      </c>
      <c r="C2725" s="2">
        <v>4952.1400000000003</v>
      </c>
      <c r="D2725" s="2">
        <v>4904.38</v>
      </c>
      <c r="E2725" s="2">
        <v>5695001879853</v>
      </c>
      <c r="F2725" s="2">
        <v>0</v>
      </c>
      <c r="G2725">
        <v>2875.96</v>
      </c>
      <c r="H2725">
        <v>2922.5</v>
      </c>
      <c r="I2725">
        <v>2867.16</v>
      </c>
      <c r="J2725">
        <v>3722700878</v>
      </c>
      <c r="K2725">
        <v>0</v>
      </c>
      <c r="L2725" s="2">
        <f>VLOOKUP(A2725,[1]aaabonddata!$A:$B,2,0)</f>
        <v>3.2</v>
      </c>
    </row>
    <row r="2726" spans="1:12" x14ac:dyDescent="0.2">
      <c r="A2726" s="3">
        <v>42723</v>
      </c>
      <c r="B2726" s="2">
        <v>4934.8500000000004</v>
      </c>
      <c r="C2726" s="2">
        <v>4963</v>
      </c>
      <c r="D2726" s="2">
        <v>4911.75</v>
      </c>
      <c r="E2726" s="2">
        <v>5723334033964</v>
      </c>
      <c r="F2726" s="2">
        <v>185549351</v>
      </c>
      <c r="G2726">
        <v>2895.78</v>
      </c>
      <c r="H2726">
        <v>2907.52</v>
      </c>
      <c r="I2726">
        <v>2877.08</v>
      </c>
      <c r="J2726">
        <v>3524119326</v>
      </c>
      <c r="K2726">
        <v>1730769</v>
      </c>
      <c r="L2726" s="2">
        <f>VLOOKUP(A2726,[1]aaabonddata!$A:$B,2,0)</f>
        <v>3.15</v>
      </c>
    </row>
    <row r="2727" spans="1:12" x14ac:dyDescent="0.2">
      <c r="A2727" s="3">
        <v>42724</v>
      </c>
      <c r="B2727" s="2">
        <v>4953.8</v>
      </c>
      <c r="C2727" s="2">
        <v>4961.55</v>
      </c>
      <c r="D2727" s="2">
        <v>4944.32</v>
      </c>
      <c r="E2727" s="2">
        <v>5745318427099</v>
      </c>
      <c r="F2727" s="2">
        <v>0</v>
      </c>
      <c r="G2727">
        <v>2909.23</v>
      </c>
      <c r="H2727">
        <v>2917.62</v>
      </c>
      <c r="I2727">
        <v>2902.54</v>
      </c>
      <c r="J2727">
        <v>3540486246</v>
      </c>
      <c r="K2727">
        <v>0</v>
      </c>
      <c r="L2727" s="2">
        <f>VLOOKUP(A2727,[1]aaabonddata!$A:$B,2,0)</f>
        <v>3.16</v>
      </c>
    </row>
    <row r="2728" spans="1:12" x14ac:dyDescent="0.2">
      <c r="A2728" s="3">
        <v>42725</v>
      </c>
      <c r="B2728" s="2">
        <v>4948.8999999999996</v>
      </c>
      <c r="C2728" s="2">
        <v>4957.45</v>
      </c>
      <c r="D2728" s="2">
        <v>4938.24</v>
      </c>
      <c r="E2728" s="2">
        <v>5739637938654</v>
      </c>
      <c r="F2728" s="2">
        <v>0</v>
      </c>
      <c r="G2728">
        <v>2909.33</v>
      </c>
      <c r="H2728">
        <v>2916.03</v>
      </c>
      <c r="I2728">
        <v>2904.2</v>
      </c>
      <c r="J2728">
        <v>3540606423</v>
      </c>
      <c r="K2728">
        <v>0</v>
      </c>
      <c r="L2728" s="2">
        <f>VLOOKUP(A2728,[1]aaabonddata!$A:$B,2,0)</f>
        <v>3.14</v>
      </c>
    </row>
    <row r="2729" spans="1:12" x14ac:dyDescent="0.2">
      <c r="A2729" s="3">
        <v>42726</v>
      </c>
      <c r="B2729" s="2">
        <v>4934.3900000000003</v>
      </c>
      <c r="C2729" s="2">
        <v>4948.3599999999997</v>
      </c>
      <c r="D2729" s="2">
        <v>4917.33</v>
      </c>
      <c r="E2729" s="2">
        <v>5722805075912</v>
      </c>
      <c r="F2729" s="2">
        <v>0</v>
      </c>
      <c r="G2729">
        <v>2911.26</v>
      </c>
      <c r="H2729">
        <v>2925.03</v>
      </c>
      <c r="I2729">
        <v>2901.71</v>
      </c>
      <c r="J2729">
        <v>3542953687</v>
      </c>
      <c r="K2729">
        <v>0</v>
      </c>
      <c r="L2729" s="2">
        <f>VLOOKUP(A2729,[1]aaabonddata!$A:$B,2,0)</f>
        <v>3.14</v>
      </c>
    </row>
    <row r="2730" spans="1:12" x14ac:dyDescent="0.2">
      <c r="A2730" s="3">
        <v>42727</v>
      </c>
      <c r="B2730" s="2">
        <v>4940.0200000000004</v>
      </c>
      <c r="C2730" s="2">
        <v>4940.04</v>
      </c>
      <c r="D2730" s="2">
        <v>4922.9399999999996</v>
      </c>
      <c r="E2730" s="2">
        <v>5729337431598</v>
      </c>
      <c r="F2730" s="2">
        <v>0</v>
      </c>
      <c r="G2730">
        <v>2922.05</v>
      </c>
      <c r="H2730">
        <v>2922.36</v>
      </c>
      <c r="I2730">
        <v>2908.08</v>
      </c>
      <c r="J2730">
        <v>3556082162</v>
      </c>
      <c r="K2730">
        <v>0</v>
      </c>
      <c r="L2730" s="2">
        <f>VLOOKUP(A2730,[1]aaabonddata!$A:$B,2,0)</f>
        <v>3.13</v>
      </c>
    </row>
    <row r="2731" spans="1:12" x14ac:dyDescent="0.2">
      <c r="A2731" s="3">
        <v>42731</v>
      </c>
      <c r="B2731" s="2">
        <v>4965.8100000000004</v>
      </c>
      <c r="C2731" s="2">
        <v>4992.08</v>
      </c>
      <c r="D2731" s="2">
        <v>4947.59</v>
      </c>
      <c r="E2731" s="2">
        <v>5759241188149</v>
      </c>
      <c r="F2731" s="2">
        <v>0</v>
      </c>
      <c r="G2731">
        <v>2942.48</v>
      </c>
      <c r="H2731">
        <v>2953.37</v>
      </c>
      <c r="I2731">
        <v>2927.2</v>
      </c>
      <c r="J2731">
        <v>3580948903</v>
      </c>
      <c r="K2731">
        <v>0</v>
      </c>
      <c r="L2731" s="2">
        <f>VLOOKUP(A2731,[1]aaabonddata!$A:$B,2,0)</f>
        <v>3.15</v>
      </c>
    </row>
    <row r="2732" spans="1:12" x14ac:dyDescent="0.2">
      <c r="A2732" s="3">
        <v>42732</v>
      </c>
      <c r="B2732" s="2">
        <v>4926.29</v>
      </c>
      <c r="C2732" s="2">
        <v>4978.43</v>
      </c>
      <c r="D2732" s="2">
        <v>4922.09</v>
      </c>
      <c r="E2732" s="2">
        <v>5713404902994</v>
      </c>
      <c r="F2732" s="2">
        <v>454068414</v>
      </c>
      <c r="G2732">
        <v>2906.42</v>
      </c>
      <c r="H2732">
        <v>2952.69</v>
      </c>
      <c r="I2732">
        <v>2904.63</v>
      </c>
      <c r="J2732">
        <v>3537067922</v>
      </c>
      <c r="K2732">
        <v>744269</v>
      </c>
      <c r="L2732" s="2">
        <f>VLOOKUP(A2732,[1]aaabonddata!$A:$B,2,0)</f>
        <v>3.1</v>
      </c>
    </row>
    <row r="2733" spans="1:12" x14ac:dyDescent="0.2">
      <c r="A2733" s="3">
        <v>42733</v>
      </c>
      <c r="B2733" s="2">
        <v>4918.28</v>
      </c>
      <c r="C2733" s="2">
        <v>4933.71</v>
      </c>
      <c r="D2733" s="2">
        <v>4903.28</v>
      </c>
      <c r="E2733" s="2">
        <v>5704122740777</v>
      </c>
      <c r="F2733" s="2">
        <v>0</v>
      </c>
      <c r="G2733">
        <v>2902.06</v>
      </c>
      <c r="H2733">
        <v>2910.44</v>
      </c>
      <c r="I2733">
        <v>2888.04</v>
      </c>
      <c r="J2733">
        <v>3531757798</v>
      </c>
      <c r="K2733">
        <v>0</v>
      </c>
      <c r="L2733" s="2">
        <f>VLOOKUP(A2733,[1]aaabonddata!$A:$B,2,0)</f>
        <v>3.07</v>
      </c>
    </row>
    <row r="2734" spans="1:12" x14ac:dyDescent="0.2">
      <c r="A2734" s="3">
        <v>42734</v>
      </c>
      <c r="B2734" s="2">
        <v>4863.62</v>
      </c>
      <c r="C2734" s="2">
        <v>4927.16</v>
      </c>
      <c r="D2734" s="2">
        <v>4853.93</v>
      </c>
      <c r="E2734" s="2">
        <v>5640725755380</v>
      </c>
      <c r="F2734" s="2">
        <v>655431705</v>
      </c>
      <c r="G2734">
        <v>2868.7</v>
      </c>
      <c r="H2734">
        <v>2912.64</v>
      </c>
      <c r="I2734">
        <v>2862.2</v>
      </c>
      <c r="J2734">
        <v>3491155807</v>
      </c>
      <c r="K2734">
        <v>0</v>
      </c>
      <c r="L2734" s="2">
        <f>VLOOKUP(A2734,[1]aaabonddata!$A:$B,2,0)</f>
        <v>3.04</v>
      </c>
    </row>
    <row r="2735" spans="1:12" x14ac:dyDescent="0.2">
      <c r="A2735" s="3">
        <v>42738</v>
      </c>
      <c r="B2735" s="2">
        <v>4911.33</v>
      </c>
      <c r="C2735" s="2">
        <v>4928.49</v>
      </c>
      <c r="D2735" s="2">
        <v>4884.5200000000004</v>
      </c>
      <c r="E2735" s="2">
        <v>5696063557862</v>
      </c>
      <c r="F2735" s="2">
        <v>0</v>
      </c>
      <c r="G2735">
        <v>2892.39</v>
      </c>
      <c r="H2735">
        <v>2914.81</v>
      </c>
      <c r="I2735">
        <v>2873.11</v>
      </c>
      <c r="J2735">
        <v>3519993544</v>
      </c>
      <c r="K2735">
        <v>0</v>
      </c>
      <c r="L2735" s="2">
        <f>VLOOKUP(A2735,[1]aaabonddata!$A:$B,2,0)</f>
        <v>3.05</v>
      </c>
    </row>
    <row r="2736" spans="1:12" x14ac:dyDescent="0.2">
      <c r="A2736" s="3">
        <v>42739</v>
      </c>
      <c r="B2736" s="2">
        <v>4937.2</v>
      </c>
      <c r="C2736" s="2">
        <v>4944.74</v>
      </c>
      <c r="D2736" s="2">
        <v>4919.8</v>
      </c>
      <c r="E2736" s="2">
        <v>5726068585964</v>
      </c>
      <c r="F2736" s="2">
        <v>1305137323</v>
      </c>
      <c r="G2736">
        <v>2902.2</v>
      </c>
      <c r="H2736">
        <v>2907.84</v>
      </c>
      <c r="I2736">
        <v>2892.01</v>
      </c>
      <c r="J2736">
        <v>3531924743</v>
      </c>
      <c r="K2736">
        <v>849951</v>
      </c>
      <c r="L2736" s="2">
        <f>VLOOKUP(A2736,[1]aaabonddata!$A:$B,2,0)</f>
        <v>3.05</v>
      </c>
    </row>
    <row r="2737" spans="1:12" x14ac:dyDescent="0.2">
      <c r="A2737" s="3">
        <v>42740</v>
      </c>
      <c r="B2737" s="2">
        <v>4964.95</v>
      </c>
      <c r="C2737" s="2">
        <v>4967.8999999999996</v>
      </c>
      <c r="D2737" s="2">
        <v>4935.34</v>
      </c>
      <c r="E2737" s="2">
        <v>5758249638753</v>
      </c>
      <c r="F2737" s="2">
        <v>0</v>
      </c>
      <c r="G2737">
        <v>2908.15</v>
      </c>
      <c r="H2737">
        <v>2920.45</v>
      </c>
      <c r="I2737">
        <v>2897.51</v>
      </c>
      <c r="J2737">
        <v>3539176076</v>
      </c>
      <c r="K2737">
        <v>0</v>
      </c>
      <c r="L2737" s="2">
        <f>VLOOKUP(A2737,[1]aaabonddata!$A:$B,2,0)</f>
        <v>2.98</v>
      </c>
    </row>
    <row r="2738" spans="1:12" x14ac:dyDescent="0.2">
      <c r="A2738" s="3">
        <v>42741</v>
      </c>
      <c r="B2738" s="2">
        <v>5007.08</v>
      </c>
      <c r="C2738" s="2">
        <v>5020.7</v>
      </c>
      <c r="D2738" s="2">
        <v>4957.82</v>
      </c>
      <c r="E2738" s="2">
        <v>5807104211045</v>
      </c>
      <c r="F2738" s="2">
        <v>87267334</v>
      </c>
      <c r="G2738">
        <v>2930.18</v>
      </c>
      <c r="H2738">
        <v>2935.36</v>
      </c>
      <c r="I2738">
        <v>2896.79</v>
      </c>
      <c r="J2738">
        <v>3565985802</v>
      </c>
      <c r="K2738">
        <v>289830</v>
      </c>
      <c r="L2738" s="2">
        <f>VLOOKUP(A2738,[1]aaabonddata!$A:$B,2,0)</f>
        <v>3.03</v>
      </c>
    </row>
    <row r="2739" spans="1:12" x14ac:dyDescent="0.2">
      <c r="A2739" s="3">
        <v>42744</v>
      </c>
      <c r="B2739" s="2">
        <v>5024.8999999999996</v>
      </c>
      <c r="C2739" s="2">
        <v>5033.32</v>
      </c>
      <c r="D2739" s="2">
        <v>5009.45</v>
      </c>
      <c r="E2739" s="2">
        <v>5827774748533</v>
      </c>
      <c r="F2739" s="2">
        <v>0</v>
      </c>
      <c r="G2739">
        <v>2948.25</v>
      </c>
      <c r="H2739">
        <v>2953.67</v>
      </c>
      <c r="I2739">
        <v>2936.76</v>
      </c>
      <c r="J2739">
        <v>3587967030</v>
      </c>
      <c r="K2739">
        <v>0</v>
      </c>
      <c r="L2739" s="2">
        <f>VLOOKUP(A2739,[1]aaabonddata!$A:$B,2,0)</f>
        <v>3</v>
      </c>
    </row>
    <row r="2740" spans="1:12" x14ac:dyDescent="0.2">
      <c r="A2740" s="3">
        <v>42745</v>
      </c>
      <c r="B2740" s="2">
        <v>5035.17</v>
      </c>
      <c r="C2740" s="2">
        <v>5049.83</v>
      </c>
      <c r="D2740" s="2">
        <v>5016.1899999999996</v>
      </c>
      <c r="E2740" s="2">
        <v>5839683699521</v>
      </c>
      <c r="F2740" s="2">
        <v>0</v>
      </c>
      <c r="G2740">
        <v>2959.93</v>
      </c>
      <c r="H2740">
        <v>2971.16</v>
      </c>
      <c r="I2740">
        <v>2951.36</v>
      </c>
      <c r="J2740">
        <v>3602191660</v>
      </c>
      <c r="K2740">
        <v>0</v>
      </c>
      <c r="L2740" s="2">
        <f>VLOOKUP(A2740,[1]aaabonddata!$A:$B,2,0)</f>
        <v>3</v>
      </c>
    </row>
    <row r="2741" spans="1:12" x14ac:dyDescent="0.2">
      <c r="A2741" s="3">
        <v>42746</v>
      </c>
      <c r="B2741" s="2">
        <v>5050.21</v>
      </c>
      <c r="C2741" s="2">
        <v>5050.21</v>
      </c>
      <c r="D2741" s="2">
        <v>5012.6499999999996</v>
      </c>
      <c r="E2741" s="2">
        <v>5857129711207</v>
      </c>
      <c r="F2741" s="2">
        <v>0</v>
      </c>
      <c r="G2741">
        <v>2974.52</v>
      </c>
      <c r="H2741">
        <v>2974.52</v>
      </c>
      <c r="I2741">
        <v>2953.52</v>
      </c>
      <c r="J2741">
        <v>3619940353</v>
      </c>
      <c r="K2741">
        <v>0</v>
      </c>
      <c r="L2741" s="2">
        <f>VLOOKUP(A2741,[1]aaabonddata!$A:$B,2,0)</f>
        <v>2.99</v>
      </c>
    </row>
    <row r="2742" spans="1:12" x14ac:dyDescent="0.2">
      <c r="A2742" s="3">
        <v>42747</v>
      </c>
      <c r="B2742" s="2">
        <v>5041.43</v>
      </c>
      <c r="C2742" s="2">
        <v>5044.3599999999997</v>
      </c>
      <c r="D2742" s="2">
        <v>4995.07</v>
      </c>
      <c r="E2742" s="2">
        <v>5846942578142</v>
      </c>
      <c r="F2742" s="2">
        <v>0</v>
      </c>
      <c r="G2742">
        <v>2961.78</v>
      </c>
      <c r="H2742">
        <v>2963.39</v>
      </c>
      <c r="I2742">
        <v>2924.99</v>
      </c>
      <c r="J2742">
        <v>3604442333</v>
      </c>
      <c r="K2742">
        <v>0</v>
      </c>
      <c r="L2742" s="2">
        <f>VLOOKUP(A2742,[1]aaabonddata!$A:$B,2,0)</f>
        <v>2.99</v>
      </c>
    </row>
    <row r="2743" spans="1:12" x14ac:dyDescent="0.2">
      <c r="A2743" s="3">
        <v>42748</v>
      </c>
      <c r="B2743" s="2">
        <v>5059.51</v>
      </c>
      <c r="C2743" s="2">
        <v>5066.95</v>
      </c>
      <c r="D2743" s="2">
        <v>5045.92</v>
      </c>
      <c r="E2743" s="2">
        <v>5867914875340</v>
      </c>
      <c r="F2743" s="2">
        <v>0</v>
      </c>
      <c r="G2743">
        <v>2979.19</v>
      </c>
      <c r="H2743">
        <v>2983.88</v>
      </c>
      <c r="I2743">
        <v>2964.52</v>
      </c>
      <c r="J2743">
        <v>3625629789</v>
      </c>
      <c r="K2743">
        <v>0</v>
      </c>
      <c r="L2743" s="2">
        <f>VLOOKUP(A2743,[1]aaabonddata!$A:$B,2,0)</f>
        <v>3.01</v>
      </c>
    </row>
    <row r="2744" spans="1:12" x14ac:dyDescent="0.2">
      <c r="A2744" s="3">
        <v>42752</v>
      </c>
      <c r="B2744" s="2">
        <v>5044.6499999999996</v>
      </c>
      <c r="C2744" s="2">
        <v>5053.2</v>
      </c>
      <c r="D2744" s="2">
        <v>5029.6099999999997</v>
      </c>
      <c r="E2744" s="2">
        <v>5850683919333</v>
      </c>
      <c r="F2744" s="2">
        <v>0</v>
      </c>
      <c r="G2744">
        <v>2958.49</v>
      </c>
      <c r="H2744">
        <v>2975.1</v>
      </c>
      <c r="I2744">
        <v>2948.29</v>
      </c>
      <c r="J2744">
        <v>3600436822</v>
      </c>
      <c r="K2744">
        <v>0</v>
      </c>
      <c r="L2744" s="2">
        <f>VLOOKUP(A2744,[1]aaabonddata!$A:$B,2,0)</f>
        <v>2.96</v>
      </c>
    </row>
    <row r="2745" spans="1:12" x14ac:dyDescent="0.2">
      <c r="A2745" s="3">
        <v>42753</v>
      </c>
      <c r="B2745" s="2">
        <v>5055.8500000000004</v>
      </c>
      <c r="C2745" s="2">
        <v>5058.2</v>
      </c>
      <c r="D2745" s="2">
        <v>5039.18</v>
      </c>
      <c r="E2745" s="2">
        <v>5863672157754</v>
      </c>
      <c r="F2745" s="2">
        <v>0</v>
      </c>
      <c r="G2745">
        <v>2981.64</v>
      </c>
      <c r="H2745">
        <v>2983.8</v>
      </c>
      <c r="I2745">
        <v>2961.29</v>
      </c>
      <c r="J2745">
        <v>3628608238</v>
      </c>
      <c r="K2745">
        <v>0</v>
      </c>
      <c r="L2745" s="2">
        <f>VLOOKUP(A2745,[1]aaabonddata!$A:$B,2,0)</f>
        <v>3.01</v>
      </c>
    </row>
    <row r="2746" spans="1:12" x14ac:dyDescent="0.2">
      <c r="A2746" s="3">
        <v>42754</v>
      </c>
      <c r="B2746" s="2">
        <v>5051.17</v>
      </c>
      <c r="C2746" s="2">
        <v>5078.41</v>
      </c>
      <c r="D2746" s="2">
        <v>5041.21</v>
      </c>
      <c r="E2746" s="2">
        <v>5858240183036</v>
      </c>
      <c r="F2746" s="2">
        <v>0</v>
      </c>
      <c r="G2746">
        <v>2974.81</v>
      </c>
      <c r="H2746">
        <v>2996.53</v>
      </c>
      <c r="I2746">
        <v>2971.28</v>
      </c>
      <c r="J2746">
        <v>3620299262</v>
      </c>
      <c r="K2746">
        <v>0</v>
      </c>
      <c r="L2746" s="2">
        <f>VLOOKUP(A2746,[1]aaabonddata!$A:$B,2,0)</f>
        <v>3.06</v>
      </c>
    </row>
    <row r="2747" spans="1:12" x14ac:dyDescent="0.2">
      <c r="A2747" s="3">
        <v>42755</v>
      </c>
      <c r="B2747" s="2">
        <v>5063.2</v>
      </c>
      <c r="C2747" s="2">
        <v>5085.34</v>
      </c>
      <c r="D2747" s="2">
        <v>5050.0200000000004</v>
      </c>
      <c r="E2747" s="2">
        <v>5872191373299</v>
      </c>
      <c r="F2747" s="2">
        <v>0</v>
      </c>
      <c r="G2747">
        <v>3002.44</v>
      </c>
      <c r="H2747">
        <v>3013.78</v>
      </c>
      <c r="I2747">
        <v>2993.84</v>
      </c>
      <c r="J2747">
        <v>3653923734</v>
      </c>
      <c r="K2747">
        <v>0</v>
      </c>
      <c r="L2747" s="2">
        <f>VLOOKUP(A2747,[1]aaabonddata!$A:$B,2,0)</f>
        <v>3.06</v>
      </c>
    </row>
    <row r="2748" spans="1:12" x14ac:dyDescent="0.2">
      <c r="A2748" s="3">
        <v>42758</v>
      </c>
      <c r="B2748" s="2">
        <v>5065.7</v>
      </c>
      <c r="C2748" s="2">
        <v>5073.24</v>
      </c>
      <c r="D2748" s="2">
        <v>5035.49</v>
      </c>
      <c r="E2748" s="2">
        <v>5875094874036</v>
      </c>
      <c r="F2748" s="2">
        <v>0</v>
      </c>
      <c r="G2748">
        <v>2997.79</v>
      </c>
      <c r="H2748">
        <v>3006.11</v>
      </c>
      <c r="I2748">
        <v>2977.89</v>
      </c>
      <c r="J2748">
        <v>3648266579</v>
      </c>
      <c r="K2748">
        <v>0</v>
      </c>
      <c r="L2748" s="2">
        <f>VLOOKUP(A2748,[1]aaabonddata!$A:$B,2,0)</f>
        <v>3</v>
      </c>
    </row>
    <row r="2749" spans="1:12" x14ac:dyDescent="0.2">
      <c r="A2749" s="3">
        <v>42759</v>
      </c>
      <c r="B2749" s="2">
        <v>5101.0600000000004</v>
      </c>
      <c r="C2749" s="2">
        <v>5108.22</v>
      </c>
      <c r="D2749" s="2">
        <v>5068.37</v>
      </c>
      <c r="E2749" s="2">
        <v>5916109070907</v>
      </c>
      <c r="F2749" s="2">
        <v>0</v>
      </c>
      <c r="G2749">
        <v>3045.82</v>
      </c>
      <c r="H2749">
        <v>3051.28</v>
      </c>
      <c r="I2749">
        <v>3017.46</v>
      </c>
      <c r="J2749">
        <v>3706714772</v>
      </c>
      <c r="K2749">
        <v>0</v>
      </c>
      <c r="L2749" s="2">
        <f>VLOOKUP(A2749,[1]aaabonddata!$A:$B,2,0)</f>
        <v>3.07</v>
      </c>
    </row>
    <row r="2750" spans="1:12" x14ac:dyDescent="0.2">
      <c r="A2750" s="3">
        <v>42760</v>
      </c>
      <c r="B2750" s="2">
        <v>5151.47</v>
      </c>
      <c r="C2750" s="2">
        <v>5153.18</v>
      </c>
      <c r="D2750" s="2">
        <v>5129</v>
      </c>
      <c r="E2750" s="2">
        <v>5974570321818</v>
      </c>
      <c r="F2750" s="2">
        <v>0</v>
      </c>
      <c r="G2750">
        <v>3086.89</v>
      </c>
      <c r="H2750">
        <v>3094.25</v>
      </c>
      <c r="I2750">
        <v>3075.36</v>
      </c>
      <c r="J2750">
        <v>3756694304</v>
      </c>
      <c r="K2750">
        <v>0</v>
      </c>
      <c r="L2750" s="2">
        <f>VLOOKUP(A2750,[1]aaabonddata!$A:$B,2,0)</f>
        <v>3.1</v>
      </c>
    </row>
    <row r="2751" spans="1:12" x14ac:dyDescent="0.2">
      <c r="A2751" s="3">
        <v>42761</v>
      </c>
      <c r="B2751" s="2">
        <v>5156.92</v>
      </c>
      <c r="C2751" s="2">
        <v>5168.2</v>
      </c>
      <c r="D2751" s="2">
        <v>5148.8500000000004</v>
      </c>
      <c r="E2751" s="2">
        <v>5980891730979</v>
      </c>
      <c r="F2751" s="2">
        <v>0</v>
      </c>
      <c r="G2751">
        <v>3064.88</v>
      </c>
      <c r="H2751">
        <v>3085.39</v>
      </c>
      <c r="I2751">
        <v>3057.7</v>
      </c>
      <c r="J2751">
        <v>3729909005</v>
      </c>
      <c r="K2751">
        <v>0</v>
      </c>
      <c r="L2751" s="2">
        <f>VLOOKUP(A2751,[1]aaabonddata!$A:$B,2,0)</f>
        <v>3.08</v>
      </c>
    </row>
    <row r="2752" spans="1:12" x14ac:dyDescent="0.2">
      <c r="A2752" s="3">
        <v>42762</v>
      </c>
      <c r="B2752" s="2">
        <v>5168.0600000000004</v>
      </c>
      <c r="C2752" s="2">
        <v>5172.43</v>
      </c>
      <c r="D2752" s="2">
        <v>5150.18</v>
      </c>
      <c r="E2752" s="2">
        <v>5993809920441</v>
      </c>
      <c r="F2752" s="2">
        <v>499742864</v>
      </c>
      <c r="G2752">
        <v>3098.65</v>
      </c>
      <c r="H2752">
        <v>3099.25</v>
      </c>
      <c r="I2752">
        <v>3080.18</v>
      </c>
      <c r="J2752">
        <v>3771007953</v>
      </c>
      <c r="K2752">
        <v>685965</v>
      </c>
      <c r="L2752" s="2">
        <f>VLOOKUP(A2752,[1]aaabonddata!$A:$B,2,0)</f>
        <v>3.06</v>
      </c>
    </row>
    <row r="2753" spans="1:12" x14ac:dyDescent="0.2">
      <c r="A2753" s="3">
        <v>42765</v>
      </c>
      <c r="B2753" s="2">
        <v>5129.33</v>
      </c>
      <c r="C2753" s="2">
        <v>5146.88</v>
      </c>
      <c r="D2753" s="2">
        <v>5098.34</v>
      </c>
      <c r="E2753" s="2">
        <v>5948889575228</v>
      </c>
      <c r="F2753" s="2">
        <v>322491603</v>
      </c>
      <c r="G2753">
        <v>3082.71</v>
      </c>
      <c r="H2753">
        <v>3083.31</v>
      </c>
      <c r="I2753">
        <v>3054.06</v>
      </c>
      <c r="J2753">
        <v>3751610438</v>
      </c>
      <c r="K2753">
        <v>0</v>
      </c>
      <c r="L2753" s="2">
        <f>VLOOKUP(A2753,[1]aaabonddata!$A:$B,2,0)</f>
        <v>3.1</v>
      </c>
    </row>
    <row r="2754" spans="1:12" x14ac:dyDescent="0.2">
      <c r="A2754" s="3">
        <v>42766</v>
      </c>
      <c r="B2754" s="2">
        <v>5116.7700000000004</v>
      </c>
      <c r="C2754" s="2">
        <v>5116.8</v>
      </c>
      <c r="D2754" s="2">
        <v>5086.33</v>
      </c>
      <c r="E2754" s="2">
        <v>5934321629489</v>
      </c>
      <c r="F2754" s="2">
        <v>52027899</v>
      </c>
      <c r="G2754">
        <v>3069.02</v>
      </c>
      <c r="H2754">
        <v>3071.96</v>
      </c>
      <c r="I2754">
        <v>3050.35</v>
      </c>
      <c r="J2754">
        <v>3734947001</v>
      </c>
      <c r="K2754">
        <v>364536</v>
      </c>
      <c r="L2754" s="2">
        <f>VLOOKUP(A2754,[1]aaabonddata!$A:$B,2,0)</f>
        <v>3.1</v>
      </c>
    </row>
    <row r="2755" spans="1:12" x14ac:dyDescent="0.2">
      <c r="A2755" s="3">
        <v>42767</v>
      </c>
      <c r="B2755" s="2">
        <v>5152.6899999999996</v>
      </c>
      <c r="C2755" s="2">
        <v>5162.46</v>
      </c>
      <c r="D2755" s="2">
        <v>5128.8999999999996</v>
      </c>
      <c r="E2755" s="2">
        <v>5973062708370</v>
      </c>
      <c r="F2755" s="2">
        <v>0</v>
      </c>
      <c r="G2755">
        <v>3082.02</v>
      </c>
      <c r="H2755">
        <v>3096.92</v>
      </c>
      <c r="I2755">
        <v>3064.05</v>
      </c>
      <c r="J2755">
        <v>3750763348</v>
      </c>
      <c r="K2755">
        <v>0</v>
      </c>
      <c r="L2755" s="2">
        <f>VLOOKUP(A2755,[1]aaabonddata!$A:$B,2,0)</f>
        <v>3.11</v>
      </c>
    </row>
    <row r="2756" spans="1:12" x14ac:dyDescent="0.2">
      <c r="A2756" s="3">
        <v>42768</v>
      </c>
      <c r="B2756" s="2">
        <v>5147.7</v>
      </c>
      <c r="C2756" s="2">
        <v>5162.5600000000004</v>
      </c>
      <c r="D2756" s="2">
        <v>5128.76</v>
      </c>
      <c r="E2756" s="2">
        <v>5962452574759</v>
      </c>
      <c r="F2756" s="2">
        <v>0</v>
      </c>
      <c r="G2756">
        <v>3093.87</v>
      </c>
      <c r="H2756">
        <v>3095.87</v>
      </c>
      <c r="I2756">
        <v>3056.53</v>
      </c>
      <c r="J2756">
        <v>3765192037</v>
      </c>
      <c r="K2756">
        <v>0</v>
      </c>
      <c r="L2756" s="2">
        <f>VLOOKUP(A2756,[1]aaabonddata!$A:$B,2,0)</f>
        <v>3.09</v>
      </c>
    </row>
    <row r="2757" spans="1:12" x14ac:dyDescent="0.2">
      <c r="A2757" s="3">
        <v>42769</v>
      </c>
      <c r="B2757" s="2">
        <v>5161.6000000000004</v>
      </c>
      <c r="C2757" s="2">
        <v>5165.47</v>
      </c>
      <c r="D2757" s="2">
        <v>5147.58</v>
      </c>
      <c r="E2757" s="2">
        <v>5978547837528</v>
      </c>
      <c r="F2757" s="2">
        <v>1280388861</v>
      </c>
      <c r="G2757">
        <v>3113.67</v>
      </c>
      <c r="H2757">
        <v>3115.4</v>
      </c>
      <c r="I2757">
        <v>3101.7</v>
      </c>
      <c r="J2757">
        <v>3789291898</v>
      </c>
      <c r="K2757">
        <v>716056</v>
      </c>
      <c r="L2757" s="2">
        <f>VLOOKUP(A2757,[1]aaabonddata!$A:$B,2,0)</f>
        <v>3.1</v>
      </c>
    </row>
    <row r="2758" spans="1:12" x14ac:dyDescent="0.2">
      <c r="A2758" s="3">
        <v>42772</v>
      </c>
      <c r="B2758" s="2">
        <v>5167.96</v>
      </c>
      <c r="C2758" s="2">
        <v>5167.96</v>
      </c>
      <c r="D2758" s="2">
        <v>5148.0600000000004</v>
      </c>
      <c r="E2758" s="2">
        <v>5985920298859</v>
      </c>
      <c r="F2758" s="2">
        <v>83328736</v>
      </c>
      <c r="G2758">
        <v>3114.2</v>
      </c>
      <c r="H2758">
        <v>3116.16</v>
      </c>
      <c r="I2758">
        <v>3103.6</v>
      </c>
      <c r="J2758">
        <v>3789925762</v>
      </c>
      <c r="K2758">
        <v>564488</v>
      </c>
      <c r="L2758" s="2">
        <f>VLOOKUP(A2758,[1]aaabonddata!$A:$B,2,0)</f>
        <v>3.04</v>
      </c>
    </row>
    <row r="2759" spans="1:12" x14ac:dyDescent="0.2">
      <c r="A2759" s="3">
        <v>42773</v>
      </c>
      <c r="B2759" s="2">
        <v>5185.88</v>
      </c>
      <c r="C2759" s="2">
        <v>5196.2700000000004</v>
      </c>
      <c r="D2759" s="2">
        <v>5174.34</v>
      </c>
      <c r="E2759" s="2">
        <v>5984223167899</v>
      </c>
      <c r="F2759" s="2">
        <v>363850000</v>
      </c>
      <c r="G2759">
        <v>3131.82</v>
      </c>
      <c r="H2759">
        <v>3131.95</v>
      </c>
      <c r="I2759">
        <v>3116.48</v>
      </c>
      <c r="J2759">
        <v>3707844203</v>
      </c>
      <c r="K2759">
        <v>0</v>
      </c>
      <c r="L2759" s="2">
        <f>VLOOKUP(A2759,[1]aaabonddata!$A:$B,2,0)</f>
        <v>3.02</v>
      </c>
    </row>
    <row r="2760" spans="1:12" x14ac:dyDescent="0.2">
      <c r="A2760" s="3">
        <v>42774</v>
      </c>
      <c r="B2760" s="2">
        <v>5196.58</v>
      </c>
      <c r="C2760" s="2">
        <v>5201.57</v>
      </c>
      <c r="D2760" s="2">
        <v>5168.9799999999996</v>
      </c>
      <c r="E2760" s="2">
        <v>5996569905106</v>
      </c>
      <c r="F2760" s="2">
        <v>222509523</v>
      </c>
      <c r="G2760">
        <v>3130.17</v>
      </c>
      <c r="H2760">
        <v>3134.89</v>
      </c>
      <c r="I2760">
        <v>3110.98</v>
      </c>
      <c r="J2760">
        <v>3705898884</v>
      </c>
      <c r="K2760">
        <v>0</v>
      </c>
      <c r="L2760" s="2">
        <f>VLOOKUP(A2760,[1]aaabonddata!$A:$B,2,0)</f>
        <v>2.99</v>
      </c>
    </row>
    <row r="2761" spans="1:12" x14ac:dyDescent="0.2">
      <c r="A2761" s="3">
        <v>42775</v>
      </c>
      <c r="B2761" s="2">
        <v>5212.16</v>
      </c>
      <c r="C2761" s="2">
        <v>5221.62</v>
      </c>
      <c r="D2761" s="2">
        <v>5196.07</v>
      </c>
      <c r="E2761" s="2">
        <v>6014547211223</v>
      </c>
      <c r="F2761" s="2">
        <v>3091230926</v>
      </c>
      <c r="G2761">
        <v>3130.39</v>
      </c>
      <c r="H2761">
        <v>3147.76</v>
      </c>
      <c r="I2761">
        <v>3128.79</v>
      </c>
      <c r="J2761">
        <v>3706155332</v>
      </c>
      <c r="K2761">
        <v>491506</v>
      </c>
      <c r="L2761" s="2">
        <f>VLOOKUP(A2761,[1]aaabonddata!$A:$B,2,0)</f>
        <v>3.03</v>
      </c>
    </row>
    <row r="2762" spans="1:12" x14ac:dyDescent="0.2">
      <c r="A2762" s="3">
        <v>42776</v>
      </c>
      <c r="B2762" s="2">
        <v>5226.6899999999996</v>
      </c>
      <c r="C2762" s="2">
        <v>5234.2700000000004</v>
      </c>
      <c r="D2762" s="2">
        <v>5212.83</v>
      </c>
      <c r="E2762" s="2">
        <v>6031313887615</v>
      </c>
      <c r="F2762" s="2">
        <v>84128945</v>
      </c>
      <c r="G2762">
        <v>3125.24</v>
      </c>
      <c r="H2762">
        <v>3137.86</v>
      </c>
      <c r="I2762">
        <v>3107.82</v>
      </c>
      <c r="J2762">
        <v>3700055186</v>
      </c>
      <c r="K2762">
        <v>0</v>
      </c>
      <c r="L2762" s="2">
        <f>VLOOKUP(A2762,[1]aaabonddata!$A:$B,2,0)</f>
        <v>3.03</v>
      </c>
    </row>
    <row r="2763" spans="1:12" x14ac:dyDescent="0.2">
      <c r="A2763" s="3">
        <v>42779</v>
      </c>
      <c r="B2763" s="2">
        <v>5256.82</v>
      </c>
      <c r="C2763" s="2">
        <v>5262.42</v>
      </c>
      <c r="D2763" s="2">
        <v>5241</v>
      </c>
      <c r="E2763" s="2">
        <v>6066082061488</v>
      </c>
      <c r="F2763" s="2">
        <v>1346153957</v>
      </c>
      <c r="G2763">
        <v>3143.23</v>
      </c>
      <c r="H2763">
        <v>3147</v>
      </c>
      <c r="I2763">
        <v>3133.26</v>
      </c>
      <c r="J2763">
        <v>3721360224</v>
      </c>
      <c r="K2763">
        <v>690625</v>
      </c>
      <c r="L2763" s="2">
        <f>VLOOKUP(A2763,[1]aaabonddata!$A:$B,2,0)</f>
        <v>3.04</v>
      </c>
    </row>
    <row r="2764" spans="1:12" x14ac:dyDescent="0.2">
      <c r="A2764" s="3">
        <v>42780</v>
      </c>
      <c r="B2764" s="2">
        <v>5271.07</v>
      </c>
      <c r="C2764" s="2">
        <v>5271.1</v>
      </c>
      <c r="D2764" s="2">
        <v>5238.6899999999996</v>
      </c>
      <c r="E2764" s="2">
        <v>6082533547880</v>
      </c>
      <c r="F2764" s="2">
        <v>3268912340</v>
      </c>
      <c r="G2764">
        <v>3134.49</v>
      </c>
      <c r="H2764">
        <v>3138.13</v>
      </c>
      <c r="I2764">
        <v>3119.08</v>
      </c>
      <c r="J2764">
        <v>3711013570</v>
      </c>
      <c r="K2764">
        <v>1422380</v>
      </c>
      <c r="L2764" s="2">
        <f>VLOOKUP(A2764,[1]aaabonddata!$A:$B,2,0)</f>
        <v>3.07</v>
      </c>
    </row>
    <row r="2765" spans="1:12" x14ac:dyDescent="0.2">
      <c r="A2765" s="3">
        <v>42781</v>
      </c>
      <c r="B2765" s="2">
        <v>5302.39</v>
      </c>
      <c r="C2765" s="2">
        <v>5304.34</v>
      </c>
      <c r="D2765" s="2">
        <v>5264.44</v>
      </c>
      <c r="E2765" s="2">
        <v>6118675423588</v>
      </c>
      <c r="F2765" s="2">
        <v>46756442</v>
      </c>
      <c r="G2765">
        <v>3154.89</v>
      </c>
      <c r="H2765">
        <v>3157.87</v>
      </c>
      <c r="I2765">
        <v>3129.04</v>
      </c>
      <c r="J2765">
        <v>3735166062</v>
      </c>
      <c r="K2765">
        <v>311462</v>
      </c>
      <c r="L2765" s="2">
        <f>VLOOKUP(A2765,[1]aaabonddata!$A:$B,2,0)</f>
        <v>3.09</v>
      </c>
    </row>
    <row r="2766" spans="1:12" x14ac:dyDescent="0.2">
      <c r="A2766" s="3">
        <v>42782</v>
      </c>
      <c r="B2766" s="2">
        <v>5300.64</v>
      </c>
      <c r="C2766" s="2">
        <v>5316.79</v>
      </c>
      <c r="D2766" s="2">
        <v>5287.54</v>
      </c>
      <c r="E2766" s="2">
        <v>6116651602355</v>
      </c>
      <c r="F2766" s="2">
        <v>77981835</v>
      </c>
      <c r="G2766">
        <v>3175.19</v>
      </c>
      <c r="H2766">
        <v>3177.68</v>
      </c>
      <c r="I2766">
        <v>3159.37</v>
      </c>
      <c r="J2766">
        <v>3759194349</v>
      </c>
      <c r="K2766">
        <v>559430</v>
      </c>
      <c r="L2766" s="2">
        <f>VLOOKUP(A2766,[1]aaabonddata!$A:$B,2,0)</f>
        <v>3.04</v>
      </c>
    </row>
    <row r="2767" spans="1:12" x14ac:dyDescent="0.2">
      <c r="A2767" s="3">
        <v>42783</v>
      </c>
      <c r="B2767" s="2">
        <v>5324.72</v>
      </c>
      <c r="C2767" s="2">
        <v>5324.72</v>
      </c>
      <c r="D2767" s="2">
        <v>5291.7</v>
      </c>
      <c r="E2767" s="2">
        <v>6144440795385</v>
      </c>
      <c r="F2767" s="2">
        <v>108089386</v>
      </c>
      <c r="G2767">
        <v>3186.28</v>
      </c>
      <c r="H2767">
        <v>3186.28</v>
      </c>
      <c r="I2767">
        <v>3155.19</v>
      </c>
      <c r="J2767">
        <v>3772322570</v>
      </c>
      <c r="K2767">
        <v>307598</v>
      </c>
      <c r="L2767" s="2">
        <f>VLOOKUP(A2767,[1]aaabonddata!$A:$B,2,0)</f>
        <v>3.02</v>
      </c>
    </row>
    <row r="2768" spans="1:12" x14ac:dyDescent="0.2">
      <c r="A2768" s="3">
        <v>42787</v>
      </c>
      <c r="B2768" s="2">
        <v>5350.73</v>
      </c>
      <c r="C2768" s="2">
        <v>5353.16</v>
      </c>
      <c r="D2768" s="2">
        <v>5330.47</v>
      </c>
      <c r="E2768" s="2">
        <v>6174448594175</v>
      </c>
      <c r="F2768" s="2">
        <v>0</v>
      </c>
      <c r="G2768">
        <v>3206.35</v>
      </c>
      <c r="H2768">
        <v>3208.06</v>
      </c>
      <c r="I2768">
        <v>3191.18</v>
      </c>
      <c r="J2768">
        <v>3796089897</v>
      </c>
      <c r="K2768">
        <v>0</v>
      </c>
      <c r="L2768" s="2">
        <f>VLOOKUP(A2768,[1]aaabonddata!$A:$B,2,0)</f>
        <v>3.03</v>
      </c>
    </row>
    <row r="2769" spans="1:12" x14ac:dyDescent="0.2">
      <c r="A2769" s="3">
        <v>42788</v>
      </c>
      <c r="B2769" s="2">
        <v>5352.13</v>
      </c>
      <c r="C2769" s="2">
        <v>5354.73</v>
      </c>
      <c r="D2769" s="2">
        <v>5335.8</v>
      </c>
      <c r="E2769" s="2">
        <v>6176074041622</v>
      </c>
      <c r="F2769" s="2">
        <v>331280698</v>
      </c>
      <c r="G2769">
        <v>3210.02</v>
      </c>
      <c r="H2769">
        <v>3211.56</v>
      </c>
      <c r="I2769">
        <v>3194.66</v>
      </c>
      <c r="J2769">
        <v>3800436580</v>
      </c>
      <c r="K2769">
        <v>763648</v>
      </c>
      <c r="L2769" s="2">
        <f>VLOOKUP(A2769,[1]aaabonddata!$A:$B,2,0)</f>
        <v>3.02</v>
      </c>
    </row>
    <row r="2770" spans="1:12" x14ac:dyDescent="0.2">
      <c r="A2770" s="3">
        <v>42789</v>
      </c>
      <c r="B2770" s="2">
        <v>5332.37</v>
      </c>
      <c r="C2770" s="2">
        <v>5358.53</v>
      </c>
      <c r="D2770" s="2">
        <v>5309.99</v>
      </c>
      <c r="E2770" s="2">
        <v>6153270682231</v>
      </c>
      <c r="F2770" s="2">
        <v>31499925</v>
      </c>
      <c r="G2770">
        <v>3187.91</v>
      </c>
      <c r="H2770">
        <v>3211.49</v>
      </c>
      <c r="I2770">
        <v>3171.63</v>
      </c>
      <c r="J2770">
        <v>3774253067</v>
      </c>
      <c r="K2770">
        <v>0</v>
      </c>
      <c r="L2770" s="2">
        <f>VLOOKUP(A2770,[1]aaabonddata!$A:$B,2,0)</f>
        <v>3</v>
      </c>
    </row>
    <row r="2771" spans="1:12" x14ac:dyDescent="0.2">
      <c r="A2771" s="3">
        <v>42790</v>
      </c>
      <c r="B2771" s="2">
        <v>5343.31</v>
      </c>
      <c r="C2771" s="2">
        <v>5343.31</v>
      </c>
      <c r="D2771" s="2">
        <v>5304.01</v>
      </c>
      <c r="E2771" s="2">
        <v>6165897008276</v>
      </c>
      <c r="F2771" s="2">
        <v>168599000</v>
      </c>
      <c r="G2771">
        <v>3196.79</v>
      </c>
      <c r="H2771">
        <v>3196.79</v>
      </c>
      <c r="I2771">
        <v>3154.7</v>
      </c>
      <c r="J2771">
        <v>3784768993</v>
      </c>
      <c r="K2771">
        <v>0</v>
      </c>
      <c r="L2771" s="2">
        <f>VLOOKUP(A2771,[1]aaabonddata!$A:$B,2,0)</f>
        <v>2.94</v>
      </c>
    </row>
    <row r="2772" spans="1:12" x14ac:dyDescent="0.2">
      <c r="A2772" s="3">
        <v>42793</v>
      </c>
      <c r="B2772" s="2">
        <v>5347.55</v>
      </c>
      <c r="C2772" s="2">
        <v>5347.88</v>
      </c>
      <c r="D2772" s="2">
        <v>5322.13</v>
      </c>
      <c r="E2772" s="2">
        <v>6170783840028</v>
      </c>
      <c r="F2772" s="2">
        <v>782749943</v>
      </c>
      <c r="G2772">
        <v>3203.51</v>
      </c>
      <c r="H2772">
        <v>3203.8</v>
      </c>
      <c r="I2772">
        <v>3184.66</v>
      </c>
      <c r="J2772">
        <v>3792725296</v>
      </c>
      <c r="K2772">
        <v>797472</v>
      </c>
      <c r="L2772" s="2">
        <f>VLOOKUP(A2772,[1]aaabonddata!$A:$B,2,0)</f>
        <v>2.98</v>
      </c>
    </row>
    <row r="2773" spans="1:12" x14ac:dyDescent="0.2">
      <c r="A2773" s="3">
        <v>42794</v>
      </c>
      <c r="B2773" s="2">
        <v>5330.31</v>
      </c>
      <c r="C2773" s="2">
        <v>5347.47</v>
      </c>
      <c r="D2773" s="2">
        <v>5316.7</v>
      </c>
      <c r="E2773" s="2">
        <v>6150884983685</v>
      </c>
      <c r="F2773" s="2">
        <v>93481869</v>
      </c>
      <c r="G2773">
        <v>3187.54</v>
      </c>
      <c r="H2773">
        <v>3201.3</v>
      </c>
      <c r="I2773">
        <v>3181.16</v>
      </c>
      <c r="J2773">
        <v>3773822213</v>
      </c>
      <c r="K2773">
        <v>849858</v>
      </c>
      <c r="L2773" s="2">
        <f>VLOOKUP(A2773,[1]aaabonddata!$A:$B,2,0)</f>
        <v>3.03</v>
      </c>
    </row>
    <row r="2774" spans="1:12" x14ac:dyDescent="0.2">
      <c r="A2774" s="3">
        <v>42795</v>
      </c>
      <c r="B2774" s="2">
        <v>5390.99</v>
      </c>
      <c r="C2774" s="2">
        <v>5398.43</v>
      </c>
      <c r="D2774" s="2">
        <v>5355.38</v>
      </c>
      <c r="E2774" s="2">
        <v>6220911140012</v>
      </c>
      <c r="F2774" s="2">
        <v>807486537</v>
      </c>
      <c r="G2774">
        <v>3233.61</v>
      </c>
      <c r="H2774">
        <v>3236.93</v>
      </c>
      <c r="I2774">
        <v>3198.3</v>
      </c>
      <c r="J2774">
        <v>3828359217</v>
      </c>
      <c r="K2774">
        <v>474067</v>
      </c>
      <c r="L2774" s="2">
        <f>VLOOKUP(A2774,[1]aaabonddata!$A:$B,2,0)</f>
        <v>3.11</v>
      </c>
    </row>
    <row r="2775" spans="1:12" x14ac:dyDescent="0.2">
      <c r="A2775" s="3">
        <v>42796</v>
      </c>
      <c r="B2775" s="2">
        <v>5363.26</v>
      </c>
      <c r="C2775" s="2">
        <v>5387.73</v>
      </c>
      <c r="D2775" s="2">
        <v>5355.53</v>
      </c>
      <c r="E2775" s="2">
        <v>6188911556856</v>
      </c>
      <c r="F2775" s="2">
        <v>0</v>
      </c>
      <c r="G2775">
        <v>3207.81</v>
      </c>
      <c r="H2775">
        <v>3230.94</v>
      </c>
      <c r="I2775">
        <v>3203.25</v>
      </c>
      <c r="J2775">
        <v>3797815330</v>
      </c>
      <c r="K2775">
        <v>0</v>
      </c>
      <c r="L2775" s="2">
        <f>VLOOKUP(A2775,[1]aaabonddata!$A:$B,2,0)</f>
        <v>3.12</v>
      </c>
    </row>
    <row r="2776" spans="1:12" x14ac:dyDescent="0.2">
      <c r="A2776" s="3">
        <v>42797</v>
      </c>
      <c r="B2776" s="2">
        <v>5373.48</v>
      </c>
      <c r="C2776" s="2">
        <v>5373.48</v>
      </c>
      <c r="D2776" s="2">
        <v>5344.48</v>
      </c>
      <c r="E2776" s="2">
        <v>6200703985772</v>
      </c>
      <c r="F2776" s="2">
        <v>0</v>
      </c>
      <c r="G2776">
        <v>3213.87</v>
      </c>
      <c r="H2776">
        <v>3214.62</v>
      </c>
      <c r="I2776">
        <v>3198.82</v>
      </c>
      <c r="J2776">
        <v>3804985711</v>
      </c>
      <c r="K2776">
        <v>0</v>
      </c>
      <c r="L2776" s="2">
        <f>VLOOKUP(A2776,[1]aaabonddata!$A:$B,2,0)</f>
        <v>3.11</v>
      </c>
    </row>
    <row r="2777" spans="1:12" x14ac:dyDescent="0.2">
      <c r="A2777" s="3">
        <v>42800</v>
      </c>
      <c r="B2777" s="2">
        <v>5360.31</v>
      </c>
      <c r="C2777" s="2">
        <v>5368.27</v>
      </c>
      <c r="D2777" s="2">
        <v>5338.61</v>
      </c>
      <c r="E2777" s="2">
        <v>6185512185777</v>
      </c>
      <c r="F2777" s="2">
        <v>73273482</v>
      </c>
      <c r="G2777">
        <v>3206.72</v>
      </c>
      <c r="H2777">
        <v>3211.66</v>
      </c>
      <c r="I2777">
        <v>3185.35</v>
      </c>
      <c r="J2777">
        <v>3796527374</v>
      </c>
      <c r="K2777">
        <v>430828</v>
      </c>
      <c r="L2777" s="2">
        <f>VLOOKUP(A2777,[1]aaabonddata!$A:$B,2,0)</f>
        <v>3.12</v>
      </c>
    </row>
    <row r="2778" spans="1:12" x14ac:dyDescent="0.2">
      <c r="A2778" s="3">
        <v>42801</v>
      </c>
      <c r="B2778" s="2">
        <v>5351.28</v>
      </c>
      <c r="C2778" s="2">
        <v>5373.26</v>
      </c>
      <c r="D2778" s="2">
        <v>5341.43</v>
      </c>
      <c r="E2778" s="2">
        <v>6175090186064</v>
      </c>
      <c r="F2778" s="2">
        <v>38424370</v>
      </c>
      <c r="G2778">
        <v>3204.5</v>
      </c>
      <c r="H2778">
        <v>3218.47</v>
      </c>
      <c r="I2778">
        <v>3193.62</v>
      </c>
      <c r="J2778">
        <v>3793894707</v>
      </c>
      <c r="K2778">
        <v>0</v>
      </c>
      <c r="L2778" s="2">
        <f>VLOOKUP(A2778,[1]aaabonddata!$A:$B,2,0)</f>
        <v>3.15</v>
      </c>
    </row>
    <row r="2779" spans="1:12" x14ac:dyDescent="0.2">
      <c r="A2779" s="3">
        <v>42802</v>
      </c>
      <c r="B2779" s="2">
        <v>5359.8</v>
      </c>
      <c r="C2779" s="2">
        <v>5375.77</v>
      </c>
      <c r="D2779" s="2">
        <v>5348.73</v>
      </c>
      <c r="E2779" s="2">
        <v>6184925746444</v>
      </c>
      <c r="F2779" s="2">
        <v>383429653</v>
      </c>
      <c r="G2779">
        <v>3210.65</v>
      </c>
      <c r="H2779">
        <v>3221.38</v>
      </c>
      <c r="I2779">
        <v>3203.88</v>
      </c>
      <c r="J2779">
        <v>3801179593</v>
      </c>
      <c r="K2779">
        <v>0</v>
      </c>
      <c r="L2779" s="2">
        <f>VLOOKUP(A2779,[1]aaabonddata!$A:$B,2,0)</f>
        <v>3.19</v>
      </c>
    </row>
    <row r="2780" spans="1:12" x14ac:dyDescent="0.2">
      <c r="A2780" s="3">
        <v>42803</v>
      </c>
      <c r="B2780" s="2">
        <v>5363.98</v>
      </c>
      <c r="C2780" s="2">
        <v>5370.66</v>
      </c>
      <c r="D2780" s="2">
        <v>5336.08</v>
      </c>
      <c r="E2780" s="2">
        <v>6189746346964</v>
      </c>
      <c r="F2780" s="2">
        <v>0</v>
      </c>
      <c r="G2780">
        <v>3206.32</v>
      </c>
      <c r="H2780">
        <v>3211.88</v>
      </c>
      <c r="I2780">
        <v>3186.72</v>
      </c>
      <c r="J2780">
        <v>3796057176</v>
      </c>
      <c r="K2780">
        <v>0</v>
      </c>
      <c r="L2780" s="2">
        <f>VLOOKUP(A2780,[1]aaabonddata!$A:$B,2,0)</f>
        <v>3.23</v>
      </c>
    </row>
    <row r="2781" spans="1:12" x14ac:dyDescent="0.2">
      <c r="A2781" s="3">
        <v>42804</v>
      </c>
      <c r="B2781" s="2">
        <v>5385.9</v>
      </c>
      <c r="C2781" s="2">
        <v>5394.66</v>
      </c>
      <c r="D2781" s="2">
        <v>5364.1</v>
      </c>
      <c r="E2781" s="2">
        <v>6215037333527</v>
      </c>
      <c r="F2781" s="2">
        <v>0</v>
      </c>
      <c r="G2781">
        <v>3232.08</v>
      </c>
      <c r="H2781">
        <v>3236.89</v>
      </c>
      <c r="I2781">
        <v>3215.87</v>
      </c>
      <c r="J2781">
        <v>3826554731</v>
      </c>
      <c r="K2781">
        <v>0</v>
      </c>
      <c r="L2781" s="2">
        <f>VLOOKUP(A2781,[1]aaabonddata!$A:$B,2,0)</f>
        <v>3.22</v>
      </c>
    </row>
    <row r="2782" spans="1:12" x14ac:dyDescent="0.2">
      <c r="A2782" s="3">
        <v>42807</v>
      </c>
      <c r="B2782" s="2">
        <v>5394.57</v>
      </c>
      <c r="C2782" s="2">
        <v>5396.39</v>
      </c>
      <c r="D2782" s="2">
        <v>5382.02</v>
      </c>
      <c r="E2782" s="2">
        <v>6225046593449</v>
      </c>
      <c r="F2782" s="2">
        <v>403435939</v>
      </c>
      <c r="G2782">
        <v>3258.06</v>
      </c>
      <c r="H2782">
        <v>3260.27</v>
      </c>
      <c r="I2782">
        <v>3233.71</v>
      </c>
      <c r="J2782">
        <v>3857305309</v>
      </c>
      <c r="K2782">
        <v>0</v>
      </c>
      <c r="L2782" s="2">
        <f>VLOOKUP(A2782,[1]aaabonddata!$A:$B,2,0)</f>
        <v>3.25</v>
      </c>
    </row>
    <row r="2783" spans="1:12" x14ac:dyDescent="0.2">
      <c r="A2783" s="3">
        <v>42808</v>
      </c>
      <c r="B2783" s="2">
        <v>5382.17</v>
      </c>
      <c r="C2783" s="2">
        <v>5384.88</v>
      </c>
      <c r="D2783" s="2">
        <v>5360.7</v>
      </c>
      <c r="E2783" s="2">
        <v>6210731294308</v>
      </c>
      <c r="F2783" s="2">
        <v>685077157</v>
      </c>
      <c r="G2783">
        <v>3242.86</v>
      </c>
      <c r="H2783">
        <v>3250.71</v>
      </c>
      <c r="I2783">
        <v>3223.62</v>
      </c>
      <c r="J2783">
        <v>3839308709</v>
      </c>
      <c r="K2783">
        <v>0</v>
      </c>
      <c r="L2783" s="2">
        <f>VLOOKUP(A2783,[1]aaabonddata!$A:$B,2,0)</f>
        <v>3.25</v>
      </c>
    </row>
    <row r="2784" spans="1:12" x14ac:dyDescent="0.2">
      <c r="A2784" s="3">
        <v>42809</v>
      </c>
      <c r="B2784" s="2">
        <v>5416.25</v>
      </c>
      <c r="C2784" s="2">
        <v>5426.84</v>
      </c>
      <c r="D2784" s="2">
        <v>5375.88</v>
      </c>
      <c r="E2784" s="2">
        <v>6250062855125</v>
      </c>
      <c r="F2784" s="2">
        <v>0</v>
      </c>
      <c r="G2784">
        <v>3265.66</v>
      </c>
      <c r="H2784">
        <v>3270.12</v>
      </c>
      <c r="I2784">
        <v>3233.17</v>
      </c>
      <c r="J2784">
        <v>3866310298</v>
      </c>
      <c r="K2784">
        <v>0</v>
      </c>
      <c r="L2784" s="2">
        <f>VLOOKUP(A2784,[1]aaabonddata!$A:$B,2,0)</f>
        <v>3.17</v>
      </c>
    </row>
    <row r="2785" spans="1:12" x14ac:dyDescent="0.2">
      <c r="A2785" s="3">
        <v>42810</v>
      </c>
      <c r="B2785" s="2">
        <v>5412.08</v>
      </c>
      <c r="C2785" s="2">
        <v>5423.66</v>
      </c>
      <c r="D2785" s="2">
        <v>5399.27</v>
      </c>
      <c r="E2785" s="2">
        <v>6245248349281</v>
      </c>
      <c r="F2785" s="2">
        <v>405276096</v>
      </c>
      <c r="G2785">
        <v>3265.53</v>
      </c>
      <c r="H2785">
        <v>3277.25</v>
      </c>
      <c r="I2785">
        <v>3258.8</v>
      </c>
      <c r="J2785">
        <v>3866157495</v>
      </c>
      <c r="K2785">
        <v>571685</v>
      </c>
      <c r="L2785" s="2">
        <f>VLOOKUP(A2785,[1]aaabonddata!$A:$B,2,0)</f>
        <v>3.18</v>
      </c>
    </row>
    <row r="2786" spans="1:12" x14ac:dyDescent="0.2">
      <c r="A2786" s="3">
        <v>42811</v>
      </c>
      <c r="B2786" s="2">
        <v>5408.76</v>
      </c>
      <c r="C2786" s="2">
        <v>5423.28</v>
      </c>
      <c r="D2786" s="2">
        <v>5406.81</v>
      </c>
      <c r="E2786" s="2">
        <v>6241421996037</v>
      </c>
      <c r="F2786" s="2">
        <v>0</v>
      </c>
      <c r="G2786">
        <v>3273</v>
      </c>
      <c r="H2786">
        <v>3283.91</v>
      </c>
      <c r="I2786">
        <v>3272.12</v>
      </c>
      <c r="J2786">
        <v>3874995039</v>
      </c>
      <c r="K2786">
        <v>0</v>
      </c>
      <c r="L2786" s="2">
        <f>VLOOKUP(A2786,[1]aaabonddata!$A:$B,2,0)</f>
        <v>3.16</v>
      </c>
    </row>
    <row r="2787" spans="1:12" x14ac:dyDescent="0.2">
      <c r="A2787" s="3">
        <v>42814</v>
      </c>
      <c r="B2787" s="2">
        <v>5413.31</v>
      </c>
      <c r="C2787" s="2">
        <v>5426.47</v>
      </c>
      <c r="D2787" s="2">
        <v>5400.16</v>
      </c>
      <c r="E2787" s="2">
        <v>6230006547135</v>
      </c>
      <c r="F2787" s="2">
        <v>185961431</v>
      </c>
      <c r="G2787">
        <v>3279.14</v>
      </c>
      <c r="H2787">
        <v>3291.15</v>
      </c>
      <c r="I2787">
        <v>3270.61</v>
      </c>
      <c r="J2787">
        <v>3406381634</v>
      </c>
      <c r="K2787">
        <v>1611253</v>
      </c>
      <c r="L2787" s="2">
        <f>VLOOKUP(A2787,[1]aaabonddata!$A:$B,2,0)</f>
        <v>3.14</v>
      </c>
    </row>
    <row r="2788" spans="1:12" x14ac:dyDescent="0.2">
      <c r="A2788" s="3">
        <v>42815</v>
      </c>
      <c r="B2788" s="2">
        <v>5332.53</v>
      </c>
      <c r="C2788" s="2">
        <v>5439.58</v>
      </c>
      <c r="D2788" s="2">
        <v>5328.71</v>
      </c>
      <c r="E2788" s="2">
        <v>6137044761474</v>
      </c>
      <c r="F2788" s="2">
        <v>0</v>
      </c>
      <c r="G2788">
        <v>3213.9</v>
      </c>
      <c r="H2788">
        <v>3292.88</v>
      </c>
      <c r="I2788">
        <v>3210.09</v>
      </c>
      <c r="J2788">
        <v>3338606256</v>
      </c>
      <c r="K2788">
        <v>0</v>
      </c>
      <c r="L2788" s="2">
        <f>VLOOKUP(A2788,[1]aaabonddata!$A:$B,2,0)</f>
        <v>3.11</v>
      </c>
    </row>
    <row r="2789" spans="1:12" x14ac:dyDescent="0.2">
      <c r="A2789" s="3">
        <v>42816</v>
      </c>
      <c r="B2789" s="2">
        <v>5367.55</v>
      </c>
      <c r="C2789" s="2">
        <v>5372.27</v>
      </c>
      <c r="D2789" s="2">
        <v>5327.25</v>
      </c>
      <c r="E2789" s="2">
        <v>6177350849297</v>
      </c>
      <c r="F2789" s="2">
        <v>0</v>
      </c>
      <c r="G2789">
        <v>3244.71</v>
      </c>
      <c r="H2789">
        <v>3246.35</v>
      </c>
      <c r="I2789">
        <v>3210.36</v>
      </c>
      <c r="J2789">
        <v>3370612874</v>
      </c>
      <c r="K2789">
        <v>0</v>
      </c>
      <c r="L2789" s="2">
        <f>VLOOKUP(A2789,[1]aaabonddata!$A:$B,2,0)</f>
        <v>3.08</v>
      </c>
    </row>
    <row r="2790" spans="1:12" x14ac:dyDescent="0.2">
      <c r="A2790" s="3">
        <v>42817</v>
      </c>
      <c r="B2790" s="2">
        <v>5355.14</v>
      </c>
      <c r="C2790" s="2">
        <v>5375.43</v>
      </c>
      <c r="D2790" s="2">
        <v>5346.3</v>
      </c>
      <c r="E2790" s="2">
        <v>6163066419540</v>
      </c>
      <c r="F2790" s="2">
        <v>0</v>
      </c>
      <c r="G2790">
        <v>3243.3</v>
      </c>
      <c r="H2790">
        <v>3255.18</v>
      </c>
      <c r="I2790">
        <v>3233.23</v>
      </c>
      <c r="J2790">
        <v>3369152447</v>
      </c>
      <c r="K2790">
        <v>0</v>
      </c>
      <c r="L2790" s="2">
        <f>VLOOKUP(A2790,[1]aaabonddata!$A:$B,2,0)</f>
        <v>3.09</v>
      </c>
    </row>
    <row r="2791" spans="1:12" x14ac:dyDescent="0.2">
      <c r="A2791" s="3">
        <v>42818</v>
      </c>
      <c r="B2791" s="2">
        <v>5364</v>
      </c>
      <c r="C2791" s="2">
        <v>5392.28</v>
      </c>
      <c r="D2791" s="2">
        <v>5345.94</v>
      </c>
      <c r="E2791" s="2">
        <v>6173254281053</v>
      </c>
      <c r="F2791" s="2">
        <v>0</v>
      </c>
      <c r="G2791">
        <v>3260.21</v>
      </c>
      <c r="H2791">
        <v>3291.64</v>
      </c>
      <c r="I2791">
        <v>3249.5</v>
      </c>
      <c r="J2791">
        <v>3386713229</v>
      </c>
      <c r="K2791">
        <v>0</v>
      </c>
      <c r="L2791" s="2">
        <f>VLOOKUP(A2791,[1]aaabonddata!$A:$B,2,0)</f>
        <v>3.07</v>
      </c>
    </row>
    <row r="2792" spans="1:12" x14ac:dyDescent="0.2">
      <c r="A2792" s="3">
        <v>42821</v>
      </c>
      <c r="B2792" s="2">
        <v>5374.27</v>
      </c>
      <c r="C2792" s="2">
        <v>5383.22</v>
      </c>
      <c r="D2792" s="2">
        <v>5316.02</v>
      </c>
      <c r="E2792" s="2">
        <v>6185082590079</v>
      </c>
      <c r="F2792" s="2">
        <v>0</v>
      </c>
      <c r="G2792">
        <v>3261.93</v>
      </c>
      <c r="H2792">
        <v>3269.32</v>
      </c>
      <c r="I2792">
        <v>3223.29</v>
      </c>
      <c r="J2792">
        <v>3388496517</v>
      </c>
      <c r="K2792">
        <v>0</v>
      </c>
      <c r="L2792" s="2">
        <f>VLOOKUP(A2792,[1]aaabonddata!$A:$B,2,0)</f>
        <v>3.06</v>
      </c>
    </row>
    <row r="2793" spans="1:12" x14ac:dyDescent="0.2">
      <c r="A2793" s="3">
        <v>42822</v>
      </c>
      <c r="B2793" s="2">
        <v>5407.21</v>
      </c>
      <c r="C2793" s="2">
        <v>5422.25</v>
      </c>
      <c r="D2793" s="2">
        <v>5363.29</v>
      </c>
      <c r="E2793" s="2">
        <v>6222986735390</v>
      </c>
      <c r="F2793" s="2">
        <v>225554087</v>
      </c>
      <c r="G2793">
        <v>3274.42</v>
      </c>
      <c r="H2793">
        <v>3284.64</v>
      </c>
      <c r="I2793">
        <v>3256.52</v>
      </c>
      <c r="J2793">
        <v>3401476277</v>
      </c>
      <c r="K2793">
        <v>0</v>
      </c>
      <c r="L2793" s="2">
        <f>VLOOKUP(A2793,[1]aaabonddata!$A:$B,2,0)</f>
        <v>3.08</v>
      </c>
    </row>
    <row r="2794" spans="1:12" x14ac:dyDescent="0.2">
      <c r="A2794" s="3">
        <v>42823</v>
      </c>
      <c r="B2794" s="2">
        <v>5430.27</v>
      </c>
      <c r="C2794" s="2">
        <v>5433.36</v>
      </c>
      <c r="D2794" s="2">
        <v>5405.1</v>
      </c>
      <c r="E2794" s="2">
        <v>6249525048923</v>
      </c>
      <c r="F2794" s="2">
        <v>454293570</v>
      </c>
      <c r="G2794">
        <v>3276.94</v>
      </c>
      <c r="H2794">
        <v>3278.38</v>
      </c>
      <c r="I2794">
        <v>3261.88</v>
      </c>
      <c r="J2794">
        <v>3404090919</v>
      </c>
      <c r="K2794">
        <v>650449</v>
      </c>
      <c r="L2794" s="2">
        <f>VLOOKUP(A2794,[1]aaabonddata!$A:$B,2,0)</f>
        <v>3.06</v>
      </c>
    </row>
    <row r="2795" spans="1:12" x14ac:dyDescent="0.2">
      <c r="A2795" s="3">
        <v>42824</v>
      </c>
      <c r="B2795" s="2">
        <v>5439.74</v>
      </c>
      <c r="C2795" s="2">
        <v>5446.51</v>
      </c>
      <c r="D2795" s="2">
        <v>5425.3</v>
      </c>
      <c r="E2795" s="2">
        <v>6260428477863</v>
      </c>
      <c r="F2795" s="2">
        <v>0</v>
      </c>
      <c r="G2795">
        <v>3283.28</v>
      </c>
      <c r="H2795">
        <v>3293.59</v>
      </c>
      <c r="I2795">
        <v>3274.23</v>
      </c>
      <c r="J2795">
        <v>3410676307</v>
      </c>
      <c r="K2795">
        <v>0</v>
      </c>
      <c r="L2795" s="2">
        <f>VLOOKUP(A2795,[1]aaabonddata!$A:$B,2,0)</f>
        <v>3.08</v>
      </c>
    </row>
    <row r="2796" spans="1:12" x14ac:dyDescent="0.2">
      <c r="A2796" s="3">
        <v>42825</v>
      </c>
      <c r="B2796" s="2">
        <v>5436.23</v>
      </c>
      <c r="C2796" s="2">
        <v>5451.5</v>
      </c>
      <c r="D2796" s="2">
        <v>5427.5</v>
      </c>
      <c r="E2796" s="2">
        <v>6256389647217</v>
      </c>
      <c r="F2796" s="2">
        <v>0</v>
      </c>
      <c r="G2796">
        <v>3275.53</v>
      </c>
      <c r="H2796">
        <v>3287.96</v>
      </c>
      <c r="I2796">
        <v>3273.19</v>
      </c>
      <c r="J2796">
        <v>3402633535</v>
      </c>
      <c r="K2796">
        <v>0</v>
      </c>
      <c r="L2796" s="2">
        <f>VLOOKUP(A2796,[1]aaabonddata!$A:$B,2,0)</f>
        <v>3.07</v>
      </c>
    </row>
    <row r="2797" spans="1:12" x14ac:dyDescent="0.2">
      <c r="A2797" s="3">
        <v>42828</v>
      </c>
      <c r="B2797" s="2">
        <v>5432.2</v>
      </c>
      <c r="C2797" s="2">
        <v>5453.44</v>
      </c>
      <c r="D2797" s="2">
        <v>5403.31</v>
      </c>
      <c r="E2797" s="2">
        <v>6251748981160</v>
      </c>
      <c r="F2797" s="2">
        <v>745402555</v>
      </c>
      <c r="G2797">
        <v>3262.87</v>
      </c>
      <c r="H2797">
        <v>3282.76</v>
      </c>
      <c r="I2797">
        <v>3241.6</v>
      </c>
      <c r="J2797">
        <v>3389481823</v>
      </c>
      <c r="K2797">
        <v>0</v>
      </c>
      <c r="L2797" s="2">
        <f>VLOOKUP(A2797,[1]aaabonddata!$A:$B,2,0)</f>
        <v>3.03</v>
      </c>
    </row>
    <row r="2798" spans="1:12" x14ac:dyDescent="0.2">
      <c r="A2798" s="3">
        <v>42829</v>
      </c>
      <c r="B2798" s="2">
        <v>5440.41</v>
      </c>
      <c r="C2798" s="2">
        <v>5441.34</v>
      </c>
      <c r="D2798" s="2">
        <v>5415.3</v>
      </c>
      <c r="E2798" s="2">
        <v>6261194371833</v>
      </c>
      <c r="F2798" s="2">
        <v>1452278312</v>
      </c>
      <c r="G2798">
        <v>3259.39</v>
      </c>
      <c r="H2798">
        <v>3267.98</v>
      </c>
      <c r="I2798">
        <v>3246.7</v>
      </c>
      <c r="J2798">
        <v>3385857566</v>
      </c>
      <c r="K2798">
        <v>847210</v>
      </c>
      <c r="L2798" s="2">
        <f>VLOOKUP(A2798,[1]aaabonddata!$A:$B,2,0)</f>
        <v>3.04</v>
      </c>
    </row>
    <row r="2799" spans="1:12" x14ac:dyDescent="0.2">
      <c r="A2799" s="3">
        <v>42830</v>
      </c>
      <c r="B2799" s="2">
        <v>5418.52</v>
      </c>
      <c r="C2799" s="2">
        <v>5479.86</v>
      </c>
      <c r="D2799" s="2">
        <v>5409.04</v>
      </c>
      <c r="E2799" s="2">
        <v>6240785196116</v>
      </c>
      <c r="F2799" s="2">
        <v>0</v>
      </c>
      <c r="G2799">
        <v>3243.77</v>
      </c>
      <c r="H2799">
        <v>3288.92</v>
      </c>
      <c r="I2799">
        <v>3238.22</v>
      </c>
      <c r="J2799">
        <v>3369631682</v>
      </c>
      <c r="K2799">
        <v>0</v>
      </c>
      <c r="L2799" s="2">
        <f>VLOOKUP(A2799,[1]aaabonddata!$A:$B,2,0)</f>
        <v>3.04</v>
      </c>
    </row>
    <row r="2800" spans="1:12" x14ac:dyDescent="0.2">
      <c r="A2800" s="3">
        <v>42831</v>
      </c>
      <c r="B2800" s="2">
        <v>5420.88</v>
      </c>
      <c r="C2800" s="2">
        <v>5435.06</v>
      </c>
      <c r="D2800" s="2">
        <v>5407.87</v>
      </c>
      <c r="E2800" s="2">
        <v>6243498217216</v>
      </c>
      <c r="F2800" s="2">
        <v>86967011</v>
      </c>
      <c r="G2800">
        <v>3253.56</v>
      </c>
      <c r="H2800">
        <v>3260.98</v>
      </c>
      <c r="I2800">
        <v>3231.1</v>
      </c>
      <c r="J2800">
        <v>3379803428</v>
      </c>
      <c r="K2800">
        <v>274370</v>
      </c>
      <c r="L2800" s="2">
        <f>VLOOKUP(A2800,[1]aaabonddata!$A:$B,2,0)</f>
        <v>3.03</v>
      </c>
    </row>
    <row r="2801" spans="1:12" x14ac:dyDescent="0.2">
      <c r="A2801" s="3">
        <v>42832</v>
      </c>
      <c r="B2801" s="2">
        <v>5418.37</v>
      </c>
      <c r="C2801" s="2">
        <v>5434.18</v>
      </c>
      <c r="D2801" s="2">
        <v>5400.08</v>
      </c>
      <c r="E2801" s="2">
        <v>6240606832053</v>
      </c>
      <c r="F2801" s="2">
        <v>0</v>
      </c>
      <c r="G2801">
        <v>3263.16</v>
      </c>
      <c r="H2801">
        <v>3268.33</v>
      </c>
      <c r="I2801">
        <v>3241.05</v>
      </c>
      <c r="J2801">
        <v>3389780083</v>
      </c>
      <c r="K2801">
        <v>0</v>
      </c>
      <c r="L2801" s="2">
        <f>VLOOKUP(A2801,[1]aaabonddata!$A:$B,2,0)</f>
        <v>3.05</v>
      </c>
    </row>
    <row r="2802" spans="1:12" x14ac:dyDescent="0.2">
      <c r="A2802" s="3">
        <v>42835</v>
      </c>
      <c r="B2802" s="2">
        <v>5421.68</v>
      </c>
      <c r="C2802" s="2">
        <v>5442.71</v>
      </c>
      <c r="D2802" s="2">
        <v>5406.58</v>
      </c>
      <c r="E2802" s="2">
        <v>6244419053999</v>
      </c>
      <c r="F2802" s="2">
        <v>0</v>
      </c>
      <c r="G2802">
        <v>3256.2</v>
      </c>
      <c r="H2802">
        <v>3273.12</v>
      </c>
      <c r="I2802">
        <v>3246.53</v>
      </c>
      <c r="J2802">
        <v>3382553171</v>
      </c>
      <c r="K2802">
        <v>0</v>
      </c>
      <c r="L2802" s="2">
        <f>VLOOKUP(A2802,[1]aaabonddata!$A:$B,2,0)</f>
        <v>3.04</v>
      </c>
    </row>
    <row r="2803" spans="1:12" x14ac:dyDescent="0.2">
      <c r="A2803" s="3">
        <v>42836</v>
      </c>
      <c r="B2803" s="2">
        <v>5398.4</v>
      </c>
      <c r="C2803" s="2">
        <v>5422.79</v>
      </c>
      <c r="D2803" s="2">
        <v>5359.14</v>
      </c>
      <c r="E2803" s="2">
        <v>6217605835985</v>
      </c>
      <c r="F2803" s="2">
        <v>0</v>
      </c>
      <c r="G2803">
        <v>3244.27</v>
      </c>
      <c r="H2803">
        <v>3255.27</v>
      </c>
      <c r="I2803">
        <v>3208.66</v>
      </c>
      <c r="J2803">
        <v>3370157691</v>
      </c>
      <c r="K2803">
        <v>0</v>
      </c>
      <c r="L2803" s="2">
        <f>VLOOKUP(A2803,[1]aaabonddata!$A:$B,2,0)</f>
        <v>2.99</v>
      </c>
    </row>
    <row r="2804" spans="1:12" x14ac:dyDescent="0.2">
      <c r="A2804" s="3">
        <v>42837</v>
      </c>
      <c r="B2804" s="2">
        <v>5377.03</v>
      </c>
      <c r="C2804" s="2">
        <v>5399.55</v>
      </c>
      <c r="D2804" s="2">
        <v>5370.24</v>
      </c>
      <c r="E2804" s="2">
        <v>6192994511366</v>
      </c>
      <c r="F2804" s="2">
        <v>0</v>
      </c>
      <c r="G2804">
        <v>3212.89</v>
      </c>
      <c r="H2804">
        <v>3241.98</v>
      </c>
      <c r="I2804">
        <v>3206.25</v>
      </c>
      <c r="J2804">
        <v>3337563484</v>
      </c>
      <c r="K2804">
        <v>0</v>
      </c>
      <c r="L2804" s="2">
        <f>VLOOKUP(A2804,[1]aaabonddata!$A:$B,2,0)</f>
        <v>2.99</v>
      </c>
    </row>
    <row r="2805" spans="1:12" x14ac:dyDescent="0.2">
      <c r="A2805" s="3">
        <v>42838</v>
      </c>
      <c r="B2805" s="2">
        <v>5353.59</v>
      </c>
      <c r="C2805" s="2">
        <v>5398.99</v>
      </c>
      <c r="D2805" s="2">
        <v>5353.59</v>
      </c>
      <c r="E2805" s="2">
        <v>6165992461000</v>
      </c>
      <c r="F2805" s="2">
        <v>0</v>
      </c>
      <c r="G2805">
        <v>3203.11</v>
      </c>
      <c r="H2805">
        <v>3237.21</v>
      </c>
      <c r="I2805">
        <v>3199.68</v>
      </c>
      <c r="J2805">
        <v>3327394552</v>
      </c>
      <c r="K2805">
        <v>0</v>
      </c>
      <c r="L2805" s="2">
        <f>VLOOKUP(A2805,[1]aaabonddata!$A:$B,2,0)</f>
        <v>2.94</v>
      </c>
    </row>
    <row r="2806" spans="1:12" x14ac:dyDescent="0.2">
      <c r="A2806" s="3">
        <v>42842</v>
      </c>
      <c r="B2806" s="2">
        <v>5399.2</v>
      </c>
      <c r="C2806" s="2">
        <v>5399.2</v>
      </c>
      <c r="D2806" s="2">
        <v>5367.59</v>
      </c>
      <c r="E2806" s="2">
        <v>6218523551798</v>
      </c>
      <c r="F2806" s="2">
        <v>0</v>
      </c>
      <c r="G2806">
        <v>3229.68</v>
      </c>
      <c r="H2806">
        <v>3231.9</v>
      </c>
      <c r="I2806">
        <v>3213.05</v>
      </c>
      <c r="J2806">
        <v>3355002789</v>
      </c>
      <c r="K2806">
        <v>0</v>
      </c>
      <c r="L2806" s="2">
        <f>VLOOKUP(A2806,[1]aaabonddata!$A:$B,2,0)</f>
        <v>2.96</v>
      </c>
    </row>
    <row r="2807" spans="1:12" x14ac:dyDescent="0.2">
      <c r="A2807" s="3">
        <v>42843</v>
      </c>
      <c r="B2807" s="2">
        <v>5391.66</v>
      </c>
      <c r="C2807" s="2">
        <v>5405.54</v>
      </c>
      <c r="D2807" s="2">
        <v>5377.91</v>
      </c>
      <c r="E2807" s="2">
        <v>6209839399988</v>
      </c>
      <c r="F2807" s="2">
        <v>0</v>
      </c>
      <c r="G2807">
        <v>3231.22</v>
      </c>
      <c r="H2807">
        <v>3234.97</v>
      </c>
      <c r="I2807">
        <v>3215.38</v>
      </c>
      <c r="J2807">
        <v>3356599579</v>
      </c>
      <c r="K2807">
        <v>0</v>
      </c>
      <c r="L2807" s="2">
        <f>VLOOKUP(A2807,[1]aaabonddata!$A:$B,2,0)</f>
        <v>2.9</v>
      </c>
    </row>
    <row r="2808" spans="1:12" x14ac:dyDescent="0.2">
      <c r="A2808" s="3">
        <v>42844</v>
      </c>
      <c r="B2808" s="2">
        <v>5399.64</v>
      </c>
      <c r="C2808" s="2">
        <v>5431</v>
      </c>
      <c r="D2808" s="2">
        <v>5392.28</v>
      </c>
      <c r="E2808" s="2">
        <v>6219030466881</v>
      </c>
      <c r="F2808" s="2">
        <v>0</v>
      </c>
      <c r="G2808">
        <v>3251.15</v>
      </c>
      <c r="H2808">
        <v>3267.39</v>
      </c>
      <c r="I2808">
        <v>3246.34</v>
      </c>
      <c r="J2808">
        <v>3377307048</v>
      </c>
      <c r="K2808">
        <v>0</v>
      </c>
      <c r="L2808" s="2">
        <f>VLOOKUP(A2808,[1]aaabonddata!$A:$B,2,0)</f>
        <v>2.91</v>
      </c>
    </row>
    <row r="2809" spans="1:12" x14ac:dyDescent="0.2">
      <c r="A2809" s="3">
        <v>42845</v>
      </c>
      <c r="B2809" s="2">
        <v>5443.53</v>
      </c>
      <c r="C2809" s="2">
        <v>5455.88</v>
      </c>
      <c r="D2809" s="2">
        <v>5413.32</v>
      </c>
      <c r="E2809" s="2">
        <v>6269587423917</v>
      </c>
      <c r="F2809" s="2">
        <v>0</v>
      </c>
      <c r="G2809">
        <v>3285.54</v>
      </c>
      <c r="H2809">
        <v>3292.28</v>
      </c>
      <c r="I2809">
        <v>3254.5</v>
      </c>
      <c r="J2809">
        <v>3413031107</v>
      </c>
      <c r="K2809">
        <v>0</v>
      </c>
      <c r="L2809" s="2">
        <f>VLOOKUP(A2809,[1]aaabonddata!$A:$B,2,0)</f>
        <v>2.94</v>
      </c>
    </row>
    <row r="2810" spans="1:12" x14ac:dyDescent="0.2">
      <c r="A2810" s="3">
        <v>42846</v>
      </c>
      <c r="B2810" s="2">
        <v>5442.05</v>
      </c>
      <c r="C2810" s="2">
        <v>5450.81</v>
      </c>
      <c r="D2810" s="2">
        <v>5430.22</v>
      </c>
      <c r="E2810" s="2">
        <v>6267879614725</v>
      </c>
      <c r="F2810" s="2">
        <v>0</v>
      </c>
      <c r="G2810">
        <v>3277.67</v>
      </c>
      <c r="H2810">
        <v>3280.98</v>
      </c>
      <c r="I2810">
        <v>3265.55</v>
      </c>
      <c r="J2810">
        <v>3404850760</v>
      </c>
      <c r="K2810">
        <v>0</v>
      </c>
      <c r="L2810" s="2">
        <f>VLOOKUP(A2810,[1]aaabonddata!$A:$B,2,0)</f>
        <v>2.94</v>
      </c>
    </row>
    <row r="2811" spans="1:12" x14ac:dyDescent="0.2">
      <c r="A2811" s="3">
        <v>42849</v>
      </c>
      <c r="B2811" s="2">
        <v>5508.03</v>
      </c>
      <c r="C2811" s="2">
        <v>5513.57</v>
      </c>
      <c r="D2811" s="2">
        <v>5494.46</v>
      </c>
      <c r="E2811" s="2">
        <v>6350163077344</v>
      </c>
      <c r="F2811" s="2">
        <v>92563496</v>
      </c>
      <c r="G2811">
        <v>3326.41</v>
      </c>
      <c r="H2811">
        <v>3331.96</v>
      </c>
      <c r="I2811">
        <v>3313.99</v>
      </c>
      <c r="J2811">
        <v>3455480770</v>
      </c>
      <c r="K2811">
        <v>0</v>
      </c>
      <c r="L2811" s="2">
        <f>VLOOKUP(A2811,[1]aaabonddata!$A:$B,2,0)</f>
        <v>2.97</v>
      </c>
    </row>
    <row r="2812" spans="1:12" x14ac:dyDescent="0.2">
      <c r="A2812" s="3">
        <v>42850</v>
      </c>
      <c r="B2812" s="2">
        <v>5548.19</v>
      </c>
      <c r="C2812" s="2">
        <v>5557.93</v>
      </c>
      <c r="D2812" s="2">
        <v>5521.52</v>
      </c>
      <c r="E2812" s="2">
        <v>6396463700805</v>
      </c>
      <c r="F2812" s="2">
        <v>0</v>
      </c>
      <c r="G2812">
        <v>3355.25</v>
      </c>
      <c r="H2812">
        <v>3359.39</v>
      </c>
      <c r="I2812">
        <v>3334.59</v>
      </c>
      <c r="J2812">
        <v>3485437771</v>
      </c>
      <c r="K2812">
        <v>0</v>
      </c>
      <c r="L2812" s="2">
        <f>VLOOKUP(A2812,[1]aaabonddata!$A:$B,2,0)</f>
        <v>3.01</v>
      </c>
    </row>
    <row r="2813" spans="1:12" x14ac:dyDescent="0.2">
      <c r="A2813" s="3">
        <v>42851</v>
      </c>
      <c r="B2813" s="2">
        <v>5541.09</v>
      </c>
      <c r="C2813" s="2">
        <v>5563.97</v>
      </c>
      <c r="D2813" s="2">
        <v>5537.99</v>
      </c>
      <c r="E2813" s="2">
        <v>6388268978142</v>
      </c>
      <c r="F2813" s="2">
        <v>0</v>
      </c>
      <c r="G2813">
        <v>3317.13</v>
      </c>
      <c r="H2813">
        <v>3344.29</v>
      </c>
      <c r="I2813">
        <v>3314.16</v>
      </c>
      <c r="J2813">
        <v>3445840282</v>
      </c>
      <c r="K2813">
        <v>0</v>
      </c>
      <c r="L2813" s="2">
        <f>VLOOKUP(A2813,[1]aaabonddata!$A:$B,2,0)</f>
        <v>3</v>
      </c>
    </row>
    <row r="2814" spans="1:12" x14ac:dyDescent="0.2">
      <c r="A2814" s="3">
        <v>42852</v>
      </c>
      <c r="B2814" s="2">
        <v>5571.28</v>
      </c>
      <c r="C2814" s="2">
        <v>5573.26</v>
      </c>
      <c r="D2814" s="2">
        <v>5551.55</v>
      </c>
      <c r="E2814" s="2">
        <v>6423082673285</v>
      </c>
      <c r="F2814" s="2">
        <v>570669589</v>
      </c>
      <c r="G2814">
        <v>3348.86</v>
      </c>
      <c r="H2814">
        <v>3350.2</v>
      </c>
      <c r="I2814">
        <v>3330.62</v>
      </c>
      <c r="J2814">
        <v>3478808407</v>
      </c>
      <c r="K2814">
        <v>608273</v>
      </c>
      <c r="L2814" s="2">
        <f>VLOOKUP(A2814,[1]aaabonddata!$A:$B,2,0)</f>
        <v>2.99</v>
      </c>
    </row>
    <row r="2815" spans="1:12" x14ac:dyDescent="0.2">
      <c r="A2815" s="3">
        <v>42853</v>
      </c>
      <c r="B2815" s="2">
        <v>5583.53</v>
      </c>
      <c r="C2815" s="2">
        <v>5600</v>
      </c>
      <c r="D2815" s="2">
        <v>5575.21</v>
      </c>
      <c r="E2815" s="2">
        <v>6437202165337</v>
      </c>
      <c r="F2815" s="2">
        <v>0</v>
      </c>
      <c r="G2815">
        <v>3336.77</v>
      </c>
      <c r="H2815">
        <v>3357.14</v>
      </c>
      <c r="I2815">
        <v>3323.53</v>
      </c>
      <c r="J2815">
        <v>3466240262</v>
      </c>
      <c r="K2815">
        <v>0</v>
      </c>
      <c r="L2815" s="2">
        <f>VLOOKUP(A2815,[1]aaabonddata!$A:$B,2,0)</f>
        <v>2.98</v>
      </c>
    </row>
    <row r="2816" spans="1:12" x14ac:dyDescent="0.2">
      <c r="A2816" s="3">
        <v>42856</v>
      </c>
      <c r="B2816" s="2">
        <v>5629.63</v>
      </c>
      <c r="C2816" s="2">
        <v>5640.48</v>
      </c>
      <c r="D2816" s="2">
        <v>5600.31</v>
      </c>
      <c r="E2816" s="2">
        <v>6490352744970</v>
      </c>
      <c r="F2816" s="2">
        <v>0</v>
      </c>
      <c r="G2816">
        <v>3364.71</v>
      </c>
      <c r="H2816">
        <v>3367.36</v>
      </c>
      <c r="I2816">
        <v>3336.37</v>
      </c>
      <c r="J2816">
        <v>3495273770</v>
      </c>
      <c r="K2816">
        <v>0</v>
      </c>
      <c r="L2816" s="2">
        <f>VLOOKUP(A2816,[1]aaabonddata!$A:$B,2,0)</f>
        <v>3.03</v>
      </c>
    </row>
    <row r="2817" spans="1:12" x14ac:dyDescent="0.2">
      <c r="A2817" s="3">
        <v>42857</v>
      </c>
      <c r="B2817" s="2">
        <v>5644.07</v>
      </c>
      <c r="C2817" s="2">
        <v>5645.08</v>
      </c>
      <c r="D2817" s="2">
        <v>5625.49</v>
      </c>
      <c r="E2817" s="2">
        <v>6506996679675</v>
      </c>
      <c r="F2817" s="2">
        <v>0</v>
      </c>
      <c r="G2817">
        <v>3365.94</v>
      </c>
      <c r="H2817">
        <v>3370.02</v>
      </c>
      <c r="I2817">
        <v>3348.88</v>
      </c>
      <c r="J2817">
        <v>3496542567</v>
      </c>
      <c r="K2817">
        <v>0</v>
      </c>
      <c r="L2817" s="2">
        <f>VLOOKUP(A2817,[1]aaabonddata!$A:$B,2,0)</f>
        <v>2.99</v>
      </c>
    </row>
    <row r="2818" spans="1:12" x14ac:dyDescent="0.2">
      <c r="A2818" s="3">
        <v>42858</v>
      </c>
      <c r="B2818" s="2">
        <v>5625.16</v>
      </c>
      <c r="C2818" s="2">
        <v>5629.78</v>
      </c>
      <c r="D2818" s="2">
        <v>5608.16</v>
      </c>
      <c r="E2818" s="2">
        <v>6485195435608</v>
      </c>
      <c r="F2818" s="2">
        <v>1313981496</v>
      </c>
      <c r="G2818">
        <v>3361.76</v>
      </c>
      <c r="H2818">
        <v>3364.56</v>
      </c>
      <c r="I2818">
        <v>3344.3</v>
      </c>
      <c r="J2818">
        <v>3492201662</v>
      </c>
      <c r="K2818">
        <v>772611</v>
      </c>
      <c r="L2818" s="2">
        <f>VLOOKUP(A2818,[1]aaabonddata!$A:$B,2,0)</f>
        <v>2.99</v>
      </c>
    </row>
    <row r="2819" spans="1:12" x14ac:dyDescent="0.2">
      <c r="A2819" s="3">
        <v>42859</v>
      </c>
      <c r="B2819" s="2">
        <v>5626.32</v>
      </c>
      <c r="C2819" s="2">
        <v>5633.49</v>
      </c>
      <c r="D2819" s="2">
        <v>5606.05</v>
      </c>
      <c r="E2819" s="2">
        <v>6486530417090</v>
      </c>
      <c r="F2819" s="2">
        <v>0</v>
      </c>
      <c r="G2819">
        <v>3363</v>
      </c>
      <c r="H2819">
        <v>3370.38</v>
      </c>
      <c r="I2819">
        <v>3352.52</v>
      </c>
      <c r="J2819">
        <v>3493487955</v>
      </c>
      <c r="K2819">
        <v>0</v>
      </c>
      <c r="L2819" s="2">
        <f>VLOOKUP(A2819,[1]aaabonddata!$A:$B,2,0)</f>
        <v>3.03</v>
      </c>
    </row>
    <row r="2820" spans="1:12" x14ac:dyDescent="0.2">
      <c r="A2820" s="3">
        <v>42860</v>
      </c>
      <c r="B2820" s="2">
        <v>5646.09</v>
      </c>
      <c r="C2820" s="2">
        <v>5646.09</v>
      </c>
      <c r="D2820" s="2">
        <v>5619.6</v>
      </c>
      <c r="E2820" s="2">
        <v>6509332366415</v>
      </c>
      <c r="F2820" s="2">
        <v>0</v>
      </c>
      <c r="G2820">
        <v>3379.48</v>
      </c>
      <c r="H2820">
        <v>3379.48</v>
      </c>
      <c r="I2820">
        <v>3354.29</v>
      </c>
      <c r="J2820">
        <v>3510608639</v>
      </c>
      <c r="K2820">
        <v>0</v>
      </c>
      <c r="L2820" s="2">
        <f>VLOOKUP(A2820,[1]aaabonddata!$A:$B,2,0)</f>
        <v>3.02</v>
      </c>
    </row>
    <row r="2821" spans="1:12" x14ac:dyDescent="0.2">
      <c r="A2821" s="3">
        <v>42863</v>
      </c>
      <c r="B2821" s="2">
        <v>5659.07</v>
      </c>
      <c r="C2821" s="2">
        <v>5659.07</v>
      </c>
      <c r="D2821" s="2">
        <v>5638</v>
      </c>
      <c r="E2821" s="2">
        <v>6521209008963</v>
      </c>
      <c r="F2821" s="2">
        <v>212219466</v>
      </c>
      <c r="G2821">
        <v>3378.16</v>
      </c>
      <c r="H2821">
        <v>3381.65</v>
      </c>
      <c r="I2821">
        <v>3372.26</v>
      </c>
      <c r="J2821">
        <v>3509237728</v>
      </c>
      <c r="K2821">
        <v>0</v>
      </c>
      <c r="L2821" s="2">
        <f>VLOOKUP(A2821,[1]aaabonddata!$A:$B,2,0)</f>
        <v>3.04</v>
      </c>
    </row>
    <row r="2822" spans="1:12" x14ac:dyDescent="0.2">
      <c r="A2822" s="3">
        <v>42864</v>
      </c>
      <c r="B2822" s="2">
        <v>5678.31</v>
      </c>
      <c r="C2822" s="2">
        <v>5691.21</v>
      </c>
      <c r="D2822" s="2">
        <v>5664</v>
      </c>
      <c r="E2822" s="2">
        <v>6543380749333</v>
      </c>
      <c r="F2822" s="2">
        <v>415312611</v>
      </c>
      <c r="G2822">
        <v>3395.04</v>
      </c>
      <c r="H2822">
        <v>3402.6</v>
      </c>
      <c r="I2822">
        <v>3380.26</v>
      </c>
      <c r="J2822">
        <v>3526775030</v>
      </c>
      <c r="K2822">
        <v>0</v>
      </c>
      <c r="L2822" s="2">
        <f>VLOOKUP(A2822,[1]aaabonddata!$A:$B,2,0)</f>
        <v>3.06</v>
      </c>
    </row>
    <row r="2823" spans="1:12" x14ac:dyDescent="0.2">
      <c r="A2823" s="3">
        <v>42865</v>
      </c>
      <c r="B2823" s="2">
        <v>5681.68</v>
      </c>
      <c r="C2823" s="2">
        <v>5683.64</v>
      </c>
      <c r="D2823" s="2">
        <v>5661.44</v>
      </c>
      <c r="E2823" s="2">
        <v>6547265085762</v>
      </c>
      <c r="F2823" s="2">
        <v>219620172</v>
      </c>
      <c r="G2823">
        <v>3427.31</v>
      </c>
      <c r="H2823">
        <v>3431.48</v>
      </c>
      <c r="I2823">
        <v>3411.57</v>
      </c>
      <c r="J2823">
        <v>3560296860</v>
      </c>
      <c r="K2823">
        <v>0</v>
      </c>
      <c r="L2823" s="2">
        <f>VLOOKUP(A2823,[1]aaabonddata!$A:$B,2,0)</f>
        <v>3.06</v>
      </c>
    </row>
    <row r="2824" spans="1:12" x14ac:dyDescent="0.2">
      <c r="A2824" s="3">
        <v>42866</v>
      </c>
      <c r="B2824" s="2">
        <v>5674.22</v>
      </c>
      <c r="C2824" s="2">
        <v>5675.5</v>
      </c>
      <c r="D2824" s="2">
        <v>5637.4</v>
      </c>
      <c r="E2824" s="2">
        <v>6538665804008</v>
      </c>
      <c r="F2824" s="2">
        <v>3389954033</v>
      </c>
      <c r="G2824">
        <v>3422.63</v>
      </c>
      <c r="H2824">
        <v>3428.68</v>
      </c>
      <c r="I2824">
        <v>3394.41</v>
      </c>
      <c r="J2824">
        <v>3555436163</v>
      </c>
      <c r="K2824">
        <v>1020314</v>
      </c>
      <c r="L2824" s="2">
        <f>VLOOKUP(A2824,[1]aaabonddata!$A:$B,2,0)</f>
        <v>3.05</v>
      </c>
    </row>
    <row r="2825" spans="1:12" x14ac:dyDescent="0.2">
      <c r="A2825" s="3">
        <v>42867</v>
      </c>
      <c r="B2825" s="2">
        <v>5686.81</v>
      </c>
      <c r="C2825" s="2">
        <v>5687.42</v>
      </c>
      <c r="D2825" s="2">
        <v>5672.03</v>
      </c>
      <c r="E2825" s="2">
        <v>6553176038877</v>
      </c>
      <c r="F2825" s="2">
        <v>189319760</v>
      </c>
      <c r="G2825">
        <v>3423.53</v>
      </c>
      <c r="H2825">
        <v>3427.44</v>
      </c>
      <c r="I2825">
        <v>3414.21</v>
      </c>
      <c r="J2825">
        <v>3556373364</v>
      </c>
      <c r="K2825">
        <v>868475</v>
      </c>
      <c r="L2825" s="2">
        <f>VLOOKUP(A2825,[1]aaabonddata!$A:$B,2,0)</f>
        <v>2.99</v>
      </c>
    </row>
    <row r="2826" spans="1:12" x14ac:dyDescent="0.2">
      <c r="A2826" s="3">
        <v>42870</v>
      </c>
      <c r="B2826" s="2">
        <v>5704.48</v>
      </c>
      <c r="C2826" s="2">
        <v>5706.61</v>
      </c>
      <c r="D2826" s="2">
        <v>5683.1</v>
      </c>
      <c r="E2826" s="2">
        <v>6573537345469</v>
      </c>
      <c r="F2826" s="2">
        <v>846920710</v>
      </c>
      <c r="G2826">
        <v>3460.13</v>
      </c>
      <c r="H2826">
        <v>3460.62</v>
      </c>
      <c r="I2826">
        <v>3434.21</v>
      </c>
      <c r="J2826">
        <v>3594387435</v>
      </c>
      <c r="K2826">
        <v>0</v>
      </c>
      <c r="L2826" s="2">
        <f>VLOOKUP(A2826,[1]aaabonddata!$A:$B,2,0)</f>
        <v>2.99</v>
      </c>
    </row>
    <row r="2827" spans="1:12" x14ac:dyDescent="0.2">
      <c r="A2827" s="3">
        <v>42871</v>
      </c>
      <c r="B2827" s="2">
        <v>5724.44</v>
      </c>
      <c r="C2827" s="2">
        <v>5724.71</v>
      </c>
      <c r="D2827" s="2">
        <v>5699.41</v>
      </c>
      <c r="E2827" s="2">
        <v>6596535814353</v>
      </c>
      <c r="F2827" s="2">
        <v>3418515240</v>
      </c>
      <c r="G2827">
        <v>3484.47</v>
      </c>
      <c r="H2827">
        <v>3484.91</v>
      </c>
      <c r="I2827">
        <v>3460.27</v>
      </c>
      <c r="J2827">
        <v>3619676459</v>
      </c>
      <c r="K2827">
        <v>601203</v>
      </c>
      <c r="L2827" s="2">
        <f>VLOOKUP(A2827,[1]aaabonddata!$A:$B,2,0)</f>
        <v>2.98</v>
      </c>
    </row>
    <row r="2828" spans="1:12" x14ac:dyDescent="0.2">
      <c r="A2828" s="3">
        <v>42872</v>
      </c>
      <c r="B2828" s="2">
        <v>5580.55</v>
      </c>
      <c r="C2828" s="2">
        <v>5688.74</v>
      </c>
      <c r="D2828" s="2">
        <v>5578.16</v>
      </c>
      <c r="E2828" s="2">
        <v>6430726083895</v>
      </c>
      <c r="F2828" s="2">
        <v>1074710374</v>
      </c>
      <c r="G2828">
        <v>3374.87</v>
      </c>
      <c r="H2828">
        <v>3456.15</v>
      </c>
      <c r="I2828">
        <v>3373.3</v>
      </c>
      <c r="J2828">
        <v>3505823419</v>
      </c>
      <c r="K2828">
        <v>0</v>
      </c>
      <c r="L2828" s="2">
        <f>VLOOKUP(A2828,[1]aaabonddata!$A:$B,2,0)</f>
        <v>2.9</v>
      </c>
    </row>
    <row r="2829" spans="1:12" x14ac:dyDescent="0.2">
      <c r="A2829" s="3">
        <v>42873</v>
      </c>
      <c r="B2829" s="2">
        <v>5626.31</v>
      </c>
      <c r="C2829" s="2">
        <v>5645.08</v>
      </c>
      <c r="D2829" s="2">
        <v>5568.47</v>
      </c>
      <c r="E2829" s="2">
        <v>6483459502333</v>
      </c>
      <c r="F2829" s="2">
        <v>126301673</v>
      </c>
      <c r="G2829">
        <v>3400.24</v>
      </c>
      <c r="H2829">
        <v>3409.83</v>
      </c>
      <c r="I2829">
        <v>3347.31</v>
      </c>
      <c r="J2829">
        <v>3532177885</v>
      </c>
      <c r="K2829">
        <v>256148</v>
      </c>
      <c r="L2829" s="2">
        <f>VLOOKUP(A2829,[1]aaabonddata!$A:$B,2,0)</f>
        <v>2.92</v>
      </c>
    </row>
    <row r="2830" spans="1:12" x14ac:dyDescent="0.2">
      <c r="A2830" s="3">
        <v>42874</v>
      </c>
      <c r="B2830" s="2">
        <v>5651.56</v>
      </c>
      <c r="C2830" s="2">
        <v>5673.63</v>
      </c>
      <c r="D2830" s="2">
        <v>5640.68</v>
      </c>
      <c r="E2830" s="2">
        <v>6512560581088</v>
      </c>
      <c r="F2830" s="2">
        <v>157552859</v>
      </c>
      <c r="G2830">
        <v>3440.57</v>
      </c>
      <c r="H2830">
        <v>3452.53</v>
      </c>
      <c r="I2830">
        <v>3430.05</v>
      </c>
      <c r="J2830">
        <v>3574069742</v>
      </c>
      <c r="K2830">
        <v>618660</v>
      </c>
      <c r="L2830" s="2">
        <f>VLOOKUP(A2830,[1]aaabonddata!$A:$B,2,0)</f>
        <v>2.93</v>
      </c>
    </row>
    <row r="2831" spans="1:12" x14ac:dyDescent="0.2">
      <c r="A2831" s="3">
        <v>42877</v>
      </c>
      <c r="B2831" s="2">
        <v>5699.4</v>
      </c>
      <c r="C2831" s="2">
        <v>5701.05</v>
      </c>
      <c r="D2831" s="2">
        <v>5661.59</v>
      </c>
      <c r="E2831" s="2">
        <v>6567689108645</v>
      </c>
      <c r="F2831" s="2">
        <v>0</v>
      </c>
      <c r="G2831">
        <v>3481.86</v>
      </c>
      <c r="H2831">
        <v>3483.35</v>
      </c>
      <c r="I2831">
        <v>3454.19</v>
      </c>
      <c r="J2831">
        <v>3616967549</v>
      </c>
      <c r="K2831">
        <v>0</v>
      </c>
      <c r="L2831" s="2">
        <f>VLOOKUP(A2831,[1]aaabonddata!$A:$B,2,0)</f>
        <v>2.93</v>
      </c>
    </row>
    <row r="2832" spans="1:12" x14ac:dyDescent="0.2">
      <c r="A2832" s="3">
        <v>42878</v>
      </c>
      <c r="B2832" s="2">
        <v>5703.35</v>
      </c>
      <c r="C2832" s="2">
        <v>5716.55</v>
      </c>
      <c r="D2832" s="2">
        <v>5690.2</v>
      </c>
      <c r="E2832" s="2">
        <v>6572231639686</v>
      </c>
      <c r="F2832" s="2">
        <v>252928810</v>
      </c>
      <c r="G2832">
        <v>3475.31</v>
      </c>
      <c r="H2832">
        <v>3485.95</v>
      </c>
      <c r="I2832">
        <v>3458.42</v>
      </c>
      <c r="J2832">
        <v>3610158149</v>
      </c>
      <c r="K2832">
        <v>1040892</v>
      </c>
      <c r="L2832" s="2">
        <f>VLOOKUP(A2832,[1]aaabonddata!$A:$B,2,0)</f>
        <v>2.96</v>
      </c>
    </row>
    <row r="2833" spans="1:12" x14ac:dyDescent="0.2">
      <c r="A2833" s="3">
        <v>42879</v>
      </c>
      <c r="B2833" s="2">
        <v>5730.3</v>
      </c>
      <c r="C2833" s="2">
        <v>5732.57</v>
      </c>
      <c r="D2833" s="2">
        <v>5705.17</v>
      </c>
      <c r="E2833" s="2">
        <v>6603293532461</v>
      </c>
      <c r="F2833" s="2">
        <v>81039046</v>
      </c>
      <c r="G2833">
        <v>3493.58</v>
      </c>
      <c r="H2833">
        <v>3501.45</v>
      </c>
      <c r="I2833">
        <v>3483.24</v>
      </c>
      <c r="J2833">
        <v>3629140279</v>
      </c>
      <c r="K2833">
        <v>370497</v>
      </c>
      <c r="L2833" s="2">
        <f>VLOOKUP(A2833,[1]aaabonddata!$A:$B,2,0)</f>
        <v>2.95</v>
      </c>
    </row>
    <row r="2834" spans="1:12" x14ac:dyDescent="0.2">
      <c r="A2834" s="3">
        <v>42880</v>
      </c>
      <c r="B2834" s="2">
        <v>5778.37</v>
      </c>
      <c r="C2834" s="2">
        <v>5793.13</v>
      </c>
      <c r="D2834" s="2">
        <v>5738.82</v>
      </c>
      <c r="E2834" s="2">
        <v>6658690190216</v>
      </c>
      <c r="F2834" s="2">
        <v>0</v>
      </c>
      <c r="G2834">
        <v>3520.42</v>
      </c>
      <c r="H2834">
        <v>3529.49</v>
      </c>
      <c r="I2834">
        <v>3497.02</v>
      </c>
      <c r="J2834">
        <v>3657017469</v>
      </c>
      <c r="K2834">
        <v>0</v>
      </c>
      <c r="L2834" s="2">
        <f>VLOOKUP(A2834,[1]aaabonddata!$A:$B,2,0)</f>
        <v>2.94</v>
      </c>
    </row>
    <row r="2835" spans="1:12" x14ac:dyDescent="0.2">
      <c r="A2835" s="3">
        <v>42881</v>
      </c>
      <c r="B2835" s="2">
        <v>5788.36</v>
      </c>
      <c r="C2835" s="2">
        <v>5790.19</v>
      </c>
      <c r="D2835" s="2">
        <v>5771.71</v>
      </c>
      <c r="E2835" s="2">
        <v>6670195984972</v>
      </c>
      <c r="F2835" s="2">
        <v>1027202790</v>
      </c>
      <c r="G2835">
        <v>3521.04</v>
      </c>
      <c r="H2835">
        <v>3521.32</v>
      </c>
      <c r="I2835">
        <v>3503.62</v>
      </c>
      <c r="J2835">
        <v>3657664013</v>
      </c>
      <c r="K2835">
        <v>990443</v>
      </c>
      <c r="L2835" s="2">
        <f>VLOOKUP(A2835,[1]aaabonddata!$A:$B,2,0)</f>
        <v>2.93</v>
      </c>
    </row>
    <row r="2836" spans="1:12" x14ac:dyDescent="0.2">
      <c r="A2836" s="3">
        <v>42885</v>
      </c>
      <c r="B2836" s="2">
        <v>5794.63</v>
      </c>
      <c r="C2836" s="2">
        <v>5799.99</v>
      </c>
      <c r="D2836" s="2">
        <v>5781.37</v>
      </c>
      <c r="E2836" s="2">
        <v>6677424390097</v>
      </c>
      <c r="F2836" s="2">
        <v>93288158</v>
      </c>
      <c r="G2836">
        <v>3538.65</v>
      </c>
      <c r="H2836">
        <v>3542.85</v>
      </c>
      <c r="I2836">
        <v>3521.27</v>
      </c>
      <c r="J2836">
        <v>3675954392</v>
      </c>
      <c r="K2836">
        <v>723367</v>
      </c>
      <c r="L2836" s="2">
        <f>VLOOKUP(A2836,[1]aaabonddata!$A:$B,2,0)</f>
        <v>2.9</v>
      </c>
    </row>
    <row r="2837" spans="1:12" x14ac:dyDescent="0.2">
      <c r="A2837" s="3">
        <v>42886</v>
      </c>
      <c r="B2837" s="2">
        <v>5788.8</v>
      </c>
      <c r="C2837" s="2">
        <v>5813.26</v>
      </c>
      <c r="D2837" s="2">
        <v>5762.56</v>
      </c>
      <c r="E2837" s="2">
        <v>6670705984464</v>
      </c>
      <c r="F2837" s="2">
        <v>0</v>
      </c>
      <c r="G2837">
        <v>3533.32</v>
      </c>
      <c r="H2837">
        <v>3558.88</v>
      </c>
      <c r="I2837">
        <v>3518.91</v>
      </c>
      <c r="J2837">
        <v>3670426092</v>
      </c>
      <c r="K2837">
        <v>0</v>
      </c>
      <c r="L2837" s="2">
        <f>VLOOKUP(A2837,[1]aaabonddata!$A:$B,2,0)</f>
        <v>2.9</v>
      </c>
    </row>
    <row r="2838" spans="1:12" x14ac:dyDescent="0.2">
      <c r="A2838" s="3">
        <v>42887</v>
      </c>
      <c r="B2838" s="2">
        <v>5816.51</v>
      </c>
      <c r="C2838" s="2">
        <v>5816.6</v>
      </c>
      <c r="D2838" s="2">
        <v>5779.89</v>
      </c>
      <c r="E2838" s="2">
        <v>6702637402061</v>
      </c>
      <c r="F2838" s="2">
        <v>0</v>
      </c>
      <c r="G2838">
        <v>3543.66</v>
      </c>
      <c r="H2838">
        <v>3543.66</v>
      </c>
      <c r="I2838">
        <v>3518.83</v>
      </c>
      <c r="J2838">
        <v>3681160664</v>
      </c>
      <c r="K2838">
        <v>0</v>
      </c>
      <c r="L2838" s="2">
        <f>VLOOKUP(A2838,[1]aaabonddata!$A:$B,2,0)</f>
        <v>2.91</v>
      </c>
    </row>
    <row r="2839" spans="1:12" x14ac:dyDescent="0.2">
      <c r="A2839" s="3">
        <v>42888</v>
      </c>
      <c r="B2839" s="2">
        <v>5881.46</v>
      </c>
      <c r="C2839" s="2">
        <v>5881.46</v>
      </c>
      <c r="D2839" s="2">
        <v>5825.74</v>
      </c>
      <c r="E2839" s="2">
        <v>6777478716392</v>
      </c>
      <c r="F2839" s="2">
        <v>63059271</v>
      </c>
      <c r="G2839">
        <v>3575.12</v>
      </c>
      <c r="H2839">
        <v>3575.12</v>
      </c>
      <c r="I2839">
        <v>3542.73</v>
      </c>
      <c r="J2839">
        <v>3713844156</v>
      </c>
      <c r="K2839">
        <v>0</v>
      </c>
      <c r="L2839" s="2">
        <f>VLOOKUP(A2839,[1]aaabonddata!$A:$B,2,0)</f>
        <v>2.87</v>
      </c>
    </row>
    <row r="2840" spans="1:12" x14ac:dyDescent="0.2">
      <c r="A2840" s="3">
        <v>42891</v>
      </c>
      <c r="B2840" s="2">
        <v>5878.12</v>
      </c>
      <c r="C2840" s="2">
        <v>5888.92</v>
      </c>
      <c r="D2840" s="2">
        <v>5871.09</v>
      </c>
      <c r="E2840" s="2">
        <v>6773627984127</v>
      </c>
      <c r="F2840" s="2">
        <v>119692330</v>
      </c>
      <c r="G2840">
        <v>3572.87</v>
      </c>
      <c r="H2840">
        <v>3589.11</v>
      </c>
      <c r="I2840">
        <v>3569.98</v>
      </c>
      <c r="J2840">
        <v>3711502280</v>
      </c>
      <c r="K2840">
        <v>600087</v>
      </c>
      <c r="L2840" s="2">
        <f>VLOOKUP(A2840,[1]aaabonddata!$A:$B,2,0)</f>
        <v>2.88</v>
      </c>
    </row>
    <row r="2841" spans="1:12" x14ac:dyDescent="0.2">
      <c r="A2841" s="3">
        <v>42892</v>
      </c>
      <c r="B2841" s="2">
        <v>5856.77</v>
      </c>
      <c r="C2841" s="2">
        <v>5890.88</v>
      </c>
      <c r="D2841" s="2">
        <v>5848.32</v>
      </c>
      <c r="E2841" s="2">
        <v>6749027490172</v>
      </c>
      <c r="F2841" s="2">
        <v>0</v>
      </c>
      <c r="G2841">
        <v>3578.69</v>
      </c>
      <c r="H2841">
        <v>3594.54</v>
      </c>
      <c r="I2841">
        <v>3562.95</v>
      </c>
      <c r="J2841">
        <v>3717555709</v>
      </c>
      <c r="K2841">
        <v>0</v>
      </c>
      <c r="L2841" s="2">
        <f>VLOOKUP(A2841,[1]aaabonddata!$A:$B,2,0)</f>
        <v>2.86</v>
      </c>
    </row>
    <row r="2842" spans="1:12" x14ac:dyDescent="0.2">
      <c r="A2842" s="3">
        <v>42893</v>
      </c>
      <c r="B2842" s="2">
        <v>5877.59</v>
      </c>
      <c r="C2842" s="2">
        <v>5883.19</v>
      </c>
      <c r="D2842" s="2">
        <v>5845.96</v>
      </c>
      <c r="E2842" s="2">
        <v>6773020479321</v>
      </c>
      <c r="F2842" s="2">
        <v>910565238</v>
      </c>
      <c r="G2842">
        <v>3600.19</v>
      </c>
      <c r="H2842">
        <v>3604.27</v>
      </c>
      <c r="I2842">
        <v>3576.49</v>
      </c>
      <c r="J2842">
        <v>3739890638</v>
      </c>
      <c r="K2842">
        <v>540476</v>
      </c>
      <c r="L2842" s="2">
        <f>VLOOKUP(A2842,[1]aaabonddata!$A:$B,2,0)</f>
        <v>2.88</v>
      </c>
    </row>
    <row r="2843" spans="1:12" x14ac:dyDescent="0.2">
      <c r="A2843" s="3">
        <v>42894</v>
      </c>
      <c r="B2843" s="2">
        <v>5885.3</v>
      </c>
      <c r="C2843" s="2">
        <v>5895.18</v>
      </c>
      <c r="D2843" s="2">
        <v>5852.65</v>
      </c>
      <c r="E2843" s="2">
        <v>6781900973554</v>
      </c>
      <c r="F2843" s="2">
        <v>0</v>
      </c>
      <c r="G2843">
        <v>3634.05</v>
      </c>
      <c r="H2843">
        <v>3635.67</v>
      </c>
      <c r="I2843">
        <v>3595.07</v>
      </c>
      <c r="J2843">
        <v>3775057500</v>
      </c>
      <c r="K2843">
        <v>0</v>
      </c>
      <c r="L2843" s="2">
        <f>VLOOKUP(A2843,[1]aaabonddata!$A:$B,2,0)</f>
        <v>2.9</v>
      </c>
    </row>
    <row r="2844" spans="1:12" x14ac:dyDescent="0.2">
      <c r="A2844" s="3">
        <v>42895</v>
      </c>
      <c r="B2844" s="2">
        <v>5741.94</v>
      </c>
      <c r="C2844" s="2">
        <v>5897.69</v>
      </c>
      <c r="D2844" s="2">
        <v>5657.76</v>
      </c>
      <c r="E2844" s="2">
        <v>6616709964603</v>
      </c>
      <c r="F2844" s="2">
        <v>0</v>
      </c>
      <c r="G2844">
        <v>3504.21</v>
      </c>
      <c r="H2844">
        <v>3654.34</v>
      </c>
      <c r="I2844">
        <v>3449.28</v>
      </c>
      <c r="J2844">
        <v>3640186731</v>
      </c>
      <c r="K2844">
        <v>0</v>
      </c>
      <c r="L2844" s="2">
        <f>VLOOKUP(A2844,[1]aaabonddata!$A:$B,2,0)</f>
        <v>2.9</v>
      </c>
    </row>
    <row r="2845" spans="1:12" x14ac:dyDescent="0.2">
      <c r="A2845" s="3">
        <v>42898</v>
      </c>
      <c r="B2845" s="2">
        <v>5708.18</v>
      </c>
      <c r="C2845" s="2">
        <v>5716.2</v>
      </c>
      <c r="D2845" s="2">
        <v>5633.34</v>
      </c>
      <c r="E2845" s="2">
        <v>6577801634171</v>
      </c>
      <c r="F2845" s="2">
        <v>0</v>
      </c>
      <c r="G2845">
        <v>3494.92</v>
      </c>
      <c r="H2845">
        <v>3499.35</v>
      </c>
      <c r="I2845">
        <v>3408.96</v>
      </c>
      <c r="J2845">
        <v>3630528486</v>
      </c>
      <c r="K2845">
        <v>0</v>
      </c>
      <c r="L2845" s="2">
        <f>VLOOKUP(A2845,[1]aaabonddata!$A:$B,2,0)</f>
        <v>2.91</v>
      </c>
    </row>
    <row r="2846" spans="1:12" x14ac:dyDescent="0.2">
      <c r="A2846" s="3">
        <v>42899</v>
      </c>
      <c r="B2846" s="2">
        <v>5751.82</v>
      </c>
      <c r="C2846" s="2">
        <v>5760.54</v>
      </c>
      <c r="D2846" s="2">
        <v>5709.17</v>
      </c>
      <c r="E2846" s="2">
        <v>6628087379044</v>
      </c>
      <c r="F2846" s="2">
        <v>69492961</v>
      </c>
      <c r="G2846">
        <v>3515.87</v>
      </c>
      <c r="H2846">
        <v>3539.55</v>
      </c>
      <c r="I2846">
        <v>3482.86</v>
      </c>
      <c r="J2846">
        <v>3652297800</v>
      </c>
      <c r="K2846">
        <v>0</v>
      </c>
      <c r="L2846" s="2">
        <f>VLOOKUP(A2846,[1]aaabonddata!$A:$B,2,0)</f>
        <v>2.91</v>
      </c>
    </row>
    <row r="2847" spans="1:12" x14ac:dyDescent="0.2">
      <c r="A2847" s="3">
        <v>42900</v>
      </c>
      <c r="B2847" s="2">
        <v>5727.07</v>
      </c>
      <c r="C2847" s="2">
        <v>5774.19</v>
      </c>
      <c r="D2847" s="2">
        <v>5682.35</v>
      </c>
      <c r="E2847" s="2">
        <v>6599565740510</v>
      </c>
      <c r="F2847" s="2">
        <v>679674788</v>
      </c>
      <c r="G2847">
        <v>3484.84</v>
      </c>
      <c r="H2847">
        <v>3531.27</v>
      </c>
      <c r="I2847">
        <v>3451.6</v>
      </c>
      <c r="J2847">
        <v>3620063049</v>
      </c>
      <c r="K2847">
        <v>0</v>
      </c>
      <c r="L2847" s="2">
        <f>VLOOKUP(A2847,[1]aaabonddata!$A:$B,2,0)</f>
        <v>2.84</v>
      </c>
    </row>
    <row r="2848" spans="1:12" x14ac:dyDescent="0.2">
      <c r="A2848" s="3">
        <v>42901</v>
      </c>
      <c r="B2848" s="2">
        <v>5700.89</v>
      </c>
      <c r="C2848" s="2">
        <v>5707.37</v>
      </c>
      <c r="D2848" s="2">
        <v>5634.58</v>
      </c>
      <c r="E2848" s="2">
        <v>6569396125699</v>
      </c>
      <c r="F2848" s="2">
        <v>409059779</v>
      </c>
      <c r="G2848">
        <v>3462.49</v>
      </c>
      <c r="H2848">
        <v>3470.66</v>
      </c>
      <c r="I2848">
        <v>3426.33</v>
      </c>
      <c r="J2848">
        <v>3596841457</v>
      </c>
      <c r="K2848">
        <v>461162</v>
      </c>
      <c r="L2848" s="2">
        <f>VLOOKUP(A2848,[1]aaabonddata!$A:$B,2,0)</f>
        <v>2.87</v>
      </c>
    </row>
    <row r="2849" spans="1:12" x14ac:dyDescent="0.2">
      <c r="A2849" s="3">
        <v>42902</v>
      </c>
      <c r="B2849" s="2">
        <v>5681.48</v>
      </c>
      <c r="C2849" s="2">
        <v>5695.74</v>
      </c>
      <c r="D2849" s="2">
        <v>5656.62</v>
      </c>
      <c r="E2849" s="2">
        <v>6547033455825</v>
      </c>
      <c r="F2849" s="2">
        <v>0</v>
      </c>
      <c r="G2849">
        <v>3456.29</v>
      </c>
      <c r="H2849">
        <v>3476.51</v>
      </c>
      <c r="I2849">
        <v>3440.86</v>
      </c>
      <c r="J2849">
        <v>3590404565</v>
      </c>
      <c r="K2849">
        <v>0</v>
      </c>
      <c r="L2849" s="2">
        <f>VLOOKUP(A2849,[1]aaabonddata!$A:$B,2,0)</f>
        <v>2.86</v>
      </c>
    </row>
    <row r="2850" spans="1:12" x14ac:dyDescent="0.2">
      <c r="A2850" s="3">
        <v>42905</v>
      </c>
      <c r="B2850" s="2">
        <v>5772.22</v>
      </c>
      <c r="C2850" s="2">
        <v>5776.37</v>
      </c>
      <c r="D2850" s="2">
        <v>5724.49</v>
      </c>
      <c r="E2850" s="2">
        <v>6612388873984</v>
      </c>
      <c r="F2850" s="2">
        <v>186875289</v>
      </c>
      <c r="G2850">
        <v>3518.11</v>
      </c>
      <c r="H2850">
        <v>3520.95</v>
      </c>
      <c r="I2850">
        <v>3488.03</v>
      </c>
      <c r="J2850">
        <v>3359021804</v>
      </c>
      <c r="K2850">
        <v>1344143</v>
      </c>
      <c r="L2850" s="2">
        <f>VLOOKUP(A2850,[1]aaabonddata!$A:$B,2,0)</f>
        <v>2.87</v>
      </c>
    </row>
    <row r="2851" spans="1:12" x14ac:dyDescent="0.2">
      <c r="A2851" s="3">
        <v>42906</v>
      </c>
      <c r="B2851" s="2">
        <v>5726.31</v>
      </c>
      <c r="C2851" s="2">
        <v>5772.17</v>
      </c>
      <c r="D2851" s="2">
        <v>5725.01</v>
      </c>
      <c r="E2851" s="2">
        <v>6559794498688</v>
      </c>
      <c r="F2851" s="2">
        <v>0</v>
      </c>
      <c r="G2851">
        <v>3481.08</v>
      </c>
      <c r="H2851">
        <v>3524.97</v>
      </c>
      <c r="I2851">
        <v>3480.9</v>
      </c>
      <c r="J2851">
        <v>3323665724</v>
      </c>
      <c r="K2851">
        <v>0</v>
      </c>
      <c r="L2851" s="2">
        <f>VLOOKUP(A2851,[1]aaabonddata!$A:$B,2,0)</f>
        <v>2.84</v>
      </c>
    </row>
    <row r="2852" spans="1:12" x14ac:dyDescent="0.2">
      <c r="A2852" s="3">
        <v>42907</v>
      </c>
      <c r="B2852" s="2">
        <v>5782.39</v>
      </c>
      <c r="C2852" s="2">
        <v>5784.92</v>
      </c>
      <c r="D2852" s="2">
        <v>5737.01</v>
      </c>
      <c r="E2852" s="2">
        <v>6624040511239</v>
      </c>
      <c r="F2852" s="2">
        <v>0</v>
      </c>
      <c r="G2852">
        <v>3530.16</v>
      </c>
      <c r="H2852">
        <v>3532.08</v>
      </c>
      <c r="I2852">
        <v>3500.53</v>
      </c>
      <c r="J2852">
        <v>3370529642</v>
      </c>
      <c r="K2852">
        <v>0</v>
      </c>
      <c r="L2852" s="2">
        <f>VLOOKUP(A2852,[1]aaabonddata!$A:$B,2,0)</f>
        <v>2.83</v>
      </c>
    </row>
    <row r="2853" spans="1:12" x14ac:dyDescent="0.2">
      <c r="A2853" s="3">
        <v>42908</v>
      </c>
      <c r="B2853" s="2">
        <v>5779.87</v>
      </c>
      <c r="C2853" s="2">
        <v>5802.46</v>
      </c>
      <c r="D2853" s="2">
        <v>5767.87</v>
      </c>
      <c r="E2853" s="2">
        <v>6621149042504</v>
      </c>
      <c r="F2853" s="2">
        <v>0</v>
      </c>
      <c r="G2853">
        <v>3524.51</v>
      </c>
      <c r="H2853">
        <v>3537.49</v>
      </c>
      <c r="I2853">
        <v>3509.18</v>
      </c>
      <c r="J2853">
        <v>3365129397</v>
      </c>
      <c r="K2853">
        <v>0</v>
      </c>
      <c r="L2853" s="2">
        <f>VLOOKUP(A2853,[1]aaabonddata!$A:$B,2,0)</f>
        <v>2.83</v>
      </c>
    </row>
    <row r="2854" spans="1:12" x14ac:dyDescent="0.2">
      <c r="A2854" s="3">
        <v>42909</v>
      </c>
      <c r="B2854" s="2">
        <v>5803.11</v>
      </c>
      <c r="C2854" s="2">
        <v>5810.31</v>
      </c>
      <c r="D2854" s="2">
        <v>5759.7</v>
      </c>
      <c r="E2854" s="2">
        <v>6647766933335</v>
      </c>
      <c r="F2854" s="2">
        <v>0</v>
      </c>
      <c r="G2854">
        <v>3551.02</v>
      </c>
      <c r="H2854">
        <v>3560.92</v>
      </c>
      <c r="I2854">
        <v>3516.01</v>
      </c>
      <c r="J2854">
        <v>3390447409</v>
      </c>
      <c r="K2854">
        <v>0</v>
      </c>
      <c r="L2854" s="2">
        <f>VLOOKUP(A2854,[1]aaabonddata!$A:$B,2,0)</f>
        <v>2.82</v>
      </c>
    </row>
    <row r="2855" spans="1:12" x14ac:dyDescent="0.2">
      <c r="A2855" s="3">
        <v>42912</v>
      </c>
      <c r="B2855" s="2">
        <v>5777.59</v>
      </c>
      <c r="C2855" s="2">
        <v>5845.15</v>
      </c>
      <c r="D2855" s="2">
        <v>5765.87</v>
      </c>
      <c r="E2855" s="2">
        <v>6618535556234</v>
      </c>
      <c r="F2855" s="2">
        <v>0</v>
      </c>
      <c r="G2855">
        <v>3520.06</v>
      </c>
      <c r="H2855">
        <v>3582.66</v>
      </c>
      <c r="I2855">
        <v>3512.2</v>
      </c>
      <c r="J2855">
        <v>3360883798</v>
      </c>
      <c r="K2855">
        <v>0</v>
      </c>
      <c r="L2855" s="2">
        <f>VLOOKUP(A2855,[1]aaabonddata!$A:$B,2,0)</f>
        <v>2.81</v>
      </c>
    </row>
    <row r="2856" spans="1:12" x14ac:dyDescent="0.2">
      <c r="A2856" s="3">
        <v>42913</v>
      </c>
      <c r="B2856" s="2">
        <v>5671.6</v>
      </c>
      <c r="C2856" s="2">
        <v>5761.04</v>
      </c>
      <c r="D2856" s="2">
        <v>5671.6</v>
      </c>
      <c r="E2856" s="2">
        <v>6497118414323</v>
      </c>
      <c r="F2856" s="2">
        <v>0</v>
      </c>
      <c r="G2856">
        <v>3440.4</v>
      </c>
      <c r="H2856">
        <v>3502.46</v>
      </c>
      <c r="I2856">
        <v>3439.73</v>
      </c>
      <c r="J2856">
        <v>3284824485</v>
      </c>
      <c r="K2856">
        <v>0</v>
      </c>
      <c r="L2856" s="2">
        <f>VLOOKUP(A2856,[1]aaabonddata!$A:$B,2,0)</f>
        <v>2.85</v>
      </c>
    </row>
    <row r="2857" spans="1:12" x14ac:dyDescent="0.2">
      <c r="A2857" s="3">
        <v>42914</v>
      </c>
      <c r="B2857" s="2">
        <v>5753.03</v>
      </c>
      <c r="C2857" s="2">
        <v>5757.23</v>
      </c>
      <c r="D2857" s="2">
        <v>5660.53</v>
      </c>
      <c r="E2857" s="2">
        <v>6590405468046</v>
      </c>
      <c r="F2857" s="2">
        <v>460585271</v>
      </c>
      <c r="G2857">
        <v>3490.66</v>
      </c>
      <c r="H2857">
        <v>3493.28</v>
      </c>
      <c r="I2857">
        <v>3427.43</v>
      </c>
      <c r="J2857">
        <v>3332814156</v>
      </c>
      <c r="K2857">
        <v>573921</v>
      </c>
      <c r="L2857" s="2">
        <f>VLOOKUP(A2857,[1]aaabonddata!$A:$B,2,0)</f>
        <v>2.86</v>
      </c>
    </row>
    <row r="2858" spans="1:12" x14ac:dyDescent="0.2">
      <c r="A2858" s="3">
        <v>42915</v>
      </c>
      <c r="B2858" s="2">
        <v>5653.02</v>
      </c>
      <c r="C2858" s="2">
        <v>5723.66</v>
      </c>
      <c r="D2858" s="2">
        <v>5599.44</v>
      </c>
      <c r="E2858" s="2">
        <v>6475837401154</v>
      </c>
      <c r="F2858" s="2">
        <v>0</v>
      </c>
      <c r="G2858">
        <v>3413.47</v>
      </c>
      <c r="H2858">
        <v>3471.26</v>
      </c>
      <c r="I2858">
        <v>3374.37</v>
      </c>
      <c r="J2858">
        <v>3259111590</v>
      </c>
      <c r="K2858">
        <v>0</v>
      </c>
      <c r="L2858" s="2">
        <f>VLOOKUP(A2858,[1]aaabonddata!$A:$B,2,0)</f>
        <v>2.89</v>
      </c>
    </row>
    <row r="2859" spans="1:12" x14ac:dyDescent="0.2">
      <c r="A2859" s="3">
        <v>42916</v>
      </c>
      <c r="B2859" s="2">
        <v>5646.92</v>
      </c>
      <c r="C2859" s="2">
        <v>5681.9</v>
      </c>
      <c r="D2859" s="2">
        <v>5637.74</v>
      </c>
      <c r="E2859" s="2">
        <v>6468845466147</v>
      </c>
      <c r="F2859" s="2">
        <v>745528218</v>
      </c>
      <c r="G2859">
        <v>3400.55</v>
      </c>
      <c r="H2859">
        <v>3436.81</v>
      </c>
      <c r="I2859">
        <v>3393.06</v>
      </c>
      <c r="J2859">
        <v>3246779194</v>
      </c>
      <c r="K2859">
        <v>0</v>
      </c>
      <c r="L2859" s="2">
        <f>VLOOKUP(A2859,[1]aaabonddata!$A:$B,2,0)</f>
        <v>2.91</v>
      </c>
    </row>
    <row r="2860" spans="1:12" x14ac:dyDescent="0.2">
      <c r="A2860" s="3">
        <v>42919</v>
      </c>
      <c r="B2860" s="2">
        <v>5596.96</v>
      </c>
      <c r="C2860" s="2">
        <v>5684.98</v>
      </c>
      <c r="D2860" s="2">
        <v>5592.53</v>
      </c>
      <c r="E2860" s="2">
        <v>6411611627605</v>
      </c>
      <c r="F2860" s="2">
        <v>0</v>
      </c>
      <c r="G2860">
        <v>3360.49</v>
      </c>
      <c r="H2860">
        <v>3425.29</v>
      </c>
      <c r="I2860">
        <v>3359.26</v>
      </c>
      <c r="J2860">
        <v>3208532641</v>
      </c>
      <c r="K2860">
        <v>0</v>
      </c>
      <c r="L2860" s="2">
        <f>VLOOKUP(A2860,[1]aaabonddata!$A:$B,2,0)</f>
        <v>2.95</v>
      </c>
    </row>
    <row r="2861" spans="1:12" x14ac:dyDescent="0.2">
      <c r="A2861" s="3">
        <v>42921</v>
      </c>
      <c r="B2861" s="2">
        <v>5648.82</v>
      </c>
      <c r="C2861" s="2">
        <v>5663.6</v>
      </c>
      <c r="D2861" s="2">
        <v>5593.66</v>
      </c>
      <c r="E2861" s="2">
        <v>6471020553053</v>
      </c>
      <c r="F2861" s="2">
        <v>1450015776</v>
      </c>
      <c r="G2861">
        <v>3412.13</v>
      </c>
      <c r="H2861">
        <v>3420.44</v>
      </c>
      <c r="I2861">
        <v>3367.89</v>
      </c>
      <c r="J2861">
        <v>3257830361</v>
      </c>
      <c r="K2861">
        <v>916851</v>
      </c>
      <c r="L2861" s="2">
        <f>VLOOKUP(A2861,[1]aaabonddata!$A:$B,2,0)</f>
        <v>2.93</v>
      </c>
    </row>
    <row r="2862" spans="1:12" x14ac:dyDescent="0.2">
      <c r="A2862" s="3">
        <v>42922</v>
      </c>
      <c r="B2862" s="2">
        <v>5597.9</v>
      </c>
      <c r="C2862" s="2">
        <v>5628.84</v>
      </c>
      <c r="D2862" s="2">
        <v>5579.64</v>
      </c>
      <c r="E2862" s="2">
        <v>6412698376525</v>
      </c>
      <c r="F2862" s="2">
        <v>87113753</v>
      </c>
      <c r="G2862">
        <v>3386.89</v>
      </c>
      <c r="H2862">
        <v>3407.25</v>
      </c>
      <c r="I2862">
        <v>3368.25</v>
      </c>
      <c r="J2862">
        <v>3233738661</v>
      </c>
      <c r="K2862">
        <v>243745</v>
      </c>
      <c r="L2862" s="2">
        <f>VLOOKUP(A2862,[1]aaabonddata!$A:$B,2,0)</f>
        <v>2.95</v>
      </c>
    </row>
    <row r="2863" spans="1:12" x14ac:dyDescent="0.2">
      <c r="A2863" s="3">
        <v>42923</v>
      </c>
      <c r="B2863" s="2">
        <v>5656.47</v>
      </c>
      <c r="C2863" s="2">
        <v>5673.02</v>
      </c>
      <c r="D2863" s="2">
        <v>5618.85</v>
      </c>
      <c r="E2863" s="2">
        <v>6479787730245</v>
      </c>
      <c r="F2863" s="2">
        <v>0</v>
      </c>
      <c r="G2863">
        <v>3432.57</v>
      </c>
      <c r="H2863">
        <v>3448.99</v>
      </c>
      <c r="I2863">
        <v>3403.66</v>
      </c>
      <c r="J2863">
        <v>3277346609</v>
      </c>
      <c r="K2863">
        <v>0</v>
      </c>
      <c r="L2863" s="2">
        <f>VLOOKUP(A2863,[1]aaabonddata!$A:$B,2,0)</f>
        <v>2.96</v>
      </c>
    </row>
    <row r="2864" spans="1:12" x14ac:dyDescent="0.2">
      <c r="A2864" s="3">
        <v>42926</v>
      </c>
      <c r="B2864" s="2">
        <v>5694.15</v>
      </c>
      <c r="C2864" s="2">
        <v>5708.62</v>
      </c>
      <c r="D2864" s="2">
        <v>5650.26</v>
      </c>
      <c r="E2864" s="2">
        <v>6522954961491</v>
      </c>
      <c r="F2864" s="2">
        <v>0</v>
      </c>
      <c r="G2864">
        <v>3464.68</v>
      </c>
      <c r="H2864">
        <v>3471.62</v>
      </c>
      <c r="I2864">
        <v>3426.43</v>
      </c>
      <c r="J2864">
        <v>3308012267</v>
      </c>
      <c r="K2864">
        <v>0</v>
      </c>
      <c r="L2864" s="2">
        <f>VLOOKUP(A2864,[1]aaabonddata!$A:$B,2,0)</f>
        <v>2.94</v>
      </c>
    </row>
    <row r="2865" spans="1:12" x14ac:dyDescent="0.2">
      <c r="A2865" s="3">
        <v>42927</v>
      </c>
      <c r="B2865" s="2">
        <v>5709.8</v>
      </c>
      <c r="C2865" s="2">
        <v>5717.91</v>
      </c>
      <c r="D2865" s="2">
        <v>5667.27</v>
      </c>
      <c r="E2865" s="2">
        <v>6540879708082</v>
      </c>
      <c r="F2865" s="2">
        <v>0</v>
      </c>
      <c r="G2865">
        <v>3489.67</v>
      </c>
      <c r="H2865">
        <v>3492.88</v>
      </c>
      <c r="I2865">
        <v>3458.7</v>
      </c>
      <c r="J2865">
        <v>3331870792</v>
      </c>
      <c r="K2865">
        <v>0</v>
      </c>
      <c r="L2865" s="2">
        <f>VLOOKUP(A2865,[1]aaabonddata!$A:$B,2,0)</f>
        <v>2.93</v>
      </c>
    </row>
    <row r="2866" spans="1:12" x14ac:dyDescent="0.2">
      <c r="A2866" s="3">
        <v>42928</v>
      </c>
      <c r="B2866" s="2">
        <v>5778.95</v>
      </c>
      <c r="C2866" s="2">
        <v>5785</v>
      </c>
      <c r="D2866" s="2">
        <v>5749.65</v>
      </c>
      <c r="E2866" s="2">
        <v>6620095917242</v>
      </c>
      <c r="F2866" s="2">
        <v>0</v>
      </c>
      <c r="G2866">
        <v>3538.76</v>
      </c>
      <c r="H2866">
        <v>3542.73</v>
      </c>
      <c r="I2866">
        <v>3517.03</v>
      </c>
      <c r="J2866">
        <v>3378740084</v>
      </c>
      <c r="K2866">
        <v>0</v>
      </c>
      <c r="L2866" s="2">
        <f>VLOOKUP(A2866,[1]aaabonddata!$A:$B,2,0)</f>
        <v>2.89</v>
      </c>
    </row>
    <row r="2867" spans="1:12" x14ac:dyDescent="0.2">
      <c r="A2867" s="3">
        <v>42929</v>
      </c>
      <c r="B2867" s="2">
        <v>5793.36</v>
      </c>
      <c r="C2867" s="2">
        <v>5806.18</v>
      </c>
      <c r="D2867" s="2">
        <v>5776.62</v>
      </c>
      <c r="E2867" s="2">
        <v>6636598320631</v>
      </c>
      <c r="F2867" s="2">
        <v>0</v>
      </c>
      <c r="G2867">
        <v>3530.38</v>
      </c>
      <c r="H2867">
        <v>3550.96</v>
      </c>
      <c r="I2867">
        <v>3523.19</v>
      </c>
      <c r="J2867">
        <v>3370741061</v>
      </c>
      <c r="K2867">
        <v>0</v>
      </c>
      <c r="L2867" s="2">
        <f>VLOOKUP(A2867,[1]aaabonddata!$A:$B,2,0)</f>
        <v>2.91</v>
      </c>
    </row>
    <row r="2868" spans="1:12" x14ac:dyDescent="0.2">
      <c r="A2868" s="3">
        <v>42930</v>
      </c>
      <c r="B2868" s="2">
        <v>5838.08</v>
      </c>
      <c r="C2868" s="2">
        <v>5844.8</v>
      </c>
      <c r="D2868" s="2">
        <v>5799.85</v>
      </c>
      <c r="E2868" s="2">
        <v>6687835688219</v>
      </c>
      <c r="F2868" s="2">
        <v>0</v>
      </c>
      <c r="G2868">
        <v>3567.97</v>
      </c>
      <c r="H2868">
        <v>3569.98</v>
      </c>
      <c r="I2868">
        <v>3543.87</v>
      </c>
      <c r="J2868">
        <v>3406626356</v>
      </c>
      <c r="K2868">
        <v>0</v>
      </c>
      <c r="L2868" s="2">
        <f>VLOOKUP(A2868,[1]aaabonddata!$A:$B,2,0)</f>
        <v>2.88</v>
      </c>
    </row>
    <row r="2869" spans="1:12" x14ac:dyDescent="0.2">
      <c r="A2869" s="3">
        <v>42933</v>
      </c>
      <c r="B2869" s="2">
        <v>5839.74</v>
      </c>
      <c r="C2869" s="2">
        <v>5860.64</v>
      </c>
      <c r="D2869" s="2">
        <v>5830.25</v>
      </c>
      <c r="E2869" s="2">
        <v>6689729632503</v>
      </c>
      <c r="F2869" s="2">
        <v>0</v>
      </c>
      <c r="G2869">
        <v>3563.46</v>
      </c>
      <c r="H2869">
        <v>3573.94</v>
      </c>
      <c r="I2869">
        <v>3553.12</v>
      </c>
      <c r="J2869">
        <v>3402324737</v>
      </c>
      <c r="K2869">
        <v>0</v>
      </c>
      <c r="L2869" s="2">
        <f>VLOOKUP(A2869,[1]aaabonddata!$A:$B,2,0)</f>
        <v>2.87</v>
      </c>
    </row>
    <row r="2870" spans="1:12" x14ac:dyDescent="0.2">
      <c r="A2870" s="3">
        <v>42934</v>
      </c>
      <c r="B2870" s="2">
        <v>5880.1</v>
      </c>
      <c r="C2870" s="2">
        <v>5880.55</v>
      </c>
      <c r="D2870" s="2">
        <v>5818.2</v>
      </c>
      <c r="E2870" s="2">
        <v>6735962719289</v>
      </c>
      <c r="F2870" s="2">
        <v>0</v>
      </c>
      <c r="G2870">
        <v>3577.57</v>
      </c>
      <c r="H2870">
        <v>3578.06</v>
      </c>
      <c r="I2870">
        <v>3539.47</v>
      </c>
      <c r="J2870">
        <v>3415796736</v>
      </c>
      <c r="K2870">
        <v>0</v>
      </c>
      <c r="L2870" s="2">
        <f>VLOOKUP(A2870,[1]aaabonddata!$A:$B,2,0)</f>
        <v>2.83</v>
      </c>
    </row>
    <row r="2871" spans="1:12" x14ac:dyDescent="0.2">
      <c r="A2871" s="3">
        <v>42935</v>
      </c>
      <c r="B2871" s="2">
        <v>5916.16</v>
      </c>
      <c r="C2871" s="2">
        <v>5922.37</v>
      </c>
      <c r="D2871" s="2">
        <v>5895.54</v>
      </c>
      <c r="E2871" s="2">
        <v>6777279395425</v>
      </c>
      <c r="F2871" s="2">
        <v>0</v>
      </c>
      <c r="G2871">
        <v>3605.64</v>
      </c>
      <c r="H2871">
        <v>3607.22</v>
      </c>
      <c r="I2871">
        <v>3588.76</v>
      </c>
      <c r="J2871">
        <v>3442595279</v>
      </c>
      <c r="K2871">
        <v>0</v>
      </c>
      <c r="L2871" s="2">
        <f>VLOOKUP(A2871,[1]aaabonddata!$A:$B,2,0)</f>
        <v>2.84</v>
      </c>
    </row>
    <row r="2872" spans="1:12" x14ac:dyDescent="0.2">
      <c r="A2872" s="3">
        <v>42936</v>
      </c>
      <c r="B2872" s="2">
        <v>5921.22</v>
      </c>
      <c r="C2872" s="2">
        <v>5932.61</v>
      </c>
      <c r="D2872" s="2">
        <v>5896.61</v>
      </c>
      <c r="E2872" s="2">
        <v>6783077100962</v>
      </c>
      <c r="F2872" s="2">
        <v>0</v>
      </c>
      <c r="G2872">
        <v>3606.48</v>
      </c>
      <c r="H2872">
        <v>3608.12</v>
      </c>
      <c r="I2872">
        <v>3579.79</v>
      </c>
      <c r="J2872">
        <v>3443393386</v>
      </c>
      <c r="K2872">
        <v>0</v>
      </c>
      <c r="L2872" s="2">
        <f>VLOOKUP(A2872,[1]aaabonddata!$A:$B,2,0)</f>
        <v>2.84</v>
      </c>
    </row>
    <row r="2873" spans="1:12" x14ac:dyDescent="0.2">
      <c r="A2873" s="3">
        <v>42937</v>
      </c>
      <c r="B2873" s="2">
        <v>5921.52</v>
      </c>
      <c r="C2873" s="2">
        <v>5921.52</v>
      </c>
      <c r="D2873" s="2">
        <v>5890.25</v>
      </c>
      <c r="E2873" s="2">
        <v>6783422602845</v>
      </c>
      <c r="F2873" s="2">
        <v>0</v>
      </c>
      <c r="G2873">
        <v>3584.39</v>
      </c>
      <c r="H2873">
        <v>3589.36</v>
      </c>
      <c r="I2873">
        <v>3572.07</v>
      </c>
      <c r="J2873">
        <v>3422305609</v>
      </c>
      <c r="K2873">
        <v>0</v>
      </c>
      <c r="L2873" s="2">
        <f>VLOOKUP(A2873,[1]aaabonddata!$A:$B,2,0)</f>
        <v>2.81</v>
      </c>
    </row>
    <row r="2874" spans="1:12" x14ac:dyDescent="0.2">
      <c r="A2874" s="3">
        <v>42940</v>
      </c>
      <c r="B2874" s="2">
        <v>5941.37</v>
      </c>
      <c r="C2874" s="2">
        <v>5950.58</v>
      </c>
      <c r="D2874" s="2">
        <v>5912.74</v>
      </c>
      <c r="E2874" s="2">
        <v>6806155230876</v>
      </c>
      <c r="F2874" s="2">
        <v>92564456</v>
      </c>
      <c r="G2874">
        <v>3586.66</v>
      </c>
      <c r="H2874">
        <v>3590.4</v>
      </c>
      <c r="I2874">
        <v>3575.82</v>
      </c>
      <c r="J2874">
        <v>3424477202</v>
      </c>
      <c r="K2874">
        <v>0</v>
      </c>
      <c r="L2874" s="2">
        <f>VLOOKUP(A2874,[1]aaabonddata!$A:$B,2,0)</f>
        <v>2.84</v>
      </c>
    </row>
    <row r="2875" spans="1:12" x14ac:dyDescent="0.2">
      <c r="A2875" s="3">
        <v>42941</v>
      </c>
      <c r="B2875" s="2">
        <v>5930.65</v>
      </c>
      <c r="C2875" s="2">
        <v>5945.06</v>
      </c>
      <c r="D2875" s="2">
        <v>5916.29</v>
      </c>
      <c r="E2875" s="2">
        <v>6793870937734</v>
      </c>
      <c r="F2875" s="2">
        <v>0</v>
      </c>
      <c r="G2875">
        <v>3566.66</v>
      </c>
      <c r="H2875">
        <v>3575.27</v>
      </c>
      <c r="I2875">
        <v>3540.81</v>
      </c>
      <c r="J2875">
        <v>3405380261</v>
      </c>
      <c r="K2875">
        <v>0</v>
      </c>
      <c r="L2875" s="2">
        <f>VLOOKUP(A2875,[1]aaabonddata!$A:$B,2,0)</f>
        <v>2.9</v>
      </c>
    </row>
    <row r="2876" spans="1:12" x14ac:dyDescent="0.2">
      <c r="A2876" s="3">
        <v>42942</v>
      </c>
      <c r="B2876" s="2">
        <v>5950.73</v>
      </c>
      <c r="C2876" s="2">
        <v>5954.38</v>
      </c>
      <c r="D2876" s="2">
        <v>5939.17</v>
      </c>
      <c r="E2876" s="2">
        <v>6816883132379</v>
      </c>
      <c r="F2876" s="2">
        <v>0</v>
      </c>
      <c r="G2876">
        <v>3568.24</v>
      </c>
      <c r="H2876">
        <v>3576.61</v>
      </c>
      <c r="I2876">
        <v>3554.91</v>
      </c>
      <c r="J2876">
        <v>3406888280</v>
      </c>
      <c r="K2876">
        <v>0</v>
      </c>
      <c r="L2876" s="2">
        <f>VLOOKUP(A2876,[1]aaabonddata!$A:$B,2,0)</f>
        <v>2.86</v>
      </c>
    </row>
    <row r="2877" spans="1:12" x14ac:dyDescent="0.2">
      <c r="A2877" s="3">
        <v>42943</v>
      </c>
      <c r="B2877" s="2">
        <v>5917.03</v>
      </c>
      <c r="C2877" s="2">
        <v>5995.77</v>
      </c>
      <c r="D2877" s="2">
        <v>5847.05</v>
      </c>
      <c r="E2877" s="2">
        <v>6778270865074</v>
      </c>
      <c r="F2877" s="2">
        <v>498161907</v>
      </c>
      <c r="G2877">
        <v>3521.62</v>
      </c>
      <c r="H2877">
        <v>3586.89</v>
      </c>
      <c r="I2877">
        <v>3479.17</v>
      </c>
      <c r="J2877">
        <v>3362375582</v>
      </c>
      <c r="K2877">
        <v>627353</v>
      </c>
      <c r="L2877" s="2">
        <f>VLOOKUP(A2877,[1]aaabonddata!$A:$B,2,0)</f>
        <v>2.88</v>
      </c>
    </row>
    <row r="2878" spans="1:12" x14ac:dyDescent="0.2">
      <c r="A2878" s="3">
        <v>42944</v>
      </c>
      <c r="B2878" s="2">
        <v>5908.92</v>
      </c>
      <c r="C2878" s="2">
        <v>5918.31</v>
      </c>
      <c r="D2878" s="2">
        <v>5868.92</v>
      </c>
      <c r="E2878" s="2">
        <v>6768978088289</v>
      </c>
      <c r="F2878" s="2">
        <v>250876122</v>
      </c>
      <c r="G2878">
        <v>3516.48</v>
      </c>
      <c r="H2878">
        <v>3524.86</v>
      </c>
      <c r="I2878">
        <v>3496.98</v>
      </c>
      <c r="J2878">
        <v>3357461861</v>
      </c>
      <c r="K2878">
        <v>0</v>
      </c>
      <c r="L2878" s="2">
        <f>VLOOKUP(A2878,[1]aaabonddata!$A:$B,2,0)</f>
        <v>2.86</v>
      </c>
    </row>
    <row r="2879" spans="1:12" x14ac:dyDescent="0.2">
      <c r="A2879" s="3">
        <v>42947</v>
      </c>
      <c r="B2879" s="2">
        <v>5880.33</v>
      </c>
      <c r="C2879" s="2">
        <v>5932.37</v>
      </c>
      <c r="D2879" s="2">
        <v>5871.79</v>
      </c>
      <c r="E2879" s="2">
        <v>6736227829278</v>
      </c>
      <c r="F2879" s="2">
        <v>0</v>
      </c>
      <c r="G2879">
        <v>3500.97</v>
      </c>
      <c r="H2879">
        <v>3535.6</v>
      </c>
      <c r="I2879">
        <v>3491.32</v>
      </c>
      <c r="J2879">
        <v>3342657837</v>
      </c>
      <c r="K2879">
        <v>0</v>
      </c>
      <c r="L2879" s="2">
        <f>VLOOKUP(A2879,[1]aaabonddata!$A:$B,2,0)</f>
        <v>2.88</v>
      </c>
    </row>
    <row r="2880" spans="1:12" x14ac:dyDescent="0.2">
      <c r="A2880" s="3">
        <v>42948</v>
      </c>
      <c r="B2880" s="2">
        <v>5895.17</v>
      </c>
      <c r="C2880" s="2">
        <v>5905.29</v>
      </c>
      <c r="D2880" s="2">
        <v>5880.45</v>
      </c>
      <c r="E2880" s="2">
        <v>6753232719699</v>
      </c>
      <c r="F2880" s="2">
        <v>0</v>
      </c>
      <c r="G2880">
        <v>3514.82</v>
      </c>
      <c r="H2880">
        <v>3517.24</v>
      </c>
      <c r="I2880">
        <v>3499.18</v>
      </c>
      <c r="J2880">
        <v>3355883187</v>
      </c>
      <c r="K2880">
        <v>0</v>
      </c>
      <c r="L2880" s="2">
        <f>VLOOKUP(A2880,[1]aaabonddata!$A:$B,2,0)</f>
        <v>2.84</v>
      </c>
    </row>
    <row r="2881" spans="1:12" x14ac:dyDescent="0.2">
      <c r="A2881" s="3">
        <v>42949</v>
      </c>
      <c r="B2881" s="2">
        <v>5914.23</v>
      </c>
      <c r="C2881" s="2">
        <v>5936.15</v>
      </c>
      <c r="D2881" s="2">
        <v>5859.62</v>
      </c>
      <c r="E2881" s="2">
        <v>6775066149388</v>
      </c>
      <c r="F2881" s="2">
        <v>0</v>
      </c>
      <c r="G2881">
        <v>3491.28</v>
      </c>
      <c r="H2881">
        <v>3528.13</v>
      </c>
      <c r="I2881">
        <v>3465.13</v>
      </c>
      <c r="J2881">
        <v>3333406034</v>
      </c>
      <c r="K2881">
        <v>0</v>
      </c>
      <c r="L2881" s="2">
        <f>VLOOKUP(A2881,[1]aaabonddata!$A:$B,2,0)</f>
        <v>2.86</v>
      </c>
    </row>
    <row r="2882" spans="1:12" x14ac:dyDescent="0.2">
      <c r="A2882" s="3">
        <v>42950</v>
      </c>
      <c r="B2882" s="2">
        <v>5891.2</v>
      </c>
      <c r="C2882" s="2">
        <v>5917.47</v>
      </c>
      <c r="D2882" s="2">
        <v>5879.72</v>
      </c>
      <c r="E2882" s="2">
        <v>6748680871336</v>
      </c>
      <c r="F2882" s="2">
        <v>1308498633</v>
      </c>
      <c r="G2882">
        <v>3485.9</v>
      </c>
      <c r="H2882">
        <v>3496.85</v>
      </c>
      <c r="I2882">
        <v>3470.43</v>
      </c>
      <c r="J2882">
        <v>3328264465</v>
      </c>
      <c r="K2882">
        <v>773928</v>
      </c>
      <c r="L2882" s="2">
        <f>VLOOKUP(A2882,[1]aaabonddata!$A:$B,2,0)</f>
        <v>2.83</v>
      </c>
    </row>
    <row r="2883" spans="1:12" x14ac:dyDescent="0.2">
      <c r="A2883" s="3">
        <v>42951</v>
      </c>
      <c r="B2883" s="2">
        <v>5899.91</v>
      </c>
      <c r="C2883" s="2">
        <v>5912.56</v>
      </c>
      <c r="D2883" s="2">
        <v>5877.06</v>
      </c>
      <c r="E2883" s="2">
        <v>6758656149147</v>
      </c>
      <c r="F2883" s="2">
        <v>59047856</v>
      </c>
      <c r="G2883">
        <v>3487.77</v>
      </c>
      <c r="H2883">
        <v>3509.79</v>
      </c>
      <c r="I2883">
        <v>3481.39</v>
      </c>
      <c r="J2883">
        <v>3330057748</v>
      </c>
      <c r="K2883">
        <v>314033</v>
      </c>
      <c r="L2883" s="2">
        <f>VLOOKUP(A2883,[1]aaabonddata!$A:$B,2,0)</f>
        <v>2.87</v>
      </c>
    </row>
    <row r="2884" spans="1:12" x14ac:dyDescent="0.2">
      <c r="A2884" s="3">
        <v>42954</v>
      </c>
      <c r="B2884" s="2">
        <v>5934.73</v>
      </c>
      <c r="C2884" s="2">
        <v>5936.79</v>
      </c>
      <c r="D2884" s="2">
        <v>5903.75</v>
      </c>
      <c r="E2884" s="2">
        <v>6798547774998</v>
      </c>
      <c r="F2884" s="2">
        <v>0</v>
      </c>
      <c r="G2884">
        <v>3520.1</v>
      </c>
      <c r="H2884">
        <v>3520.93</v>
      </c>
      <c r="I2884">
        <v>3490.4</v>
      </c>
      <c r="J2884">
        <v>3360920361</v>
      </c>
      <c r="K2884">
        <v>0</v>
      </c>
      <c r="L2884" s="2">
        <f>VLOOKUP(A2884,[1]aaabonddata!$A:$B,2,0)</f>
        <v>2.85</v>
      </c>
    </row>
    <row r="2885" spans="1:12" x14ac:dyDescent="0.2">
      <c r="A2885" s="3">
        <v>42955</v>
      </c>
      <c r="B2885" s="2">
        <v>5926.35</v>
      </c>
      <c r="C2885" s="2">
        <v>5972.93</v>
      </c>
      <c r="D2885" s="2">
        <v>5910.5</v>
      </c>
      <c r="E2885" s="2">
        <v>6788952240901</v>
      </c>
      <c r="F2885" s="2">
        <v>546674619</v>
      </c>
      <c r="G2885">
        <v>3510.05</v>
      </c>
      <c r="H2885">
        <v>3544.33</v>
      </c>
      <c r="I2885">
        <v>3501.05</v>
      </c>
      <c r="J2885">
        <v>3351328578</v>
      </c>
      <c r="K2885">
        <v>540624</v>
      </c>
      <c r="L2885" s="2">
        <f>VLOOKUP(A2885,[1]aaabonddata!$A:$B,2,0)</f>
        <v>2.88</v>
      </c>
    </row>
    <row r="2886" spans="1:12" x14ac:dyDescent="0.2">
      <c r="A2886" s="3">
        <v>42956</v>
      </c>
      <c r="B2886" s="2">
        <v>5919.39</v>
      </c>
      <c r="C2886" s="2">
        <v>5920.96</v>
      </c>
      <c r="D2886" s="2">
        <v>5866.17</v>
      </c>
      <c r="E2886" s="2">
        <v>6780978760992</v>
      </c>
      <c r="F2886" s="2">
        <v>0</v>
      </c>
      <c r="G2886">
        <v>3508.94</v>
      </c>
      <c r="H2886">
        <v>3511.06</v>
      </c>
      <c r="I2886">
        <v>3475.7</v>
      </c>
      <c r="J2886">
        <v>3350264200</v>
      </c>
      <c r="K2886">
        <v>0</v>
      </c>
      <c r="L2886" s="2">
        <f>VLOOKUP(A2886,[1]aaabonddata!$A:$B,2,0)</f>
        <v>2.86</v>
      </c>
    </row>
    <row r="2887" spans="1:12" x14ac:dyDescent="0.2">
      <c r="A2887" s="3">
        <v>42957</v>
      </c>
      <c r="B2887" s="2">
        <v>5788.19</v>
      </c>
      <c r="C2887" s="2">
        <v>5887.27</v>
      </c>
      <c r="D2887" s="2">
        <v>5783.36</v>
      </c>
      <c r="E2887" s="2">
        <v>6630683310568</v>
      </c>
      <c r="F2887" s="2">
        <v>3333978082</v>
      </c>
      <c r="G2887">
        <v>3415.7</v>
      </c>
      <c r="H2887">
        <v>3481.2</v>
      </c>
      <c r="I2887">
        <v>3413.43</v>
      </c>
      <c r="J2887">
        <v>3261239083</v>
      </c>
      <c r="K2887">
        <v>442820</v>
      </c>
      <c r="L2887" s="2">
        <f>VLOOKUP(A2887,[1]aaabonddata!$A:$B,2,0)</f>
        <v>2.85</v>
      </c>
    </row>
    <row r="2888" spans="1:12" x14ac:dyDescent="0.2">
      <c r="A2888" s="3">
        <v>42958</v>
      </c>
      <c r="B2888" s="2">
        <v>5831.53</v>
      </c>
      <c r="C2888" s="2">
        <v>5844.61</v>
      </c>
      <c r="D2888" s="2">
        <v>5785.26</v>
      </c>
      <c r="E2888" s="2">
        <v>6680331622238</v>
      </c>
      <c r="F2888" s="2">
        <v>92489948</v>
      </c>
      <c r="G2888">
        <v>3446.06</v>
      </c>
      <c r="H2888">
        <v>3452.02</v>
      </c>
      <c r="I2888">
        <v>3407.66</v>
      </c>
      <c r="J2888">
        <v>3290230894</v>
      </c>
      <c r="K2888">
        <v>603889</v>
      </c>
      <c r="L2888" s="2">
        <f>VLOOKUP(A2888,[1]aaabonddata!$A:$B,2,0)</f>
        <v>2.84</v>
      </c>
    </row>
    <row r="2889" spans="1:12" x14ac:dyDescent="0.2">
      <c r="A2889" s="3">
        <v>42961</v>
      </c>
      <c r="B2889" s="2">
        <v>5908.17</v>
      </c>
      <c r="C2889" s="2">
        <v>5916.33</v>
      </c>
      <c r="D2889" s="2">
        <v>5878</v>
      </c>
      <c r="E2889" s="2">
        <v>6768120443519</v>
      </c>
      <c r="F2889" s="2">
        <v>87819900</v>
      </c>
      <c r="G2889">
        <v>3509.86</v>
      </c>
      <c r="H2889">
        <v>3514.03</v>
      </c>
      <c r="I2889">
        <v>3478.59</v>
      </c>
      <c r="J2889">
        <v>3351147983</v>
      </c>
      <c r="K2889">
        <v>0</v>
      </c>
      <c r="L2889" s="2">
        <f>VLOOKUP(A2889,[1]aaabonddata!$A:$B,2,0)</f>
        <v>2.86</v>
      </c>
    </row>
    <row r="2890" spans="1:12" x14ac:dyDescent="0.2">
      <c r="A2890" s="3">
        <v>42962</v>
      </c>
      <c r="B2890" s="2">
        <v>5907.73</v>
      </c>
      <c r="C2890" s="2">
        <v>5919.75</v>
      </c>
      <c r="D2890" s="2">
        <v>5893.85</v>
      </c>
      <c r="E2890" s="2">
        <v>6767620110424</v>
      </c>
      <c r="F2890" s="2">
        <v>3856709742</v>
      </c>
      <c r="G2890">
        <v>3511.45</v>
      </c>
      <c r="H2890">
        <v>3516.54</v>
      </c>
      <c r="I2890">
        <v>3495.37</v>
      </c>
      <c r="J2890">
        <v>3352667210</v>
      </c>
      <c r="K2890">
        <v>557143</v>
      </c>
      <c r="L2890" s="2">
        <f>VLOOKUP(A2890,[1]aaabonddata!$A:$B,2,0)</f>
        <v>2.89</v>
      </c>
    </row>
    <row r="2891" spans="1:12" x14ac:dyDescent="0.2">
      <c r="A2891" s="3">
        <v>42963</v>
      </c>
      <c r="B2891" s="2">
        <v>5917.42</v>
      </c>
      <c r="C2891" s="2">
        <v>5944.98</v>
      </c>
      <c r="D2891" s="2">
        <v>5899.56</v>
      </c>
      <c r="E2891" s="2">
        <v>6778720253907</v>
      </c>
      <c r="F2891" s="2">
        <v>1412871592</v>
      </c>
      <c r="G2891">
        <v>3529.8</v>
      </c>
      <c r="H2891">
        <v>3541.01</v>
      </c>
      <c r="I2891">
        <v>3513.59</v>
      </c>
      <c r="J2891">
        <v>3370180207</v>
      </c>
      <c r="K2891">
        <v>0</v>
      </c>
      <c r="L2891" s="2">
        <f>VLOOKUP(A2891,[1]aaabonddata!$A:$B,2,0)</f>
        <v>2.85</v>
      </c>
    </row>
    <row r="2892" spans="1:12" x14ac:dyDescent="0.2">
      <c r="A2892" s="3">
        <v>42964</v>
      </c>
      <c r="B2892" s="2">
        <v>5796.32</v>
      </c>
      <c r="C2892" s="2">
        <v>5903.87</v>
      </c>
      <c r="D2892" s="2">
        <v>5796.32</v>
      </c>
      <c r="E2892" s="2">
        <v>6639990957054</v>
      </c>
      <c r="F2892" s="2">
        <v>163372372</v>
      </c>
      <c r="G2892">
        <v>3445.23</v>
      </c>
      <c r="H2892">
        <v>3519.57</v>
      </c>
      <c r="I2892">
        <v>3445.23</v>
      </c>
      <c r="J2892">
        <v>3289438291</v>
      </c>
      <c r="K2892">
        <v>709268</v>
      </c>
      <c r="L2892" s="2">
        <f>VLOOKUP(A2892,[1]aaabonddata!$A:$B,2,0)</f>
        <v>2.83</v>
      </c>
    </row>
    <row r="2893" spans="1:12" x14ac:dyDescent="0.2">
      <c r="A2893" s="3">
        <v>42965</v>
      </c>
      <c r="B2893" s="2">
        <v>5790.91</v>
      </c>
      <c r="C2893" s="2">
        <v>5831.08</v>
      </c>
      <c r="D2893" s="2">
        <v>5770.14</v>
      </c>
      <c r="E2893" s="2">
        <v>6633794927300</v>
      </c>
      <c r="F2893" s="2">
        <v>88349531</v>
      </c>
      <c r="G2893">
        <v>3452.1</v>
      </c>
      <c r="H2893">
        <v>3475.77</v>
      </c>
      <c r="I2893">
        <v>3431.58</v>
      </c>
      <c r="J2893">
        <v>3295999872</v>
      </c>
      <c r="K2893">
        <v>225259</v>
      </c>
      <c r="L2893" s="2">
        <f>VLOOKUP(A2893,[1]aaabonddata!$A:$B,2,0)</f>
        <v>2.83</v>
      </c>
    </row>
    <row r="2894" spans="1:12" x14ac:dyDescent="0.2">
      <c r="A2894" s="3">
        <v>42968</v>
      </c>
      <c r="B2894" s="2">
        <v>5786.54</v>
      </c>
      <c r="C2894" s="2">
        <v>5804.3</v>
      </c>
      <c r="D2894" s="2">
        <v>5750.5</v>
      </c>
      <c r="E2894" s="2">
        <v>6628786788396</v>
      </c>
      <c r="F2894" s="2">
        <v>51383455</v>
      </c>
      <c r="G2894">
        <v>3447.3</v>
      </c>
      <c r="H2894">
        <v>3460.25</v>
      </c>
      <c r="I2894">
        <v>3423.64</v>
      </c>
      <c r="J2894">
        <v>3291414320</v>
      </c>
      <c r="K2894">
        <v>0</v>
      </c>
      <c r="L2894" s="2">
        <f>VLOOKUP(A2894,[1]aaabonddata!$A:$B,2,0)</f>
        <v>2.82</v>
      </c>
    </row>
    <row r="2895" spans="1:12" x14ac:dyDescent="0.2">
      <c r="A2895" s="3">
        <v>42969</v>
      </c>
      <c r="B2895" s="2">
        <v>5873.33</v>
      </c>
      <c r="C2895" s="2">
        <v>5879</v>
      </c>
      <c r="D2895" s="2">
        <v>5817.02</v>
      </c>
      <c r="E2895" s="2">
        <v>6728215901902</v>
      </c>
      <c r="F2895" s="2">
        <v>463783640</v>
      </c>
      <c r="G2895">
        <v>3503.76</v>
      </c>
      <c r="H2895">
        <v>3508.25</v>
      </c>
      <c r="I2895">
        <v>3468.12</v>
      </c>
      <c r="J2895">
        <v>3345321963</v>
      </c>
      <c r="K2895">
        <v>1129479</v>
      </c>
      <c r="L2895" s="2">
        <f>VLOOKUP(A2895,[1]aaabonddata!$A:$B,2,0)</f>
        <v>2.84</v>
      </c>
    </row>
    <row r="2896" spans="1:12" x14ac:dyDescent="0.2">
      <c r="A2896" s="3">
        <v>42970</v>
      </c>
      <c r="B2896" s="2">
        <v>5851.78</v>
      </c>
      <c r="C2896" s="2">
        <v>5864.78</v>
      </c>
      <c r="D2896" s="2">
        <v>5840.71</v>
      </c>
      <c r="E2896" s="2">
        <v>6703529913503</v>
      </c>
      <c r="F2896" s="2">
        <v>63267708</v>
      </c>
      <c r="G2896">
        <v>3499.13</v>
      </c>
      <c r="H2896">
        <v>3506.37</v>
      </c>
      <c r="I2896">
        <v>3479.26</v>
      </c>
      <c r="J2896">
        <v>3340902312</v>
      </c>
      <c r="K2896">
        <v>279489</v>
      </c>
      <c r="L2896" s="2">
        <f>VLOOKUP(A2896,[1]aaabonddata!$A:$B,2,0)</f>
        <v>2.81</v>
      </c>
    </row>
    <row r="2897" spans="1:12" x14ac:dyDescent="0.2">
      <c r="A2897" s="3">
        <v>42971</v>
      </c>
      <c r="B2897" s="2">
        <v>5834.44</v>
      </c>
      <c r="C2897" s="2">
        <v>5871.87</v>
      </c>
      <c r="D2897" s="2">
        <v>5802.77</v>
      </c>
      <c r="E2897" s="2">
        <v>6683662831948</v>
      </c>
      <c r="F2897" s="2">
        <v>0</v>
      </c>
      <c r="G2897">
        <v>3495.97</v>
      </c>
      <c r="H2897">
        <v>3509.74</v>
      </c>
      <c r="I2897">
        <v>3477.2</v>
      </c>
      <c r="J2897">
        <v>3337883154</v>
      </c>
      <c r="K2897">
        <v>0</v>
      </c>
      <c r="L2897" s="2">
        <f>VLOOKUP(A2897,[1]aaabonddata!$A:$B,2,0)</f>
        <v>2.83</v>
      </c>
    </row>
    <row r="2898" spans="1:12" x14ac:dyDescent="0.2">
      <c r="A2898" s="3">
        <v>42972</v>
      </c>
      <c r="B2898" s="2">
        <v>5822.53</v>
      </c>
      <c r="C2898" s="2">
        <v>5870.47</v>
      </c>
      <c r="D2898" s="2">
        <v>5815.6</v>
      </c>
      <c r="E2898" s="2">
        <v>6670021834526</v>
      </c>
      <c r="F2898" s="2">
        <v>0</v>
      </c>
      <c r="G2898">
        <v>3493.41</v>
      </c>
      <c r="H2898">
        <v>3520.47</v>
      </c>
      <c r="I2898">
        <v>3487.75</v>
      </c>
      <c r="J2898">
        <v>3335436550</v>
      </c>
      <c r="K2898">
        <v>0</v>
      </c>
      <c r="L2898" s="2">
        <f>VLOOKUP(A2898,[1]aaabonddata!$A:$B,2,0)</f>
        <v>2.81</v>
      </c>
    </row>
    <row r="2899" spans="1:12" x14ac:dyDescent="0.2">
      <c r="A2899" s="3">
        <v>42975</v>
      </c>
      <c r="B2899" s="2">
        <v>5838.08</v>
      </c>
      <c r="C2899" s="2">
        <v>5852.8</v>
      </c>
      <c r="D2899" s="2">
        <v>5821.87</v>
      </c>
      <c r="E2899" s="2">
        <v>6687833788594</v>
      </c>
      <c r="F2899" s="2">
        <v>842138815</v>
      </c>
      <c r="G2899">
        <v>3499.58</v>
      </c>
      <c r="H2899">
        <v>3505.38</v>
      </c>
      <c r="I2899">
        <v>3485.64</v>
      </c>
      <c r="J2899">
        <v>3341331091</v>
      </c>
      <c r="K2899">
        <v>1003168</v>
      </c>
      <c r="L2899" s="2">
        <f>VLOOKUP(A2899,[1]aaabonddata!$A:$B,2,0)</f>
        <v>2.8</v>
      </c>
    </row>
    <row r="2900" spans="1:12" x14ac:dyDescent="0.2">
      <c r="A2900" s="3">
        <v>42976</v>
      </c>
      <c r="B2900" s="2">
        <v>5862.14</v>
      </c>
      <c r="C2900" s="2">
        <v>5871.79</v>
      </c>
      <c r="D2900" s="2">
        <v>5785.22</v>
      </c>
      <c r="E2900" s="2">
        <v>6715390912277</v>
      </c>
      <c r="F2900" s="2">
        <v>286240341</v>
      </c>
      <c r="G2900">
        <v>3508.92</v>
      </c>
      <c r="H2900">
        <v>3515.75</v>
      </c>
      <c r="I2900">
        <v>3458.84</v>
      </c>
      <c r="J2900">
        <v>3350246094</v>
      </c>
      <c r="K2900">
        <v>778378</v>
      </c>
      <c r="L2900" s="2">
        <f>VLOOKUP(A2900,[1]aaabonddata!$A:$B,2,0)</f>
        <v>2.79</v>
      </c>
    </row>
    <row r="2901" spans="1:12" x14ac:dyDescent="0.2">
      <c r="A2901" s="3">
        <v>42977</v>
      </c>
      <c r="B2901" s="2">
        <v>5932.9</v>
      </c>
      <c r="C2901" s="2">
        <v>5940.57</v>
      </c>
      <c r="D2901" s="2">
        <v>5865.34</v>
      </c>
      <c r="E2901" s="2">
        <v>6796453838733</v>
      </c>
      <c r="F2901" s="2">
        <v>0</v>
      </c>
      <c r="G2901">
        <v>3556.71</v>
      </c>
      <c r="H2901">
        <v>3559.8</v>
      </c>
      <c r="I2901">
        <v>3510.93</v>
      </c>
      <c r="J2901">
        <v>3395881282</v>
      </c>
      <c r="K2901">
        <v>0</v>
      </c>
      <c r="L2901" s="2">
        <f>VLOOKUP(A2901,[1]aaabonddata!$A:$B,2,0)</f>
        <v>2.8</v>
      </c>
    </row>
    <row r="2902" spans="1:12" x14ac:dyDescent="0.2">
      <c r="A2902" s="3">
        <v>42978</v>
      </c>
      <c r="B2902" s="2">
        <v>5988.6</v>
      </c>
      <c r="C2902" s="2">
        <v>5995.45</v>
      </c>
      <c r="D2902" s="2">
        <v>5945.95</v>
      </c>
      <c r="E2902" s="2">
        <v>6860265354531</v>
      </c>
      <c r="F2902" s="2">
        <v>0</v>
      </c>
      <c r="G2902">
        <v>3588.8</v>
      </c>
      <c r="H2902">
        <v>3592.9</v>
      </c>
      <c r="I2902">
        <v>3564.23</v>
      </c>
      <c r="J2902">
        <v>3426518073</v>
      </c>
      <c r="K2902">
        <v>0</v>
      </c>
      <c r="L2902" s="2">
        <f>VLOOKUP(A2902,[1]aaabonddata!$A:$B,2,0)</f>
        <v>2.79</v>
      </c>
    </row>
    <row r="2903" spans="1:12" x14ac:dyDescent="0.2">
      <c r="A2903" s="3">
        <v>42979</v>
      </c>
      <c r="B2903" s="2">
        <v>5987.9</v>
      </c>
      <c r="C2903" s="2">
        <v>6009.61</v>
      </c>
      <c r="D2903" s="2">
        <v>5972.27</v>
      </c>
      <c r="E2903" s="2">
        <v>6859459212602</v>
      </c>
      <c r="F2903" s="2">
        <v>0</v>
      </c>
      <c r="G2903">
        <v>3597.72</v>
      </c>
      <c r="H2903">
        <v>3606.92</v>
      </c>
      <c r="I2903">
        <v>3584.72</v>
      </c>
      <c r="J2903">
        <v>3435031296</v>
      </c>
      <c r="K2903">
        <v>0</v>
      </c>
      <c r="L2903" s="2">
        <f>VLOOKUP(A2903,[1]aaabonddata!$A:$B,2,0)</f>
        <v>2.82</v>
      </c>
    </row>
    <row r="2904" spans="1:12" x14ac:dyDescent="0.2">
      <c r="A2904" s="3">
        <v>42983</v>
      </c>
      <c r="B2904" s="2">
        <v>5932.73</v>
      </c>
      <c r="C2904" s="2">
        <v>5980.91</v>
      </c>
      <c r="D2904" s="2">
        <v>5890.25</v>
      </c>
      <c r="E2904" s="2">
        <v>6796259630745</v>
      </c>
      <c r="F2904" s="2">
        <v>0</v>
      </c>
      <c r="G2904">
        <v>3558.78</v>
      </c>
      <c r="H2904">
        <v>3594.73</v>
      </c>
      <c r="I2904">
        <v>3532.87</v>
      </c>
      <c r="J2904">
        <v>3397855476</v>
      </c>
      <c r="K2904">
        <v>0</v>
      </c>
      <c r="L2904" s="2">
        <f>VLOOKUP(A2904,[1]aaabonddata!$A:$B,2,0)</f>
        <v>2.75</v>
      </c>
    </row>
    <row r="2905" spans="1:12" x14ac:dyDescent="0.2">
      <c r="A2905" s="3">
        <v>42984</v>
      </c>
      <c r="B2905" s="2">
        <v>5951.13</v>
      </c>
      <c r="C2905" s="2">
        <v>5964.38</v>
      </c>
      <c r="D2905" s="2">
        <v>5909.92</v>
      </c>
      <c r="E2905" s="2">
        <v>6817332230319</v>
      </c>
      <c r="F2905" s="2">
        <v>62719932</v>
      </c>
      <c r="G2905">
        <v>3566.94</v>
      </c>
      <c r="H2905">
        <v>3576.63</v>
      </c>
      <c r="I2905">
        <v>3548.55</v>
      </c>
      <c r="J2905">
        <v>3405644156</v>
      </c>
      <c r="K2905">
        <v>0</v>
      </c>
      <c r="L2905" s="2">
        <f>VLOOKUP(A2905,[1]aaabonddata!$A:$B,2,0)</f>
        <v>2.79</v>
      </c>
    </row>
    <row r="2906" spans="1:12" x14ac:dyDescent="0.2">
      <c r="A2906" s="3">
        <v>42985</v>
      </c>
      <c r="B2906" s="2">
        <v>5964.31</v>
      </c>
      <c r="C2906" s="2">
        <v>5980.15</v>
      </c>
      <c r="D2906" s="2">
        <v>5943.89</v>
      </c>
      <c r="E2906" s="2">
        <v>6832437178357</v>
      </c>
      <c r="F2906" s="2">
        <v>432140396</v>
      </c>
      <c r="G2906">
        <v>3584.24</v>
      </c>
      <c r="H2906">
        <v>3586.98</v>
      </c>
      <c r="I2906">
        <v>3560.58</v>
      </c>
      <c r="J2906">
        <v>3422166431</v>
      </c>
      <c r="K2906">
        <v>562219</v>
      </c>
      <c r="L2906" s="2">
        <f>VLOOKUP(A2906,[1]aaabonddata!$A:$B,2,0)</f>
        <v>2.76</v>
      </c>
    </row>
    <row r="2907" spans="1:12" x14ac:dyDescent="0.2">
      <c r="A2907" s="3">
        <v>42986</v>
      </c>
      <c r="B2907" s="2">
        <v>5913.37</v>
      </c>
      <c r="C2907" s="2">
        <v>5958.81</v>
      </c>
      <c r="D2907" s="2">
        <v>5907.96</v>
      </c>
      <c r="E2907" s="2">
        <v>6774079055064</v>
      </c>
      <c r="F2907" s="2">
        <v>0</v>
      </c>
      <c r="G2907">
        <v>3557.45</v>
      </c>
      <c r="H2907">
        <v>3592.5</v>
      </c>
      <c r="I2907">
        <v>3551.79</v>
      </c>
      <c r="J2907">
        <v>3396585009</v>
      </c>
      <c r="K2907">
        <v>0</v>
      </c>
      <c r="L2907" s="2">
        <f>VLOOKUP(A2907,[1]aaabonddata!$A:$B,2,0)</f>
        <v>2.77</v>
      </c>
    </row>
    <row r="2908" spans="1:12" x14ac:dyDescent="0.2">
      <c r="A2908" s="3">
        <v>42989</v>
      </c>
      <c r="B2908" s="2">
        <v>5980.53</v>
      </c>
      <c r="C2908" s="2">
        <v>5990.87</v>
      </c>
      <c r="D2908" s="2">
        <v>5960.87</v>
      </c>
      <c r="E2908" s="2">
        <v>6851010631698</v>
      </c>
      <c r="F2908" s="2">
        <v>0</v>
      </c>
      <c r="G2908">
        <v>3612.87</v>
      </c>
      <c r="H2908">
        <v>3616.39</v>
      </c>
      <c r="I2908">
        <v>3585.95</v>
      </c>
      <c r="J2908">
        <v>3449496489</v>
      </c>
      <c r="K2908">
        <v>0</v>
      </c>
      <c r="L2908" s="2">
        <f>VLOOKUP(A2908,[1]aaabonddata!$A:$B,2,0)</f>
        <v>2.82</v>
      </c>
    </row>
    <row r="2909" spans="1:12" x14ac:dyDescent="0.2">
      <c r="A2909" s="3">
        <v>42990</v>
      </c>
      <c r="B2909" s="2">
        <v>5995.64</v>
      </c>
      <c r="C2909" s="2">
        <v>6002.97</v>
      </c>
      <c r="D2909" s="2">
        <v>5968.09</v>
      </c>
      <c r="E2909" s="2">
        <v>6868319838183</v>
      </c>
      <c r="F2909" s="2">
        <v>405744330</v>
      </c>
      <c r="G2909">
        <v>3633.09</v>
      </c>
      <c r="H2909">
        <v>3634.71</v>
      </c>
      <c r="I2909">
        <v>3608.62</v>
      </c>
      <c r="J2909">
        <v>3468805832</v>
      </c>
      <c r="K2909">
        <v>303623</v>
      </c>
      <c r="L2909" s="2">
        <f>VLOOKUP(A2909,[1]aaabonddata!$A:$B,2,0)</f>
        <v>2.85</v>
      </c>
    </row>
    <row r="2910" spans="1:12" x14ac:dyDescent="0.2">
      <c r="A2910" s="3">
        <v>42991</v>
      </c>
      <c r="B2910" s="2">
        <v>6004.38</v>
      </c>
      <c r="C2910" s="2">
        <v>6004.47</v>
      </c>
      <c r="D2910" s="2">
        <v>5974.88</v>
      </c>
      <c r="E2910" s="2">
        <v>6878337959060</v>
      </c>
      <c r="F2910" s="2">
        <v>0</v>
      </c>
      <c r="G2910">
        <v>3631.98</v>
      </c>
      <c r="H2910">
        <v>3633.12</v>
      </c>
      <c r="I2910">
        <v>3613.71</v>
      </c>
      <c r="J2910">
        <v>3467740353</v>
      </c>
      <c r="K2910">
        <v>0</v>
      </c>
      <c r="L2910" s="2">
        <f>VLOOKUP(A2910,[1]aaabonddata!$A:$B,2,0)</f>
        <v>2.86</v>
      </c>
    </row>
    <row r="2911" spans="1:12" x14ac:dyDescent="0.2">
      <c r="A2911" s="3">
        <v>42992</v>
      </c>
      <c r="B2911" s="2">
        <v>5968.82</v>
      </c>
      <c r="C2911" s="2">
        <v>5997.23</v>
      </c>
      <c r="D2911" s="2">
        <v>5965.06</v>
      </c>
      <c r="E2911" s="2">
        <v>6837598959932</v>
      </c>
      <c r="F2911" s="2">
        <v>749958846</v>
      </c>
      <c r="G2911">
        <v>3632.95</v>
      </c>
      <c r="H2911">
        <v>3645.72</v>
      </c>
      <c r="I2911">
        <v>3609.39</v>
      </c>
      <c r="J2911">
        <v>3468671818</v>
      </c>
      <c r="K2911">
        <v>0</v>
      </c>
      <c r="L2911" s="2">
        <f>VLOOKUP(A2911,[1]aaabonddata!$A:$B,2,0)</f>
        <v>2.85</v>
      </c>
    </row>
    <row r="2912" spans="1:12" x14ac:dyDescent="0.2">
      <c r="A2912" s="3">
        <v>42993</v>
      </c>
      <c r="B2912" s="2">
        <v>5988</v>
      </c>
      <c r="C2912" s="2">
        <v>6009.44</v>
      </c>
      <c r="D2912" s="2">
        <v>5957.85</v>
      </c>
      <c r="E2912" s="2">
        <v>6859572318386</v>
      </c>
      <c r="F2912" s="2">
        <v>0</v>
      </c>
      <c r="G2912">
        <v>3662.84</v>
      </c>
      <c r="H2912">
        <v>3668.17</v>
      </c>
      <c r="I2912">
        <v>3631.14</v>
      </c>
      <c r="J2912">
        <v>3497209832</v>
      </c>
      <c r="K2912">
        <v>0</v>
      </c>
      <c r="L2912" s="2">
        <f>VLOOKUP(A2912,[1]aaabonddata!$A:$B,2,0)</f>
        <v>2.85</v>
      </c>
    </row>
    <row r="2913" spans="1:12" x14ac:dyDescent="0.2">
      <c r="A2913" s="3">
        <v>42996</v>
      </c>
      <c r="B2913" s="2">
        <v>5981.12</v>
      </c>
      <c r="C2913" s="2">
        <v>6012.95</v>
      </c>
      <c r="D2913" s="2">
        <v>5963.17</v>
      </c>
      <c r="E2913" s="2">
        <v>6838005171265</v>
      </c>
      <c r="F2913" s="2">
        <v>414724486</v>
      </c>
      <c r="G2913">
        <v>3693.5</v>
      </c>
      <c r="H2913">
        <v>3703.36</v>
      </c>
      <c r="I2913">
        <v>3677.85</v>
      </c>
      <c r="J2913">
        <v>3327624622</v>
      </c>
      <c r="K2913">
        <v>431746</v>
      </c>
      <c r="L2913" s="2">
        <f>VLOOKUP(A2913,[1]aaabonddata!$A:$B,2,0)</f>
        <v>2.87</v>
      </c>
    </row>
    <row r="2914" spans="1:12" x14ac:dyDescent="0.2">
      <c r="A2914" s="3">
        <v>42997</v>
      </c>
      <c r="B2914" s="2">
        <v>5991.08</v>
      </c>
      <c r="C2914" s="2">
        <v>5998.24</v>
      </c>
      <c r="D2914" s="2">
        <v>5971.17</v>
      </c>
      <c r="E2914" s="2">
        <v>6849392390459</v>
      </c>
      <c r="F2914" s="2">
        <v>181333109</v>
      </c>
      <c r="G2914">
        <v>3698.63</v>
      </c>
      <c r="H2914">
        <v>3704.76</v>
      </c>
      <c r="I2914">
        <v>3679.1</v>
      </c>
      <c r="J2914">
        <v>3332238359</v>
      </c>
      <c r="K2914">
        <v>1877794</v>
      </c>
      <c r="L2914" s="2">
        <f>VLOOKUP(A2914,[1]aaabonddata!$A:$B,2,0)</f>
        <v>2.87</v>
      </c>
    </row>
    <row r="2915" spans="1:12" x14ac:dyDescent="0.2">
      <c r="A2915" s="3">
        <v>42998</v>
      </c>
      <c r="B2915" s="2">
        <v>5973.6</v>
      </c>
      <c r="C2915" s="2">
        <v>5994.53</v>
      </c>
      <c r="D2915" s="2">
        <v>5927.7</v>
      </c>
      <c r="E2915" s="2">
        <v>6829415594805</v>
      </c>
      <c r="F2915" s="2">
        <v>0</v>
      </c>
      <c r="G2915">
        <v>3656.58</v>
      </c>
      <c r="H2915">
        <v>3693.51</v>
      </c>
      <c r="I2915">
        <v>3620.91</v>
      </c>
      <c r="J2915">
        <v>3294361431</v>
      </c>
      <c r="K2915">
        <v>0</v>
      </c>
      <c r="L2915" s="2">
        <f>VLOOKUP(A2915,[1]aaabonddata!$A:$B,2,0)</f>
        <v>2.88</v>
      </c>
    </row>
    <row r="2916" spans="1:12" x14ac:dyDescent="0.2">
      <c r="A2916" s="3">
        <v>42999</v>
      </c>
      <c r="B2916" s="2">
        <v>5934.91</v>
      </c>
      <c r="C2916" s="2">
        <v>5965.6</v>
      </c>
      <c r="D2916" s="2">
        <v>5915.74</v>
      </c>
      <c r="E2916" s="2">
        <v>6785181206790</v>
      </c>
      <c r="F2916" s="2">
        <v>0</v>
      </c>
      <c r="G2916">
        <v>3638.51</v>
      </c>
      <c r="H2916">
        <v>3654.47</v>
      </c>
      <c r="I2916">
        <v>3617.61</v>
      </c>
      <c r="J2916">
        <v>3278082141</v>
      </c>
      <c r="K2916">
        <v>0</v>
      </c>
      <c r="L2916" s="2">
        <f>VLOOKUP(A2916,[1]aaabonddata!$A:$B,2,0)</f>
        <v>2.88</v>
      </c>
    </row>
    <row r="2917" spans="1:12" x14ac:dyDescent="0.2">
      <c r="A2917" s="3">
        <v>43000</v>
      </c>
      <c r="B2917" s="2">
        <v>5932.32</v>
      </c>
      <c r="C2917" s="2">
        <v>5937.59</v>
      </c>
      <c r="D2917" s="2">
        <v>5911.48</v>
      </c>
      <c r="E2917" s="2">
        <v>6782217096151</v>
      </c>
      <c r="F2917" s="2">
        <v>0</v>
      </c>
      <c r="G2917">
        <v>3659.22</v>
      </c>
      <c r="H2917">
        <v>3661.64</v>
      </c>
      <c r="I2917">
        <v>3626.76</v>
      </c>
      <c r="J2917">
        <v>3296733388</v>
      </c>
      <c r="K2917">
        <v>0</v>
      </c>
      <c r="L2917" s="2">
        <f>VLOOKUP(A2917,[1]aaabonddata!$A:$B,2,0)</f>
        <v>2.86</v>
      </c>
    </row>
    <row r="2918" spans="1:12" x14ac:dyDescent="0.2">
      <c r="A2918" s="3">
        <v>43003</v>
      </c>
      <c r="B2918" s="2">
        <v>5867.35</v>
      </c>
      <c r="C2918" s="2">
        <v>5908.57</v>
      </c>
      <c r="D2918" s="2">
        <v>5839.89</v>
      </c>
      <c r="E2918" s="2">
        <v>6707935855651</v>
      </c>
      <c r="F2918" s="2">
        <v>0</v>
      </c>
      <c r="G2918">
        <v>3605.67</v>
      </c>
      <c r="H2918">
        <v>3642.39</v>
      </c>
      <c r="I2918">
        <v>3582.9</v>
      </c>
      <c r="J2918">
        <v>3248494474</v>
      </c>
      <c r="K2918">
        <v>0</v>
      </c>
      <c r="L2918" s="2">
        <f>VLOOKUP(A2918,[1]aaabonddata!$A:$B,2,0)</f>
        <v>2.83</v>
      </c>
    </row>
    <row r="2919" spans="1:12" x14ac:dyDescent="0.2">
      <c r="A2919" s="3">
        <v>43004</v>
      </c>
      <c r="B2919" s="2">
        <v>5881.34</v>
      </c>
      <c r="C2919" s="2">
        <v>5908.47</v>
      </c>
      <c r="D2919" s="2">
        <v>5862.99</v>
      </c>
      <c r="E2919" s="2">
        <v>6723928350171</v>
      </c>
      <c r="F2919" s="2">
        <v>0</v>
      </c>
      <c r="G2919">
        <v>3606.9</v>
      </c>
      <c r="H2919">
        <v>3636.13</v>
      </c>
      <c r="I2919">
        <v>3598.18</v>
      </c>
      <c r="J2919">
        <v>3249603244</v>
      </c>
      <c r="K2919">
        <v>0</v>
      </c>
      <c r="L2919" s="2">
        <f>VLOOKUP(A2919,[1]aaabonddata!$A:$B,2,0)</f>
        <v>2.83</v>
      </c>
    </row>
    <row r="2920" spans="1:12" x14ac:dyDescent="0.2">
      <c r="A2920" s="3">
        <v>43005</v>
      </c>
      <c r="B2920" s="2">
        <v>5937.79</v>
      </c>
      <c r="C2920" s="2">
        <v>5957.75</v>
      </c>
      <c r="D2920" s="2">
        <v>5900.35</v>
      </c>
      <c r="E2920" s="2">
        <v>6788470636560</v>
      </c>
      <c r="F2920" s="2">
        <v>0</v>
      </c>
      <c r="G2920">
        <v>3667.98</v>
      </c>
      <c r="H2920">
        <v>3681.37</v>
      </c>
      <c r="I2920">
        <v>3632.93</v>
      </c>
      <c r="J2920">
        <v>3304625693</v>
      </c>
      <c r="K2920">
        <v>0</v>
      </c>
      <c r="L2920" s="2">
        <f>VLOOKUP(A2920,[1]aaabonddata!$A:$B,2,0)</f>
        <v>2.89</v>
      </c>
    </row>
    <row r="2921" spans="1:12" x14ac:dyDescent="0.2">
      <c r="A2921" s="3">
        <v>43006</v>
      </c>
      <c r="B2921" s="2">
        <v>5933.07</v>
      </c>
      <c r="C2921" s="2">
        <v>5939.22</v>
      </c>
      <c r="D2921" s="2">
        <v>5908.62</v>
      </c>
      <c r="E2921" s="2">
        <v>6783072176526</v>
      </c>
      <c r="F2921" s="2">
        <v>505823308</v>
      </c>
      <c r="G2921">
        <v>3676.64</v>
      </c>
      <c r="H2921">
        <v>3677.58</v>
      </c>
      <c r="I2921">
        <v>3649.06</v>
      </c>
      <c r="J2921">
        <v>3312427905</v>
      </c>
      <c r="K2921">
        <v>564844</v>
      </c>
      <c r="L2921" s="2">
        <f>VLOOKUP(A2921,[1]aaabonddata!$A:$B,2,0)</f>
        <v>2.86</v>
      </c>
    </row>
    <row r="2922" spans="1:12" x14ac:dyDescent="0.2">
      <c r="A2922" s="3">
        <v>43007</v>
      </c>
      <c r="B2922" s="2">
        <v>5979.3</v>
      </c>
      <c r="C2922" s="2">
        <v>5980.22</v>
      </c>
      <c r="D2922" s="2">
        <v>5930.82</v>
      </c>
      <c r="E2922" s="2">
        <v>6835925100842</v>
      </c>
      <c r="F2922" s="2">
        <v>0</v>
      </c>
      <c r="G2922">
        <v>3713.01</v>
      </c>
      <c r="H2922">
        <v>3714.01</v>
      </c>
      <c r="I2922">
        <v>3680.78</v>
      </c>
      <c r="J2922">
        <v>3345202279</v>
      </c>
      <c r="K2922">
        <v>0</v>
      </c>
      <c r="L2922" s="2">
        <f>VLOOKUP(A2922,[1]aaabonddata!$A:$B,2,0)</f>
        <v>2.87</v>
      </c>
    </row>
    <row r="2923" spans="1:12" x14ac:dyDescent="0.2">
      <c r="A2923" s="3">
        <v>43010</v>
      </c>
      <c r="B2923" s="2">
        <v>5981.92</v>
      </c>
      <c r="C2923" s="2">
        <v>6005.2</v>
      </c>
      <c r="D2923" s="2">
        <v>5955.83</v>
      </c>
      <c r="E2923" s="2">
        <v>6838919647635</v>
      </c>
      <c r="F2923" s="2">
        <v>0</v>
      </c>
      <c r="G2923">
        <v>3726.91</v>
      </c>
      <c r="H2923">
        <v>3745.63</v>
      </c>
      <c r="I2923">
        <v>3708.01</v>
      </c>
      <c r="J2923">
        <v>3357724945</v>
      </c>
      <c r="K2923">
        <v>0</v>
      </c>
      <c r="L2923" s="2">
        <f>VLOOKUP(A2923,[1]aaabonddata!$A:$B,2,0)</f>
        <v>2.87</v>
      </c>
    </row>
    <row r="2924" spans="1:12" x14ac:dyDescent="0.2">
      <c r="A2924" s="3">
        <v>43011</v>
      </c>
      <c r="B2924" s="2">
        <v>5995.06</v>
      </c>
      <c r="C2924" s="2">
        <v>5999.19</v>
      </c>
      <c r="D2924" s="2">
        <v>5976.65</v>
      </c>
      <c r="E2924" s="2">
        <v>6853944947447</v>
      </c>
      <c r="F2924" s="2">
        <v>740868662</v>
      </c>
      <c r="G2924">
        <v>3732</v>
      </c>
      <c r="H2924">
        <v>3738.37</v>
      </c>
      <c r="I2924">
        <v>3724.45</v>
      </c>
      <c r="J2924">
        <v>3362307311</v>
      </c>
      <c r="K2924">
        <v>0</v>
      </c>
      <c r="L2924" s="2">
        <f>VLOOKUP(A2924,[1]aaabonddata!$A:$B,2,0)</f>
        <v>2.85</v>
      </c>
    </row>
    <row r="2925" spans="1:12" x14ac:dyDescent="0.2">
      <c r="A2925" s="3">
        <v>43012</v>
      </c>
      <c r="B2925" s="2">
        <v>5998.84</v>
      </c>
      <c r="C2925" s="2">
        <v>6009.81</v>
      </c>
      <c r="D2925" s="2">
        <v>5976.12</v>
      </c>
      <c r="E2925" s="2">
        <v>6858261720982</v>
      </c>
      <c r="F2925" s="2">
        <v>1450015776</v>
      </c>
      <c r="G2925">
        <v>3733.01</v>
      </c>
      <c r="H2925">
        <v>3734.57</v>
      </c>
      <c r="I2925">
        <v>3709.21</v>
      </c>
      <c r="J2925">
        <v>3363216024</v>
      </c>
      <c r="K2925">
        <v>893958</v>
      </c>
      <c r="L2925" s="2">
        <f>VLOOKUP(A2925,[1]aaabonddata!$A:$B,2,0)</f>
        <v>2.85</v>
      </c>
    </row>
    <row r="2926" spans="1:12" x14ac:dyDescent="0.2">
      <c r="A2926" s="3">
        <v>43013</v>
      </c>
      <c r="B2926" s="2">
        <v>6057.14</v>
      </c>
      <c r="C2926" s="2">
        <v>6059.21</v>
      </c>
      <c r="D2926" s="2">
        <v>6014.77</v>
      </c>
      <c r="E2926" s="2">
        <v>6924922065386</v>
      </c>
      <c r="F2926" s="2">
        <v>0</v>
      </c>
      <c r="G2926">
        <v>3752.86</v>
      </c>
      <c r="H2926">
        <v>3756.46</v>
      </c>
      <c r="I2926">
        <v>3728.33</v>
      </c>
      <c r="J2926">
        <v>3381098529</v>
      </c>
      <c r="K2926">
        <v>0</v>
      </c>
      <c r="L2926" s="2">
        <f>VLOOKUP(A2926,[1]aaabonddata!$A:$B,2,0)</f>
        <v>2.87</v>
      </c>
    </row>
    <row r="2927" spans="1:12" x14ac:dyDescent="0.2">
      <c r="A2927" s="3">
        <v>43014</v>
      </c>
      <c r="B2927" s="2">
        <v>6064.57</v>
      </c>
      <c r="C2927" s="2">
        <v>6064.67</v>
      </c>
      <c r="D2927" s="2">
        <v>6037.02</v>
      </c>
      <c r="E2927" s="2">
        <v>6933414821220</v>
      </c>
      <c r="F2927" s="2">
        <v>99924599</v>
      </c>
      <c r="G2927">
        <v>3770.45</v>
      </c>
      <c r="H2927">
        <v>3770.46</v>
      </c>
      <c r="I2927">
        <v>3740.77</v>
      </c>
      <c r="J2927">
        <v>3396949736</v>
      </c>
      <c r="K2927">
        <v>274397</v>
      </c>
      <c r="L2927" s="2">
        <f>VLOOKUP(A2927,[1]aaabonddata!$A:$B,2,0)</f>
        <v>2.88</v>
      </c>
    </row>
    <row r="2928" spans="1:12" x14ac:dyDescent="0.2">
      <c r="A2928" s="3">
        <v>43017</v>
      </c>
      <c r="B2928" s="2">
        <v>6058.53</v>
      </c>
      <c r="C2928" s="2">
        <v>6078.8</v>
      </c>
      <c r="D2928" s="2">
        <v>6051.33</v>
      </c>
      <c r="E2928" s="2">
        <v>6926508796337</v>
      </c>
      <c r="F2928" s="2">
        <v>0</v>
      </c>
      <c r="G2928">
        <v>3780.62</v>
      </c>
      <c r="H2928">
        <v>3782.51</v>
      </c>
      <c r="I2928">
        <v>3770.51</v>
      </c>
      <c r="J2928">
        <v>3406106767</v>
      </c>
      <c r="K2928">
        <v>0</v>
      </c>
      <c r="L2928" s="2">
        <f>VLOOKUP(A2928,[1]aaabonddata!$A:$B,2,0)</f>
        <v>2.88</v>
      </c>
    </row>
    <row r="2929" spans="1:12" x14ac:dyDescent="0.2">
      <c r="A2929" s="3">
        <v>43018</v>
      </c>
      <c r="B2929" s="2">
        <v>6063.52</v>
      </c>
      <c r="C2929" s="2">
        <v>6084.14</v>
      </c>
      <c r="D2929" s="2">
        <v>6036.72</v>
      </c>
      <c r="E2929" s="2">
        <v>6932214557273</v>
      </c>
      <c r="F2929" s="2">
        <v>0</v>
      </c>
      <c r="G2929">
        <v>3793.41</v>
      </c>
      <c r="H2929">
        <v>3798.97</v>
      </c>
      <c r="I2929">
        <v>3765.03</v>
      </c>
      <c r="J2929">
        <v>3417635518</v>
      </c>
      <c r="K2929">
        <v>0</v>
      </c>
      <c r="L2929" s="2">
        <f>VLOOKUP(A2929,[1]aaabonddata!$A:$B,2,0)</f>
        <v>2.86</v>
      </c>
    </row>
    <row r="2930" spans="1:12" x14ac:dyDescent="0.2">
      <c r="A2930" s="3">
        <v>43019</v>
      </c>
      <c r="B2930" s="2">
        <v>6081.25</v>
      </c>
      <c r="C2930" s="2">
        <v>6082.25</v>
      </c>
      <c r="D2930" s="2">
        <v>6052.44</v>
      </c>
      <c r="E2930" s="2">
        <v>6952482799093</v>
      </c>
      <c r="F2930" s="2">
        <v>0</v>
      </c>
      <c r="G2930">
        <v>3801.93</v>
      </c>
      <c r="H2930">
        <v>3802.76</v>
      </c>
      <c r="I2930">
        <v>3779.69</v>
      </c>
      <c r="J2930">
        <v>3425313994</v>
      </c>
      <c r="K2930">
        <v>0</v>
      </c>
      <c r="L2930" s="2">
        <f>VLOOKUP(A2930,[1]aaabonddata!$A:$B,2,0)</f>
        <v>2.86</v>
      </c>
    </row>
    <row r="2931" spans="1:12" x14ac:dyDescent="0.2">
      <c r="A2931" s="3">
        <v>43020</v>
      </c>
      <c r="B2931" s="2">
        <v>6069.99</v>
      </c>
      <c r="C2931" s="2">
        <v>6093.76</v>
      </c>
      <c r="D2931" s="2">
        <v>6063.47</v>
      </c>
      <c r="E2931" s="2">
        <v>6939607532513</v>
      </c>
      <c r="F2931" s="2">
        <v>0</v>
      </c>
      <c r="G2931">
        <v>3801.98</v>
      </c>
      <c r="H2931">
        <v>3817.11</v>
      </c>
      <c r="I2931">
        <v>3796.96</v>
      </c>
      <c r="J2931">
        <v>3425357107</v>
      </c>
      <c r="K2931">
        <v>0</v>
      </c>
      <c r="L2931" s="2">
        <f>VLOOKUP(A2931,[1]aaabonddata!$A:$B,2,0)</f>
        <v>2.85</v>
      </c>
    </row>
    <row r="2932" spans="1:12" x14ac:dyDescent="0.2">
      <c r="A2932" s="3">
        <v>43021</v>
      </c>
      <c r="B2932" s="2">
        <v>6092.45</v>
      </c>
      <c r="C2932" s="2">
        <v>6100.06</v>
      </c>
      <c r="D2932" s="2">
        <v>6087.03</v>
      </c>
      <c r="E2932" s="2">
        <v>6965290625561</v>
      </c>
      <c r="F2932" s="2">
        <v>0</v>
      </c>
      <c r="G2932">
        <v>3832.88</v>
      </c>
      <c r="H2932">
        <v>3840.42</v>
      </c>
      <c r="I2932">
        <v>3820.3</v>
      </c>
      <c r="J2932">
        <v>3453189332</v>
      </c>
      <c r="K2932">
        <v>0</v>
      </c>
      <c r="L2932" s="2">
        <f>VLOOKUP(A2932,[1]aaabonddata!$A:$B,2,0)</f>
        <v>2.82</v>
      </c>
    </row>
    <row r="2933" spans="1:12" x14ac:dyDescent="0.2">
      <c r="A2933" s="3">
        <v>43024</v>
      </c>
      <c r="B2933" s="2">
        <v>6114.53</v>
      </c>
      <c r="C2933" s="2">
        <v>6115.53</v>
      </c>
      <c r="D2933" s="2">
        <v>6095.63</v>
      </c>
      <c r="E2933" s="2">
        <v>6990525844402</v>
      </c>
      <c r="F2933" s="2">
        <v>0</v>
      </c>
      <c r="G2933">
        <v>3844.31</v>
      </c>
      <c r="H2933">
        <v>3845.32</v>
      </c>
      <c r="I2933">
        <v>3823.82</v>
      </c>
      <c r="J2933">
        <v>3463491091</v>
      </c>
      <c r="K2933">
        <v>0</v>
      </c>
      <c r="L2933" s="2">
        <f>VLOOKUP(A2933,[1]aaabonddata!$A:$B,2,0)</f>
        <v>2.85</v>
      </c>
    </row>
    <row r="2934" spans="1:12" x14ac:dyDescent="0.2">
      <c r="A2934" s="3">
        <v>43025</v>
      </c>
      <c r="B2934" s="2">
        <v>6122.61</v>
      </c>
      <c r="C2934" s="2">
        <v>6122.82</v>
      </c>
      <c r="D2934" s="2">
        <v>6103.66</v>
      </c>
      <c r="E2934" s="2">
        <v>6999768885919</v>
      </c>
      <c r="F2934" s="2">
        <v>0</v>
      </c>
      <c r="G2934">
        <v>3837.39</v>
      </c>
      <c r="H2934">
        <v>3839.16</v>
      </c>
      <c r="I2934">
        <v>3822.72</v>
      </c>
      <c r="J2934">
        <v>3457256372</v>
      </c>
      <c r="K2934">
        <v>0</v>
      </c>
      <c r="L2934" s="2">
        <f>VLOOKUP(A2934,[1]aaabonddata!$A:$B,2,0)</f>
        <v>2.84</v>
      </c>
    </row>
    <row r="2935" spans="1:12" x14ac:dyDescent="0.2">
      <c r="A2935" s="3">
        <v>43026</v>
      </c>
      <c r="B2935" s="2">
        <v>6114.35</v>
      </c>
      <c r="C2935" s="2">
        <v>6129.49</v>
      </c>
      <c r="D2935" s="2">
        <v>6106.85</v>
      </c>
      <c r="E2935" s="2">
        <v>6990326735987</v>
      </c>
      <c r="F2935" s="2">
        <v>0</v>
      </c>
      <c r="G2935">
        <v>3850.37</v>
      </c>
      <c r="H2935">
        <v>3854.24</v>
      </c>
      <c r="I2935">
        <v>3817.74</v>
      </c>
      <c r="J2935">
        <v>3468951479</v>
      </c>
      <c r="K2935">
        <v>0</v>
      </c>
      <c r="L2935" s="2">
        <f>VLOOKUP(A2935,[1]aaabonddata!$A:$B,2,0)</f>
        <v>2.86</v>
      </c>
    </row>
    <row r="2936" spans="1:12" x14ac:dyDescent="0.2">
      <c r="A2936" s="3">
        <v>43027</v>
      </c>
      <c r="B2936" s="2">
        <v>6092.62</v>
      </c>
      <c r="C2936" s="2">
        <v>6092.87</v>
      </c>
      <c r="D2936" s="2">
        <v>6051.47</v>
      </c>
      <c r="E2936" s="2">
        <v>6965476846042</v>
      </c>
      <c r="F2936" s="2">
        <v>0</v>
      </c>
      <c r="G2936">
        <v>3860.49</v>
      </c>
      <c r="H2936">
        <v>3860.66</v>
      </c>
      <c r="I2936">
        <v>3815.03</v>
      </c>
      <c r="J2936">
        <v>3478066235</v>
      </c>
      <c r="K2936">
        <v>0</v>
      </c>
      <c r="L2936" s="2">
        <f>VLOOKUP(A2936,[1]aaabonddata!$A:$B,2,0)</f>
        <v>2.85</v>
      </c>
    </row>
    <row r="2937" spans="1:12" x14ac:dyDescent="0.2">
      <c r="A2937" s="3">
        <v>43028</v>
      </c>
      <c r="B2937" s="2">
        <v>6108.82</v>
      </c>
      <c r="C2937" s="2">
        <v>6122.56</v>
      </c>
      <c r="D2937" s="2">
        <v>6102.16</v>
      </c>
      <c r="E2937" s="2">
        <v>6983998254718</v>
      </c>
      <c r="F2937" s="2">
        <v>0</v>
      </c>
      <c r="G2937">
        <v>3891.66</v>
      </c>
      <c r="H2937">
        <v>3903.59</v>
      </c>
      <c r="I2937">
        <v>3886.56</v>
      </c>
      <c r="J2937">
        <v>3506147897</v>
      </c>
      <c r="K2937">
        <v>0</v>
      </c>
      <c r="L2937" s="2">
        <f>VLOOKUP(A2937,[1]aaabonddata!$A:$B,2,0)</f>
        <v>2.89</v>
      </c>
    </row>
    <row r="2938" spans="1:12" x14ac:dyDescent="0.2">
      <c r="A2938" s="3">
        <v>43031</v>
      </c>
      <c r="B2938" s="2">
        <v>6067.83</v>
      </c>
      <c r="C2938" s="2">
        <v>6122.24</v>
      </c>
      <c r="D2938" s="2">
        <v>6061.08</v>
      </c>
      <c r="E2938" s="2">
        <v>6947698411976</v>
      </c>
      <c r="F2938" s="2">
        <v>0</v>
      </c>
      <c r="G2938">
        <v>3898.37</v>
      </c>
      <c r="H2938">
        <v>3924.83</v>
      </c>
      <c r="I2938">
        <v>3892.71</v>
      </c>
      <c r="J2938">
        <v>3512198402</v>
      </c>
      <c r="K2938">
        <v>0</v>
      </c>
      <c r="L2938" s="2">
        <f>VLOOKUP(A2938,[1]aaabonddata!$A:$B,2,0)</f>
        <v>2.88</v>
      </c>
    </row>
    <row r="2939" spans="1:12" x14ac:dyDescent="0.2">
      <c r="A2939" s="3">
        <v>43032</v>
      </c>
      <c r="B2939" s="2">
        <v>6080.22</v>
      </c>
      <c r="C2939" s="2">
        <v>6090.89</v>
      </c>
      <c r="D2939" s="2">
        <v>6057.69</v>
      </c>
      <c r="E2939" s="2">
        <v>6961880899228</v>
      </c>
      <c r="F2939" s="2">
        <v>92153016</v>
      </c>
      <c r="G2939">
        <v>3911.75</v>
      </c>
      <c r="H2939">
        <v>3918.03</v>
      </c>
      <c r="I2939">
        <v>3895.69</v>
      </c>
      <c r="J2939">
        <v>3524252675</v>
      </c>
      <c r="K2939">
        <v>0</v>
      </c>
      <c r="L2939" s="2">
        <f>VLOOKUP(A2939,[1]aaabonddata!$A:$B,2,0)</f>
        <v>2.89</v>
      </c>
    </row>
    <row r="2940" spans="1:12" x14ac:dyDescent="0.2">
      <c r="A2940" s="3">
        <v>43033</v>
      </c>
      <c r="B2940" s="2">
        <v>6055.04</v>
      </c>
      <c r="C2940" s="2">
        <v>6087.58</v>
      </c>
      <c r="D2940" s="2">
        <v>6011.24</v>
      </c>
      <c r="E2940" s="2">
        <v>6933053247298</v>
      </c>
      <c r="F2940" s="2">
        <v>0</v>
      </c>
      <c r="G2940">
        <v>3885.48</v>
      </c>
      <c r="H2940">
        <v>3924.08</v>
      </c>
      <c r="I2940">
        <v>3853.89</v>
      </c>
      <c r="J2940">
        <v>3500585282</v>
      </c>
      <c r="K2940">
        <v>0</v>
      </c>
      <c r="L2940" s="2">
        <f>VLOOKUP(A2940,[1]aaabonddata!$A:$B,2,0)</f>
        <v>2.93</v>
      </c>
    </row>
    <row r="2941" spans="1:12" x14ac:dyDescent="0.2">
      <c r="A2941" s="3">
        <v>43034</v>
      </c>
      <c r="B2941" s="2">
        <v>6037.87</v>
      </c>
      <c r="C2941" s="2">
        <v>6066.61</v>
      </c>
      <c r="D2941" s="2">
        <v>6035.95</v>
      </c>
      <c r="E2941" s="2">
        <v>6913394065793</v>
      </c>
      <c r="F2941" s="2">
        <v>0</v>
      </c>
      <c r="G2941">
        <v>3894.26</v>
      </c>
      <c r="H2941">
        <v>3904.81</v>
      </c>
      <c r="I2941">
        <v>3877.17</v>
      </c>
      <c r="J2941">
        <v>3508497635</v>
      </c>
      <c r="K2941">
        <v>0</v>
      </c>
      <c r="L2941" s="2">
        <f>VLOOKUP(A2941,[1]aaabonddata!$A:$B,2,0)</f>
        <v>2.93</v>
      </c>
    </row>
    <row r="2942" spans="1:12" x14ac:dyDescent="0.2">
      <c r="A2942" s="3">
        <v>43035</v>
      </c>
      <c r="B2942" s="2">
        <v>6213.47</v>
      </c>
      <c r="C2942" s="2">
        <v>6223.51</v>
      </c>
      <c r="D2942" s="2">
        <v>6129.79</v>
      </c>
      <c r="E2942" s="2">
        <v>7114452017813</v>
      </c>
      <c r="F2942" s="2">
        <v>0</v>
      </c>
      <c r="G2942">
        <v>3936.77</v>
      </c>
      <c r="H2942">
        <v>3941.32</v>
      </c>
      <c r="I2942">
        <v>3888.8</v>
      </c>
      <c r="J2942">
        <v>3546795180</v>
      </c>
      <c r="K2942">
        <v>0</v>
      </c>
      <c r="L2942" s="2">
        <f>VLOOKUP(A2942,[1]aaabonddata!$A:$B,2,0)</f>
        <v>2.91</v>
      </c>
    </row>
    <row r="2943" spans="1:12" x14ac:dyDescent="0.2">
      <c r="A2943" s="3">
        <v>43038</v>
      </c>
      <c r="B2943" s="2">
        <v>6227.59</v>
      </c>
      <c r="C2943" s="2">
        <v>6250.85</v>
      </c>
      <c r="D2943" s="2">
        <v>6202.53</v>
      </c>
      <c r="E2943" s="2">
        <v>7130622851488</v>
      </c>
      <c r="F2943" s="2">
        <v>613823950</v>
      </c>
      <c r="G2943">
        <v>3936.8</v>
      </c>
      <c r="H2943">
        <v>3941.81</v>
      </c>
      <c r="I2943">
        <v>3913.22</v>
      </c>
      <c r="J2943">
        <v>3546819635</v>
      </c>
      <c r="K2943">
        <v>730787</v>
      </c>
      <c r="L2943" s="2">
        <f>VLOOKUP(A2943,[1]aaabonddata!$A:$B,2,0)</f>
        <v>2.87</v>
      </c>
    </row>
    <row r="2944" spans="1:12" x14ac:dyDescent="0.2">
      <c r="A2944" s="3">
        <v>43039</v>
      </c>
      <c r="B2944" s="2">
        <v>6248.56</v>
      </c>
      <c r="C2944" s="2">
        <v>6258.42</v>
      </c>
      <c r="D2944" s="2">
        <v>6229.15</v>
      </c>
      <c r="E2944" s="2">
        <v>7154629653507</v>
      </c>
      <c r="F2944" s="2">
        <v>250994082</v>
      </c>
      <c r="G2944">
        <v>3967.67</v>
      </c>
      <c r="H2944">
        <v>3976.93</v>
      </c>
      <c r="I2944">
        <v>3940.43</v>
      </c>
      <c r="J2944">
        <v>3574635784</v>
      </c>
      <c r="K2944">
        <v>0</v>
      </c>
      <c r="L2944" s="2">
        <f>VLOOKUP(A2944,[1]aaabonddata!$A:$B,2,0)</f>
        <v>2.89</v>
      </c>
    </row>
    <row r="2945" spans="1:12" x14ac:dyDescent="0.2">
      <c r="A2945" s="3">
        <v>43040</v>
      </c>
      <c r="B2945" s="2">
        <v>6248.65</v>
      </c>
      <c r="C2945" s="2">
        <v>6276.66</v>
      </c>
      <c r="D2945" s="2">
        <v>6224.58</v>
      </c>
      <c r="E2945" s="2">
        <v>7154730969276</v>
      </c>
      <c r="F2945" s="2">
        <v>0</v>
      </c>
      <c r="G2945">
        <v>3940.48</v>
      </c>
      <c r="H2945">
        <v>3979.52</v>
      </c>
      <c r="I2945">
        <v>3917.04</v>
      </c>
      <c r="J2945">
        <v>3550138238</v>
      </c>
      <c r="K2945">
        <v>0</v>
      </c>
      <c r="L2945" s="2">
        <f>VLOOKUP(A2945,[1]aaabonddata!$A:$B,2,0)</f>
        <v>2.9</v>
      </c>
    </row>
    <row r="2946" spans="1:12" x14ac:dyDescent="0.2">
      <c r="A2946" s="3">
        <v>43041</v>
      </c>
      <c r="B2946" s="2">
        <v>6236.39</v>
      </c>
      <c r="C2946" s="2">
        <v>6243.74</v>
      </c>
      <c r="D2946" s="2">
        <v>6194.58</v>
      </c>
      <c r="E2946" s="2">
        <v>7140699300798</v>
      </c>
      <c r="F2946" s="2">
        <v>25170154</v>
      </c>
      <c r="G2946">
        <v>3941.73</v>
      </c>
      <c r="H2946">
        <v>3944.9</v>
      </c>
      <c r="I2946">
        <v>3902.25</v>
      </c>
      <c r="J2946">
        <v>3551258488</v>
      </c>
      <c r="K2946">
        <v>0</v>
      </c>
      <c r="L2946" s="2">
        <f>VLOOKUP(A2946,[1]aaabonddata!$A:$B,2,0)</f>
        <v>2.87</v>
      </c>
    </row>
    <row r="2947" spans="1:12" x14ac:dyDescent="0.2">
      <c r="A2947" s="3">
        <v>43042</v>
      </c>
      <c r="B2947" s="2">
        <v>6295.58</v>
      </c>
      <c r="C2947" s="2">
        <v>6297.62</v>
      </c>
      <c r="D2947" s="2">
        <v>6237.65</v>
      </c>
      <c r="E2947" s="2">
        <v>7208472616442</v>
      </c>
      <c r="F2947" s="2">
        <v>0</v>
      </c>
      <c r="G2947">
        <v>3980.67</v>
      </c>
      <c r="H2947">
        <v>3982.02</v>
      </c>
      <c r="I2947">
        <v>3937.01</v>
      </c>
      <c r="J2947">
        <v>3586340623</v>
      </c>
      <c r="K2947">
        <v>0</v>
      </c>
      <c r="L2947" s="2">
        <f>VLOOKUP(A2947,[1]aaabonddata!$A:$B,2,0)</f>
        <v>2.87</v>
      </c>
    </row>
    <row r="2948" spans="1:12" x14ac:dyDescent="0.2">
      <c r="A2948" s="3">
        <v>43045</v>
      </c>
      <c r="B2948" s="2">
        <v>6313.61</v>
      </c>
      <c r="C2948" s="2">
        <v>6318.58</v>
      </c>
      <c r="D2948" s="2">
        <v>6291.84</v>
      </c>
      <c r="E2948" s="2">
        <v>7229112494342</v>
      </c>
      <c r="F2948" s="2">
        <v>1280477500</v>
      </c>
      <c r="G2948">
        <v>4009.54</v>
      </c>
      <c r="H2948">
        <v>4010.66</v>
      </c>
      <c r="I2948">
        <v>3985.73</v>
      </c>
      <c r="J2948">
        <v>3612355492</v>
      </c>
      <c r="K2948">
        <v>736487</v>
      </c>
      <c r="L2948" s="2">
        <f>VLOOKUP(A2948,[1]aaabonddata!$A:$B,2,0)</f>
        <v>2.86</v>
      </c>
    </row>
    <row r="2949" spans="1:12" x14ac:dyDescent="0.2">
      <c r="A2949" s="3">
        <v>43046</v>
      </c>
      <c r="B2949" s="2">
        <v>6320.78</v>
      </c>
      <c r="C2949" s="2">
        <v>6328.58</v>
      </c>
      <c r="D2949" s="2">
        <v>6299.53</v>
      </c>
      <c r="E2949" s="2">
        <v>7237321908762</v>
      </c>
      <c r="F2949" s="2">
        <v>0</v>
      </c>
      <c r="G2949">
        <v>4000.88</v>
      </c>
      <c r="H2949">
        <v>4014.99</v>
      </c>
      <c r="I2949">
        <v>3984.2</v>
      </c>
      <c r="J2949">
        <v>3604551024</v>
      </c>
      <c r="K2949">
        <v>0</v>
      </c>
      <c r="L2949" s="2">
        <f>VLOOKUP(A2949,[1]aaabonddata!$A:$B,2,0)</f>
        <v>2.87</v>
      </c>
    </row>
    <row r="2950" spans="1:12" x14ac:dyDescent="0.2">
      <c r="A2950" s="3">
        <v>43047</v>
      </c>
      <c r="B2950" s="2">
        <v>6345.81</v>
      </c>
      <c r="C2950" s="2">
        <v>6346.98</v>
      </c>
      <c r="D2950" s="2">
        <v>6308.62</v>
      </c>
      <c r="E2950" s="2">
        <v>7265985928321</v>
      </c>
      <c r="F2950" s="2">
        <v>50743172</v>
      </c>
      <c r="G2950">
        <v>4024.74</v>
      </c>
      <c r="H2950">
        <v>4027.27</v>
      </c>
      <c r="I2950">
        <v>3989.24</v>
      </c>
      <c r="J2950">
        <v>3626048080</v>
      </c>
      <c r="K2950">
        <v>0</v>
      </c>
      <c r="L2950" s="2">
        <f>VLOOKUP(A2950,[1]aaabonddata!$A:$B,2,0)</f>
        <v>2.9</v>
      </c>
    </row>
    <row r="2951" spans="1:12" x14ac:dyDescent="0.2">
      <c r="A2951" s="3">
        <v>43048</v>
      </c>
      <c r="B2951" s="2">
        <v>6312.21</v>
      </c>
      <c r="C2951" s="2">
        <v>6315.16</v>
      </c>
      <c r="D2951" s="2">
        <v>6248.29</v>
      </c>
      <c r="E2951" s="2">
        <v>7227509329016</v>
      </c>
      <c r="F2951" s="2">
        <v>170806101</v>
      </c>
      <c r="G2951">
        <v>3967.52</v>
      </c>
      <c r="H2951">
        <v>3989.51</v>
      </c>
      <c r="I2951">
        <v>3925.93</v>
      </c>
      <c r="J2951">
        <v>3574496863</v>
      </c>
      <c r="K2951">
        <v>0</v>
      </c>
      <c r="L2951" s="2">
        <f>VLOOKUP(A2951,[1]aaabonddata!$A:$B,2,0)</f>
        <v>2.92</v>
      </c>
    </row>
    <row r="2952" spans="1:12" x14ac:dyDescent="0.2">
      <c r="A2952" s="3">
        <v>43049</v>
      </c>
      <c r="B2952" s="2">
        <v>6309.07</v>
      </c>
      <c r="C2952" s="2">
        <v>6313.17</v>
      </c>
      <c r="D2952" s="2">
        <v>6284.22</v>
      </c>
      <c r="E2952" s="2">
        <v>7223912391304</v>
      </c>
      <c r="F2952" s="2">
        <v>3730833156</v>
      </c>
      <c r="G2952">
        <v>3977.03</v>
      </c>
      <c r="H2952">
        <v>3978.66</v>
      </c>
      <c r="I2952">
        <v>3956.28</v>
      </c>
      <c r="J2952">
        <v>3583059807</v>
      </c>
      <c r="K2952">
        <v>394045</v>
      </c>
      <c r="L2952" s="2">
        <f>VLOOKUP(A2952,[1]aaabonddata!$A:$B,2,0)</f>
        <v>2.99</v>
      </c>
    </row>
    <row r="2953" spans="1:12" x14ac:dyDescent="0.2">
      <c r="A2953" s="3">
        <v>43052</v>
      </c>
      <c r="B2953" s="2">
        <v>6316.18</v>
      </c>
      <c r="C2953" s="2">
        <v>6325.18</v>
      </c>
      <c r="D2953" s="2">
        <v>6285.97</v>
      </c>
      <c r="E2953" s="2">
        <v>7232054567322</v>
      </c>
      <c r="F2953" s="2">
        <v>87844120</v>
      </c>
      <c r="G2953">
        <v>3982.52</v>
      </c>
      <c r="H2953">
        <v>3986.88</v>
      </c>
      <c r="I2953">
        <v>3956.84</v>
      </c>
      <c r="J2953">
        <v>3588014392</v>
      </c>
      <c r="K2953">
        <v>0</v>
      </c>
      <c r="L2953" s="2">
        <f>VLOOKUP(A2953,[1]aaabonddata!$A:$B,2,0)</f>
        <v>2.98</v>
      </c>
    </row>
    <row r="2954" spans="1:12" x14ac:dyDescent="0.2">
      <c r="A2954" s="3">
        <v>43053</v>
      </c>
      <c r="B2954" s="2">
        <v>6293.64</v>
      </c>
      <c r="C2954" s="2">
        <v>6300.46</v>
      </c>
      <c r="D2954" s="2">
        <v>6263.77</v>
      </c>
      <c r="E2954" s="2">
        <v>7206251718797</v>
      </c>
      <c r="F2954" s="2">
        <v>179546378</v>
      </c>
      <c r="G2954">
        <v>3982.51</v>
      </c>
      <c r="H2954">
        <v>3985.2</v>
      </c>
      <c r="I2954">
        <v>3955.79</v>
      </c>
      <c r="J2954">
        <v>3588004714</v>
      </c>
      <c r="K2954">
        <v>1110355</v>
      </c>
      <c r="L2954" s="2">
        <f>VLOOKUP(A2954,[1]aaabonddata!$A:$B,2,0)</f>
        <v>2.97</v>
      </c>
    </row>
    <row r="2955" spans="1:12" x14ac:dyDescent="0.2">
      <c r="A2955" s="3">
        <v>43054</v>
      </c>
      <c r="B2955" s="2">
        <v>6258.36</v>
      </c>
      <c r="C2955" s="2">
        <v>6276.8</v>
      </c>
      <c r="D2955" s="2">
        <v>6227.99</v>
      </c>
      <c r="E2955" s="2">
        <v>7165852424243</v>
      </c>
      <c r="F2955" s="2">
        <v>3761046469</v>
      </c>
      <c r="G2955">
        <v>3958.79</v>
      </c>
      <c r="H2955">
        <v>3975.59</v>
      </c>
      <c r="I2955">
        <v>3934.74</v>
      </c>
      <c r="J2955">
        <v>3566629735</v>
      </c>
      <c r="K2955">
        <v>557695</v>
      </c>
      <c r="L2955" s="2">
        <f>VLOOKUP(A2955,[1]aaabonddata!$A:$B,2,0)</f>
        <v>2.94</v>
      </c>
    </row>
    <row r="2956" spans="1:12" x14ac:dyDescent="0.2">
      <c r="A2956" s="3">
        <v>43055</v>
      </c>
      <c r="B2956" s="2">
        <v>6339.14</v>
      </c>
      <c r="C2956" s="2">
        <v>6352.47</v>
      </c>
      <c r="D2956" s="2">
        <v>6293.46</v>
      </c>
      <c r="E2956" s="2">
        <v>7258348071305</v>
      </c>
      <c r="F2956" s="2">
        <v>1819829610</v>
      </c>
      <c r="G2956">
        <v>4032.72</v>
      </c>
      <c r="H2956">
        <v>4042.97</v>
      </c>
      <c r="I2956">
        <v>3986.61</v>
      </c>
      <c r="J2956">
        <v>3633234425</v>
      </c>
      <c r="K2956">
        <v>0</v>
      </c>
      <c r="L2956" s="2">
        <f>VLOOKUP(A2956,[1]aaabonddata!$A:$B,2,0)</f>
        <v>2.96</v>
      </c>
    </row>
    <row r="2957" spans="1:12" x14ac:dyDescent="0.2">
      <c r="A2957" s="3">
        <v>43056</v>
      </c>
      <c r="B2957" s="2">
        <v>6314.51</v>
      </c>
      <c r="C2957" s="2">
        <v>6345.56</v>
      </c>
      <c r="D2957" s="2">
        <v>6308.48</v>
      </c>
      <c r="E2957" s="2">
        <v>7230146389220</v>
      </c>
      <c r="F2957" s="2">
        <v>168891806</v>
      </c>
      <c r="G2957">
        <v>4031.63</v>
      </c>
      <c r="H2957">
        <v>4054.09</v>
      </c>
      <c r="I2957">
        <v>4026.89</v>
      </c>
      <c r="J2957">
        <v>3632253375</v>
      </c>
      <c r="K2957">
        <v>434487</v>
      </c>
      <c r="L2957" s="2">
        <f>VLOOKUP(A2957,[1]aaabonddata!$A:$B,2,0)</f>
        <v>2.95</v>
      </c>
    </row>
    <row r="2958" spans="1:12" x14ac:dyDescent="0.2">
      <c r="A2958" s="3">
        <v>43059</v>
      </c>
      <c r="B2958" s="2">
        <v>6308.61</v>
      </c>
      <c r="C2958" s="2">
        <v>6324.59</v>
      </c>
      <c r="D2958" s="2">
        <v>6301.88</v>
      </c>
      <c r="E2958" s="2">
        <v>7223388865083</v>
      </c>
      <c r="F2958" s="2">
        <v>143160906</v>
      </c>
      <c r="G2958">
        <v>4044.05</v>
      </c>
      <c r="H2958">
        <v>4050.56</v>
      </c>
      <c r="I2958">
        <v>4032.48</v>
      </c>
      <c r="J2958">
        <v>3643447097</v>
      </c>
      <c r="K2958">
        <v>696589</v>
      </c>
      <c r="L2958" s="2">
        <f>VLOOKUP(A2958,[1]aaabonddata!$A:$B,2,0)</f>
        <v>2.96</v>
      </c>
    </row>
    <row r="2959" spans="1:12" x14ac:dyDescent="0.2">
      <c r="A2959" s="3">
        <v>43060</v>
      </c>
      <c r="B2959" s="2">
        <v>6378.63</v>
      </c>
      <c r="C2959" s="2">
        <v>6380.07</v>
      </c>
      <c r="D2959" s="2">
        <v>6336.26</v>
      </c>
      <c r="E2959" s="2">
        <v>7303561525696</v>
      </c>
      <c r="F2959" s="2">
        <v>122898640</v>
      </c>
      <c r="G2959">
        <v>4076.66</v>
      </c>
      <c r="H2959">
        <v>4084.38</v>
      </c>
      <c r="I2959">
        <v>4059.02</v>
      </c>
      <c r="J2959">
        <v>3672826272</v>
      </c>
      <c r="K2959">
        <v>0</v>
      </c>
      <c r="L2959" s="2">
        <f>VLOOKUP(A2959,[1]aaabonddata!$A:$B,2,0)</f>
        <v>2.94</v>
      </c>
    </row>
    <row r="2960" spans="1:12" x14ac:dyDescent="0.2">
      <c r="A2960" s="3">
        <v>43061</v>
      </c>
      <c r="B2960" s="2">
        <v>6386.12</v>
      </c>
      <c r="C2960" s="2">
        <v>6391.16</v>
      </c>
      <c r="D2960" s="2">
        <v>6371.74</v>
      </c>
      <c r="E2960" s="2">
        <v>7312139162826</v>
      </c>
      <c r="F2960" s="2">
        <v>458795820</v>
      </c>
      <c r="G2960">
        <v>4070.09</v>
      </c>
      <c r="H2960">
        <v>4084.09</v>
      </c>
      <c r="I2960">
        <v>4065.63</v>
      </c>
      <c r="J2960">
        <v>3666906863</v>
      </c>
      <c r="K2960">
        <v>295417</v>
      </c>
      <c r="L2960" s="2">
        <f>VLOOKUP(A2960,[1]aaabonddata!$A:$B,2,0)</f>
        <v>2.89</v>
      </c>
    </row>
    <row r="2961" spans="1:12" x14ac:dyDescent="0.2">
      <c r="A2961" s="3">
        <v>43063</v>
      </c>
      <c r="B2961" s="2">
        <v>6409.29</v>
      </c>
      <c r="C2961" s="2">
        <v>6410.77</v>
      </c>
      <c r="D2961" s="2">
        <v>6389.4</v>
      </c>
      <c r="E2961" s="2">
        <v>7338665800729</v>
      </c>
      <c r="F2961" s="2">
        <v>0</v>
      </c>
      <c r="G2961">
        <v>4094.04</v>
      </c>
      <c r="H2961">
        <v>4095.06</v>
      </c>
      <c r="I2961">
        <v>4075.73</v>
      </c>
      <c r="J2961">
        <v>3688483704</v>
      </c>
      <c r="K2961">
        <v>0</v>
      </c>
      <c r="L2961" s="2">
        <f>VLOOKUP(A2961,[1]aaabonddata!$A:$B,2,0)</f>
        <v>2.9</v>
      </c>
    </row>
    <row r="2962" spans="1:12" x14ac:dyDescent="0.2">
      <c r="A2962" s="3">
        <v>43066</v>
      </c>
      <c r="B2962" s="2">
        <v>6405.97</v>
      </c>
      <c r="C2962" s="2">
        <v>6420.21</v>
      </c>
      <c r="D2962" s="2">
        <v>6392.01</v>
      </c>
      <c r="E2962" s="2">
        <v>7334863052583</v>
      </c>
      <c r="F2962" s="2">
        <v>0</v>
      </c>
      <c r="G2962">
        <v>4055.65</v>
      </c>
      <c r="H2962">
        <v>4068.2</v>
      </c>
      <c r="I2962">
        <v>4046.03</v>
      </c>
      <c r="J2962">
        <v>3653892165</v>
      </c>
      <c r="K2962">
        <v>0</v>
      </c>
      <c r="L2962" s="2">
        <f>VLOOKUP(A2962,[1]aaabonddata!$A:$B,2,0)</f>
        <v>2.9</v>
      </c>
    </row>
    <row r="2963" spans="1:12" x14ac:dyDescent="0.2">
      <c r="A2963" s="3">
        <v>43067</v>
      </c>
      <c r="B2963" s="2">
        <v>6422.56</v>
      </c>
      <c r="C2963" s="2">
        <v>6426.04</v>
      </c>
      <c r="D2963" s="2">
        <v>6385.32</v>
      </c>
      <c r="E2963" s="2">
        <v>7353860746036</v>
      </c>
      <c r="F2963" s="2">
        <v>841358074</v>
      </c>
      <c r="G2963">
        <v>4068.5</v>
      </c>
      <c r="H2963">
        <v>4074.12</v>
      </c>
      <c r="I2963">
        <v>4045.52</v>
      </c>
      <c r="J2963">
        <v>3665477428</v>
      </c>
      <c r="K2963">
        <v>1092163</v>
      </c>
      <c r="L2963" s="2">
        <f>VLOOKUP(A2963,[1]aaabonddata!$A:$B,2,0)</f>
        <v>2.91</v>
      </c>
    </row>
    <row r="2964" spans="1:12" x14ac:dyDescent="0.2">
      <c r="A2964" s="3">
        <v>43068</v>
      </c>
      <c r="B2964" s="2">
        <v>6311.37</v>
      </c>
      <c r="C2964" s="2">
        <v>6412.69</v>
      </c>
      <c r="D2964" s="2">
        <v>6279.36</v>
      </c>
      <c r="E2964" s="2">
        <v>7226556392350</v>
      </c>
      <c r="F2964" s="2">
        <v>391630034</v>
      </c>
      <c r="G2964">
        <v>3920.85</v>
      </c>
      <c r="H2964">
        <v>4042.26</v>
      </c>
      <c r="I2964">
        <v>3893.05</v>
      </c>
      <c r="J2964">
        <v>3532448967</v>
      </c>
      <c r="K2964">
        <v>1536350</v>
      </c>
      <c r="L2964" s="2">
        <f>VLOOKUP(A2964,[1]aaabonddata!$A:$B,2,0)</f>
        <v>2.94</v>
      </c>
    </row>
    <row r="2965" spans="1:12" x14ac:dyDescent="0.2">
      <c r="A2965" s="3">
        <v>43069</v>
      </c>
      <c r="B2965" s="2">
        <v>6365.56</v>
      </c>
      <c r="C2965" s="2">
        <v>6374.19</v>
      </c>
      <c r="D2965" s="2">
        <v>6321.43</v>
      </c>
      <c r="E2965" s="2">
        <v>7288602795544</v>
      </c>
      <c r="F2965" s="2">
        <v>282339609</v>
      </c>
      <c r="G2965">
        <v>3944.61</v>
      </c>
      <c r="H2965">
        <v>3961.81</v>
      </c>
      <c r="I2965">
        <v>3921.78</v>
      </c>
      <c r="J2965">
        <v>3553858387</v>
      </c>
      <c r="K2965">
        <v>802350</v>
      </c>
      <c r="L2965" s="2">
        <f>VLOOKUP(A2965,[1]aaabonddata!$A:$B,2,0)</f>
        <v>2.99</v>
      </c>
    </row>
    <row r="2966" spans="1:12" x14ac:dyDescent="0.2">
      <c r="A2966" s="3">
        <v>43070</v>
      </c>
      <c r="B2966" s="2">
        <v>6337.87</v>
      </c>
      <c r="C2966" s="2">
        <v>6365.3</v>
      </c>
      <c r="D2966" s="2">
        <v>6244.84</v>
      </c>
      <c r="E2966" s="2">
        <v>7256897899914</v>
      </c>
      <c r="F2966" s="2">
        <v>0</v>
      </c>
      <c r="G2966">
        <v>3918.48</v>
      </c>
      <c r="H2966">
        <v>3932.47</v>
      </c>
      <c r="I2966">
        <v>3838.13</v>
      </c>
      <c r="J2966">
        <v>3530311819</v>
      </c>
      <c r="K2966">
        <v>0</v>
      </c>
      <c r="L2966" s="2">
        <f>VLOOKUP(A2966,[1]aaabonddata!$A:$B,2,0)</f>
        <v>2.94</v>
      </c>
    </row>
    <row r="2967" spans="1:12" x14ac:dyDescent="0.2">
      <c r="A2967" s="3">
        <v>43073</v>
      </c>
      <c r="B2967" s="2">
        <v>6263.7</v>
      </c>
      <c r="C2967" s="2">
        <v>6380.77</v>
      </c>
      <c r="D2967" s="2">
        <v>6256.81</v>
      </c>
      <c r="E2967" s="2">
        <v>7171969697016</v>
      </c>
      <c r="F2967" s="2">
        <v>0</v>
      </c>
      <c r="G2967">
        <v>3847.99</v>
      </c>
      <c r="H2967">
        <v>3940.73</v>
      </c>
      <c r="I2967">
        <v>3835.62</v>
      </c>
      <c r="J2967">
        <v>3466802624</v>
      </c>
      <c r="K2967">
        <v>0</v>
      </c>
      <c r="L2967" s="2">
        <f>VLOOKUP(A2967,[1]aaabonddata!$A:$B,2,0)</f>
        <v>2.95</v>
      </c>
    </row>
    <row r="2968" spans="1:12" x14ac:dyDescent="0.2">
      <c r="A2968" s="3">
        <v>43074</v>
      </c>
      <c r="B2968" s="2">
        <v>6265.11</v>
      </c>
      <c r="C2968" s="2">
        <v>6337.06</v>
      </c>
      <c r="D2968" s="2">
        <v>6235.77</v>
      </c>
      <c r="E2968" s="2">
        <v>7173583846321</v>
      </c>
      <c r="F2968" s="2">
        <v>81227343</v>
      </c>
      <c r="G2968">
        <v>3851.13</v>
      </c>
      <c r="H2968">
        <v>3905.68</v>
      </c>
      <c r="I2968">
        <v>3818.57</v>
      </c>
      <c r="J2968">
        <v>3469634676</v>
      </c>
      <c r="K2968">
        <v>289034</v>
      </c>
      <c r="L2968" s="2">
        <f>VLOOKUP(A2968,[1]aaabonddata!$A:$B,2,0)</f>
        <v>2.93</v>
      </c>
    </row>
    <row r="2969" spans="1:12" x14ac:dyDescent="0.2">
      <c r="A2969" s="3">
        <v>43075</v>
      </c>
      <c r="B2969" s="2">
        <v>6293.05</v>
      </c>
      <c r="C2969" s="2">
        <v>6304.1</v>
      </c>
      <c r="D2969" s="2">
        <v>6234.22</v>
      </c>
      <c r="E2969" s="2">
        <v>7205578229743</v>
      </c>
      <c r="F2969" s="2">
        <v>0</v>
      </c>
      <c r="G2969">
        <v>3869.02</v>
      </c>
      <c r="H2969">
        <v>3873.56</v>
      </c>
      <c r="I2969">
        <v>3817.36</v>
      </c>
      <c r="J2969">
        <v>3485751503</v>
      </c>
      <c r="K2969">
        <v>0</v>
      </c>
      <c r="L2969" s="2">
        <f>VLOOKUP(A2969,[1]aaabonddata!$A:$B,2,0)</f>
        <v>2.92</v>
      </c>
    </row>
    <row r="2970" spans="1:12" x14ac:dyDescent="0.2">
      <c r="A2970" s="3">
        <v>43076</v>
      </c>
      <c r="B2970" s="2">
        <v>6316.28</v>
      </c>
      <c r="C2970" s="2">
        <v>6333.29</v>
      </c>
      <c r="D2970" s="2">
        <v>6290.65</v>
      </c>
      <c r="E2970" s="2">
        <v>7232170139884</v>
      </c>
      <c r="F2970" s="2">
        <v>279956094</v>
      </c>
      <c r="G2970">
        <v>3902.23</v>
      </c>
      <c r="H2970">
        <v>3910.17</v>
      </c>
      <c r="I2970">
        <v>3874.69</v>
      </c>
      <c r="J2970">
        <v>3515671271</v>
      </c>
      <c r="K2970">
        <v>0</v>
      </c>
      <c r="L2970" s="2">
        <f>VLOOKUP(A2970,[1]aaabonddata!$A:$B,2,0)</f>
        <v>2.96</v>
      </c>
    </row>
    <row r="2971" spans="1:12" x14ac:dyDescent="0.2">
      <c r="A2971" s="3">
        <v>43077</v>
      </c>
      <c r="B2971" s="2">
        <v>6344.57</v>
      </c>
      <c r="C2971" s="2">
        <v>6377.55</v>
      </c>
      <c r="D2971" s="2">
        <v>6335.23</v>
      </c>
      <c r="E2971" s="2">
        <v>7264563152003</v>
      </c>
      <c r="F2971" s="2">
        <v>0</v>
      </c>
      <c r="G2971">
        <v>3905.58</v>
      </c>
      <c r="H2971">
        <v>3946.44</v>
      </c>
      <c r="I2971">
        <v>3899.87</v>
      </c>
      <c r="J2971">
        <v>3518695087</v>
      </c>
      <c r="K2971">
        <v>0</v>
      </c>
      <c r="L2971" s="2">
        <f>VLOOKUP(A2971,[1]aaabonddata!$A:$B,2,0)</f>
        <v>2.96</v>
      </c>
    </row>
    <row r="2972" spans="1:12" x14ac:dyDescent="0.2">
      <c r="A2972" s="3">
        <v>43080</v>
      </c>
      <c r="B2972" s="2">
        <v>6393.89</v>
      </c>
      <c r="C2972" s="2">
        <v>6394.43</v>
      </c>
      <c r="D2972" s="2">
        <v>6347.91</v>
      </c>
      <c r="E2972" s="2">
        <v>7321034401807</v>
      </c>
      <c r="F2972" s="2">
        <v>0</v>
      </c>
      <c r="G2972">
        <v>3929.93</v>
      </c>
      <c r="H2972">
        <v>3930.17</v>
      </c>
      <c r="I2972">
        <v>3906.03</v>
      </c>
      <c r="J2972">
        <v>3540629367</v>
      </c>
      <c r="K2972">
        <v>0</v>
      </c>
      <c r="L2972" s="2">
        <f>VLOOKUP(A2972,[1]aaabonddata!$A:$B,2,0)</f>
        <v>2.96</v>
      </c>
    </row>
    <row r="2973" spans="1:12" x14ac:dyDescent="0.2">
      <c r="A2973" s="3">
        <v>43081</v>
      </c>
      <c r="B2973" s="2">
        <v>6383.65</v>
      </c>
      <c r="C2973" s="2">
        <v>6403.5</v>
      </c>
      <c r="D2973" s="2">
        <v>6371.69</v>
      </c>
      <c r="E2973" s="2">
        <v>7309314139231</v>
      </c>
      <c r="F2973" s="2">
        <v>0</v>
      </c>
      <c r="G2973">
        <v>3912.11</v>
      </c>
      <c r="H2973">
        <v>3931.98</v>
      </c>
      <c r="I2973">
        <v>3902.8</v>
      </c>
      <c r="J2973">
        <v>3524573022</v>
      </c>
      <c r="K2973">
        <v>0</v>
      </c>
      <c r="L2973" s="2">
        <f>VLOOKUP(A2973,[1]aaabonddata!$A:$B,2,0)</f>
        <v>2.97</v>
      </c>
    </row>
    <row r="2974" spans="1:12" x14ac:dyDescent="0.2">
      <c r="A2974" s="3">
        <v>43082</v>
      </c>
      <c r="B2974" s="2">
        <v>6394.67</v>
      </c>
      <c r="C2974" s="2">
        <v>6416.83</v>
      </c>
      <c r="D2974" s="2">
        <v>6388.41</v>
      </c>
      <c r="E2974" s="2">
        <v>7321503227014</v>
      </c>
      <c r="F2974" s="2">
        <v>0</v>
      </c>
      <c r="G2974">
        <v>3923.26</v>
      </c>
      <c r="H2974">
        <v>3946.83</v>
      </c>
      <c r="I2974">
        <v>3921.22</v>
      </c>
      <c r="J2974">
        <v>3534620301</v>
      </c>
      <c r="K2974">
        <v>0</v>
      </c>
      <c r="L2974" s="2">
        <f>VLOOKUP(A2974,[1]aaabonddata!$A:$B,2,0)</f>
        <v>2.91</v>
      </c>
    </row>
    <row r="2975" spans="1:12" x14ac:dyDescent="0.2">
      <c r="A2975" s="3">
        <v>43083</v>
      </c>
      <c r="B2975" s="2">
        <v>6389.91</v>
      </c>
      <c r="C2975" s="2">
        <v>6423.68</v>
      </c>
      <c r="D2975" s="2">
        <v>6386.25</v>
      </c>
      <c r="E2975" s="2">
        <v>7316053708760</v>
      </c>
      <c r="F2975" s="2">
        <v>749625288</v>
      </c>
      <c r="G2975">
        <v>3917.98</v>
      </c>
      <c r="H2975">
        <v>3944.08</v>
      </c>
      <c r="I2975">
        <v>3917.21</v>
      </c>
      <c r="J2975">
        <v>3529864756</v>
      </c>
      <c r="K2975">
        <v>0</v>
      </c>
      <c r="L2975" s="2">
        <f>VLOOKUP(A2975,[1]aaabonddata!$A:$B,2,0)</f>
        <v>2.91</v>
      </c>
    </row>
    <row r="2976" spans="1:12" x14ac:dyDescent="0.2">
      <c r="A2976" s="3">
        <v>43084</v>
      </c>
      <c r="B2976" s="2">
        <v>6466.32</v>
      </c>
      <c r="C2976" s="2">
        <v>6470.92</v>
      </c>
      <c r="D2976" s="2">
        <v>6405.03</v>
      </c>
      <c r="E2976" s="2">
        <v>7403542537747</v>
      </c>
      <c r="F2976" s="2">
        <v>0</v>
      </c>
      <c r="G2976">
        <v>3965.77</v>
      </c>
      <c r="H2976">
        <v>3971.2</v>
      </c>
      <c r="I2976">
        <v>3916.53</v>
      </c>
      <c r="J2976">
        <v>3572917673</v>
      </c>
      <c r="K2976">
        <v>0</v>
      </c>
      <c r="L2976" s="2">
        <f>VLOOKUP(A2976,[1]aaabonddata!$A:$B,2,0)</f>
        <v>2.91</v>
      </c>
    </row>
    <row r="2977" spans="1:12" x14ac:dyDescent="0.2">
      <c r="A2977" s="3">
        <v>43087</v>
      </c>
      <c r="B2977" s="2">
        <v>6513.27</v>
      </c>
      <c r="C2977" s="2">
        <v>6522.7</v>
      </c>
      <c r="D2977" s="2">
        <v>6495.18</v>
      </c>
      <c r="E2977" s="2">
        <v>7458067233360</v>
      </c>
      <c r="F2977" s="2">
        <v>713963870</v>
      </c>
      <c r="G2977">
        <v>4011.95</v>
      </c>
      <c r="H2977">
        <v>4013.25</v>
      </c>
      <c r="I2977">
        <v>3992.06</v>
      </c>
      <c r="J2977">
        <v>3641922231</v>
      </c>
      <c r="K2977">
        <v>698464</v>
      </c>
      <c r="L2977" s="2">
        <f>VLOOKUP(A2977,[1]aaabonddata!$A:$B,2,0)</f>
        <v>2.94</v>
      </c>
    </row>
    <row r="2978" spans="1:12" x14ac:dyDescent="0.2">
      <c r="A2978" s="3">
        <v>43088</v>
      </c>
      <c r="B2978" s="2">
        <v>6480.67</v>
      </c>
      <c r="C2978" s="2">
        <v>6510.87</v>
      </c>
      <c r="D2978" s="2">
        <v>6462.79</v>
      </c>
      <c r="E2978" s="2">
        <v>7420737476450</v>
      </c>
      <c r="F2978" s="2">
        <v>182270705</v>
      </c>
      <c r="G2978">
        <v>3996.59</v>
      </c>
      <c r="H2978">
        <v>4014.87</v>
      </c>
      <c r="I2978">
        <v>3984.58</v>
      </c>
      <c r="J2978">
        <v>3627976908</v>
      </c>
      <c r="K2978">
        <v>1499286</v>
      </c>
      <c r="L2978" s="2">
        <f>VLOOKUP(A2978,[1]aaabonddata!$A:$B,2,0)</f>
        <v>2.99</v>
      </c>
    </row>
    <row r="2979" spans="1:12" x14ac:dyDescent="0.2">
      <c r="A2979" s="3">
        <v>43089</v>
      </c>
      <c r="B2979" s="2">
        <v>6472.48</v>
      </c>
      <c r="C2979" s="2">
        <v>6504.55</v>
      </c>
      <c r="D2979" s="2">
        <v>6447.93</v>
      </c>
      <c r="E2979" s="2">
        <v>7411365022863</v>
      </c>
      <c r="F2979" s="2">
        <v>0</v>
      </c>
      <c r="G2979">
        <v>3998.78</v>
      </c>
      <c r="H2979">
        <v>4025.57</v>
      </c>
      <c r="I2979">
        <v>3974.99</v>
      </c>
      <c r="J2979">
        <v>3629966924</v>
      </c>
      <c r="K2979">
        <v>0</v>
      </c>
      <c r="L2979" s="2">
        <f>VLOOKUP(A2979,[1]aaabonddata!$A:$B,2,0)</f>
        <v>3.03</v>
      </c>
    </row>
    <row r="2980" spans="1:12" x14ac:dyDescent="0.2">
      <c r="A2980" s="3">
        <v>43090</v>
      </c>
      <c r="B2980" s="2">
        <v>6472.69</v>
      </c>
      <c r="C2980" s="2">
        <v>6501.52</v>
      </c>
      <c r="D2980" s="2">
        <v>6467.78</v>
      </c>
      <c r="E2980" s="2">
        <v>7411599974537</v>
      </c>
      <c r="F2980" s="2">
        <v>0</v>
      </c>
      <c r="G2980">
        <v>3977.4</v>
      </c>
      <c r="H2980">
        <v>4014.96</v>
      </c>
      <c r="I2980">
        <v>3974.18</v>
      </c>
      <c r="J2980">
        <v>3610556158</v>
      </c>
      <c r="K2980">
        <v>0</v>
      </c>
      <c r="L2980" s="2">
        <f>VLOOKUP(A2980,[1]aaabonddata!$A:$B,2,0)</f>
        <v>3</v>
      </c>
    </row>
    <row r="2981" spans="1:12" x14ac:dyDescent="0.2">
      <c r="A2981" s="3">
        <v>43091</v>
      </c>
      <c r="B2981" s="2">
        <v>6465.17</v>
      </c>
      <c r="C2981" s="2">
        <v>6467.83</v>
      </c>
      <c r="D2981" s="2">
        <v>6449</v>
      </c>
      <c r="E2981" s="2">
        <v>7402986858774</v>
      </c>
      <c r="F2981" s="2">
        <v>0</v>
      </c>
      <c r="G2981">
        <v>3969.38</v>
      </c>
      <c r="H2981">
        <v>3974.01</v>
      </c>
      <c r="I2981">
        <v>3957.73</v>
      </c>
      <c r="J2981">
        <v>3603280240</v>
      </c>
      <c r="K2981">
        <v>0</v>
      </c>
      <c r="L2981" s="2">
        <f>VLOOKUP(A2981,[1]aaabonddata!$A:$B,2,0)</f>
        <v>3.01</v>
      </c>
    </row>
    <row r="2982" spans="1:12" x14ac:dyDescent="0.2">
      <c r="A2982" s="3">
        <v>43095</v>
      </c>
      <c r="B2982" s="2">
        <v>6433.16</v>
      </c>
      <c r="C2982" s="2">
        <v>6438.24</v>
      </c>
      <c r="D2982" s="2">
        <v>6407.99</v>
      </c>
      <c r="E2982" s="2">
        <v>7366340835576</v>
      </c>
      <c r="F2982" s="2">
        <v>0</v>
      </c>
      <c r="G2982">
        <v>3943.71</v>
      </c>
      <c r="H2982">
        <v>3947.2</v>
      </c>
      <c r="I2982">
        <v>3920.96</v>
      </c>
      <c r="J2982">
        <v>3579974422</v>
      </c>
      <c r="K2982">
        <v>0</v>
      </c>
      <c r="L2982" s="2">
        <f>VLOOKUP(A2982,[1]aaabonddata!$A:$B,2,0)</f>
        <v>2.99</v>
      </c>
    </row>
    <row r="2983" spans="1:12" x14ac:dyDescent="0.2">
      <c r="A2983" s="3">
        <v>43096</v>
      </c>
      <c r="B2983" s="2">
        <v>6435.15</v>
      </c>
      <c r="C2983" s="2">
        <v>6448.94</v>
      </c>
      <c r="D2983" s="2">
        <v>6425.92</v>
      </c>
      <c r="E2983" s="2">
        <v>7368619616258</v>
      </c>
      <c r="F2983" s="2">
        <v>0</v>
      </c>
      <c r="G2983">
        <v>3954.74</v>
      </c>
      <c r="H2983">
        <v>3964.06</v>
      </c>
      <c r="I2983">
        <v>3942.2</v>
      </c>
      <c r="J2983">
        <v>3589985658</v>
      </c>
      <c r="K2983">
        <v>0</v>
      </c>
      <c r="L2983" s="2">
        <f>VLOOKUP(A2983,[1]aaabonddata!$A:$B,2,0)</f>
        <v>2.94</v>
      </c>
    </row>
    <row r="2984" spans="1:12" x14ac:dyDescent="0.2">
      <c r="A2984" s="3">
        <v>43097</v>
      </c>
      <c r="B2984" s="2">
        <v>6441.42</v>
      </c>
      <c r="C2984" s="2">
        <v>6452.07</v>
      </c>
      <c r="D2984" s="2">
        <v>6432.68</v>
      </c>
      <c r="E2984" s="2">
        <v>7375797298993</v>
      </c>
      <c r="F2984" s="2">
        <v>503379660</v>
      </c>
      <c r="G2984">
        <v>3953.87</v>
      </c>
      <c r="H2984">
        <v>3967.93</v>
      </c>
      <c r="I2984">
        <v>3946.07</v>
      </c>
      <c r="J2984">
        <v>3589200139</v>
      </c>
      <c r="K2984">
        <v>612595</v>
      </c>
      <c r="L2984" s="2">
        <f>VLOOKUP(A2984,[1]aaabonddata!$A:$B,2,0)</f>
        <v>2.95</v>
      </c>
    </row>
    <row r="2985" spans="1:12" x14ac:dyDescent="0.2">
      <c r="A2985" s="3">
        <v>43098</v>
      </c>
      <c r="B2985" s="2">
        <v>6396.42</v>
      </c>
      <c r="C2985" s="2">
        <v>6442.53</v>
      </c>
      <c r="D2985" s="2">
        <v>6396.42</v>
      </c>
      <c r="E2985" s="2">
        <v>7324271598823</v>
      </c>
      <c r="F2985" s="2">
        <v>0</v>
      </c>
      <c r="G2985">
        <v>3920.96</v>
      </c>
      <c r="H2985">
        <v>3958.68</v>
      </c>
      <c r="I2985">
        <v>3920.96</v>
      </c>
      <c r="J2985">
        <v>3559321126</v>
      </c>
      <c r="K2985">
        <v>0</v>
      </c>
      <c r="L2985" s="2">
        <f>VLOOKUP(A2985,[1]aaabonddata!$A:$B,2,0)</f>
        <v>2.93</v>
      </c>
    </row>
    <row r="2986" spans="1:12" x14ac:dyDescent="0.2">
      <c r="A2986" s="3">
        <v>43102</v>
      </c>
      <c r="B2986" s="2">
        <v>6511.34</v>
      </c>
      <c r="C2986" s="2">
        <v>6513.02</v>
      </c>
      <c r="D2986" s="2">
        <v>6417.75</v>
      </c>
      <c r="E2986" s="2">
        <v>7452422480567</v>
      </c>
      <c r="F2986" s="2">
        <v>734631574</v>
      </c>
      <c r="G2986">
        <v>3995.96</v>
      </c>
      <c r="H2986">
        <v>3995.96</v>
      </c>
      <c r="I2986">
        <v>3929.65</v>
      </c>
      <c r="J2986">
        <v>3627410169</v>
      </c>
      <c r="K2986">
        <v>0</v>
      </c>
      <c r="L2986" s="2">
        <f>VLOOKUP(A2986,[1]aaabonddata!$A:$B,2,0)</f>
        <v>3.01</v>
      </c>
    </row>
    <row r="2987" spans="1:12" x14ac:dyDescent="0.2">
      <c r="A2987" s="3">
        <v>43103</v>
      </c>
      <c r="B2987" s="2">
        <v>6575.8</v>
      </c>
      <c r="C2987" s="2">
        <v>6579.25</v>
      </c>
      <c r="D2987" s="2">
        <v>6519.26</v>
      </c>
      <c r="E2987" s="2">
        <v>7526199170841</v>
      </c>
      <c r="F2987" s="2">
        <v>0</v>
      </c>
      <c r="G2987">
        <v>4044.33</v>
      </c>
      <c r="H2987">
        <v>4046.44</v>
      </c>
      <c r="I2987">
        <v>4000.98</v>
      </c>
      <c r="J2987">
        <v>3671312405</v>
      </c>
      <c r="K2987">
        <v>0</v>
      </c>
      <c r="L2987" s="2">
        <f>VLOOKUP(A2987,[1]aaabonddata!$A:$B,2,0)</f>
        <v>3</v>
      </c>
    </row>
    <row r="2988" spans="1:12" x14ac:dyDescent="0.2">
      <c r="A2988" s="3">
        <v>43104</v>
      </c>
      <c r="B2988" s="2">
        <v>6584.58</v>
      </c>
      <c r="C2988" s="2">
        <v>6603.17</v>
      </c>
      <c r="D2988" s="2">
        <v>6576.92</v>
      </c>
      <c r="E2988" s="2">
        <v>7536242542484</v>
      </c>
      <c r="F2988" s="2">
        <v>1433650416</v>
      </c>
      <c r="G2988">
        <v>4071.28</v>
      </c>
      <c r="H2988">
        <v>4080.07</v>
      </c>
      <c r="I2988">
        <v>4047.06</v>
      </c>
      <c r="J2988">
        <v>3695785032</v>
      </c>
      <c r="K2988">
        <v>759361</v>
      </c>
      <c r="L2988" s="2">
        <f>VLOOKUP(A2988,[1]aaabonddata!$A:$B,2,0)</f>
        <v>3.01</v>
      </c>
    </row>
    <row r="2989" spans="1:12" x14ac:dyDescent="0.2">
      <c r="A2989" s="3">
        <v>43105</v>
      </c>
      <c r="B2989" s="2">
        <v>6653.29</v>
      </c>
      <c r="C2989" s="2">
        <v>6654.98</v>
      </c>
      <c r="D2989" s="2">
        <v>6605.03</v>
      </c>
      <c r="E2989" s="2">
        <v>7614886283141</v>
      </c>
      <c r="F2989" s="2">
        <v>0</v>
      </c>
      <c r="G2989">
        <v>4102.37</v>
      </c>
      <c r="H2989">
        <v>4108.03</v>
      </c>
      <c r="I2989">
        <v>4079.4</v>
      </c>
      <c r="J2989">
        <v>3724006727</v>
      </c>
      <c r="K2989">
        <v>0</v>
      </c>
      <c r="L2989" s="2">
        <f>VLOOKUP(A2989,[1]aaabonddata!$A:$B,2,0)</f>
        <v>3.02</v>
      </c>
    </row>
    <row r="2990" spans="1:12" x14ac:dyDescent="0.2">
      <c r="A2990" s="3">
        <v>43108</v>
      </c>
      <c r="B2990" s="2">
        <v>6676.63</v>
      </c>
      <c r="C2990" s="2">
        <v>6680.32</v>
      </c>
      <c r="D2990" s="2">
        <v>6649.2</v>
      </c>
      <c r="E2990" s="2">
        <v>7641600589169</v>
      </c>
      <c r="F2990" s="2">
        <v>0</v>
      </c>
      <c r="G2990">
        <v>4129.0200000000004</v>
      </c>
      <c r="H2990">
        <v>4134.66</v>
      </c>
      <c r="I2990">
        <v>4099.45</v>
      </c>
      <c r="J2990">
        <v>3748192634</v>
      </c>
      <c r="K2990">
        <v>0</v>
      </c>
      <c r="L2990" s="2">
        <f>VLOOKUP(A2990,[1]aaabonddata!$A:$B,2,0)</f>
        <v>3.02</v>
      </c>
    </row>
    <row r="2991" spans="1:12" x14ac:dyDescent="0.2">
      <c r="A2991" s="3">
        <v>43109</v>
      </c>
      <c r="B2991" s="2">
        <v>6677.94</v>
      </c>
      <c r="C2991" s="2">
        <v>6696.12</v>
      </c>
      <c r="D2991" s="2">
        <v>6658.27</v>
      </c>
      <c r="E2991" s="2">
        <v>7643093217608</v>
      </c>
      <c r="F2991" s="2">
        <v>99703459</v>
      </c>
      <c r="G2991">
        <v>4112.17</v>
      </c>
      <c r="H2991">
        <v>4137.6099999999997</v>
      </c>
      <c r="I2991">
        <v>4099.28</v>
      </c>
      <c r="J2991">
        <v>3732901520</v>
      </c>
      <c r="K2991">
        <v>244284</v>
      </c>
      <c r="L2991" s="2">
        <f>VLOOKUP(A2991,[1]aaabonddata!$A:$B,2,0)</f>
        <v>3.06</v>
      </c>
    </row>
    <row r="2992" spans="1:12" x14ac:dyDescent="0.2">
      <c r="A2992" s="3">
        <v>43110</v>
      </c>
      <c r="B2992" s="2">
        <v>6662.66</v>
      </c>
      <c r="C2992" s="2">
        <v>6663.51</v>
      </c>
      <c r="D2992" s="2">
        <v>6619.35</v>
      </c>
      <c r="E2992" s="2">
        <v>7625607948783</v>
      </c>
      <c r="F2992" s="2">
        <v>0</v>
      </c>
      <c r="G2992">
        <v>4088.35</v>
      </c>
      <c r="H2992">
        <v>4096.8</v>
      </c>
      <c r="I2992">
        <v>4063.1</v>
      </c>
      <c r="J2992">
        <v>3711273844</v>
      </c>
      <c r="K2992">
        <v>0</v>
      </c>
      <c r="L2992" s="2">
        <f>VLOOKUP(A2992,[1]aaabonddata!$A:$B,2,0)</f>
        <v>3.06</v>
      </c>
    </row>
    <row r="2993" spans="1:12" x14ac:dyDescent="0.2">
      <c r="A2993" s="3">
        <v>43111</v>
      </c>
      <c r="B2993" s="2">
        <v>6708.49</v>
      </c>
      <c r="C2993" s="2">
        <v>6708.49</v>
      </c>
      <c r="D2993" s="2">
        <v>6664.74</v>
      </c>
      <c r="E2993" s="2">
        <v>7678066284916</v>
      </c>
      <c r="F2993" s="2">
        <v>0</v>
      </c>
      <c r="G2993">
        <v>4105.58</v>
      </c>
      <c r="H2993">
        <v>4106.93</v>
      </c>
      <c r="I2993">
        <v>4085.44</v>
      </c>
      <c r="J2993">
        <v>3726920495</v>
      </c>
      <c r="K2993">
        <v>0</v>
      </c>
      <c r="L2993" s="2">
        <f>VLOOKUP(A2993,[1]aaabonddata!$A:$B,2,0)</f>
        <v>3.04</v>
      </c>
    </row>
    <row r="2994" spans="1:12" x14ac:dyDescent="0.2">
      <c r="A2994" s="3">
        <v>43112</v>
      </c>
      <c r="B2994" s="2">
        <v>6758.54</v>
      </c>
      <c r="C2994" s="2">
        <v>6763.98</v>
      </c>
      <c r="D2994" s="2">
        <v>6695.52</v>
      </c>
      <c r="E2994" s="2">
        <v>7735348513590</v>
      </c>
      <c r="F2994" s="2">
        <v>0</v>
      </c>
      <c r="G2994">
        <v>4136.3999999999996</v>
      </c>
      <c r="H2994">
        <v>4143.82</v>
      </c>
      <c r="I2994">
        <v>4103.32</v>
      </c>
      <c r="J2994">
        <v>3754893811</v>
      </c>
      <c r="K2994">
        <v>0</v>
      </c>
      <c r="L2994" s="2">
        <f>VLOOKUP(A2994,[1]aaabonddata!$A:$B,2,0)</f>
        <v>3.04</v>
      </c>
    </row>
    <row r="2995" spans="1:12" x14ac:dyDescent="0.2">
      <c r="A2995" s="3">
        <v>43116</v>
      </c>
      <c r="B2995" s="2">
        <v>6737.14</v>
      </c>
      <c r="C2995" s="2">
        <v>6835.79</v>
      </c>
      <c r="D2995" s="2">
        <v>6719.11</v>
      </c>
      <c r="E2995" s="2">
        <v>7710851181385</v>
      </c>
      <c r="F2995" s="2">
        <v>0</v>
      </c>
      <c r="G2995">
        <v>4120.13</v>
      </c>
      <c r="H2995">
        <v>4185.54</v>
      </c>
      <c r="I2995">
        <v>4101.8999999999996</v>
      </c>
      <c r="J2995">
        <v>3740127906</v>
      </c>
      <c r="K2995">
        <v>0</v>
      </c>
      <c r="L2995" s="2">
        <f>VLOOKUP(A2995,[1]aaabonddata!$A:$B,2,0)</f>
        <v>3.04</v>
      </c>
    </row>
    <row r="2996" spans="1:12" x14ac:dyDescent="0.2">
      <c r="A2996" s="3">
        <v>43117</v>
      </c>
      <c r="B2996" s="2">
        <v>6810.28</v>
      </c>
      <c r="C2996" s="2">
        <v>6820.04</v>
      </c>
      <c r="D2996" s="2">
        <v>6738.45</v>
      </c>
      <c r="E2996" s="2">
        <v>7795859470672</v>
      </c>
      <c r="F2996" s="2">
        <v>0</v>
      </c>
      <c r="G2996">
        <v>4205.54</v>
      </c>
      <c r="H2996">
        <v>4210.7700000000004</v>
      </c>
      <c r="I2996">
        <v>4145.78</v>
      </c>
      <c r="J2996">
        <v>3817661712</v>
      </c>
      <c r="K2996">
        <v>0</v>
      </c>
      <c r="L2996" s="2">
        <f>VLOOKUP(A2996,[1]aaabonddata!$A:$B,2,0)</f>
        <v>3.06</v>
      </c>
    </row>
    <row r="2997" spans="1:12" x14ac:dyDescent="0.2">
      <c r="A2997" s="3">
        <v>43118</v>
      </c>
      <c r="B2997" s="2">
        <v>6811.38</v>
      </c>
      <c r="C2997" s="2">
        <v>6826.79</v>
      </c>
      <c r="D2997" s="2">
        <v>6784.72</v>
      </c>
      <c r="E2997" s="2">
        <v>7797112611737</v>
      </c>
      <c r="F2997" s="2">
        <v>0</v>
      </c>
      <c r="G2997">
        <v>4213.76</v>
      </c>
      <c r="H2997">
        <v>4225.37</v>
      </c>
      <c r="I2997">
        <v>4192.6400000000003</v>
      </c>
      <c r="J2997">
        <v>3825116355</v>
      </c>
      <c r="K2997">
        <v>0</v>
      </c>
      <c r="L2997" s="2">
        <f>VLOOKUP(A2997,[1]aaabonddata!$A:$B,2,0)</f>
        <v>3.09</v>
      </c>
    </row>
    <row r="2998" spans="1:12" x14ac:dyDescent="0.2">
      <c r="A2998" s="3">
        <v>43119</v>
      </c>
      <c r="B2998" s="2">
        <v>6834.33</v>
      </c>
      <c r="C2998" s="2">
        <v>6843.24</v>
      </c>
      <c r="D2998" s="2">
        <v>6801.59</v>
      </c>
      <c r="E2998" s="2">
        <v>7823385358517</v>
      </c>
      <c r="F2998" s="2">
        <v>0</v>
      </c>
      <c r="G2998">
        <v>4227.68</v>
      </c>
      <c r="H2998">
        <v>4229.7</v>
      </c>
      <c r="I2998">
        <v>4203.66</v>
      </c>
      <c r="J2998">
        <v>3837755702</v>
      </c>
      <c r="K2998">
        <v>0</v>
      </c>
      <c r="L2998" s="2">
        <f>VLOOKUP(A2998,[1]aaabonddata!$A:$B,2,0)</f>
        <v>3.12</v>
      </c>
    </row>
    <row r="2999" spans="1:12" x14ac:dyDescent="0.2">
      <c r="A2999" s="3">
        <v>43122</v>
      </c>
      <c r="B2999" s="2">
        <v>6906.28</v>
      </c>
      <c r="C2999" s="2">
        <v>6906.28</v>
      </c>
      <c r="D2999" s="2">
        <v>6822.85</v>
      </c>
      <c r="E2999" s="2">
        <v>7905746380079</v>
      </c>
      <c r="F2999" s="2">
        <v>0</v>
      </c>
      <c r="G2999">
        <v>4256.1499999999996</v>
      </c>
      <c r="H2999">
        <v>4256.1499999999996</v>
      </c>
      <c r="I2999">
        <v>4207.3</v>
      </c>
      <c r="J2999">
        <v>3863600645</v>
      </c>
      <c r="K2999">
        <v>0</v>
      </c>
      <c r="L2999" s="2">
        <f>VLOOKUP(A2999,[1]aaabonddata!$A:$B,2,0)</f>
        <v>3.14</v>
      </c>
    </row>
    <row r="3000" spans="1:12" x14ac:dyDescent="0.2">
      <c r="A3000" s="3">
        <v>43123</v>
      </c>
      <c r="B3000" s="2">
        <v>6963.46</v>
      </c>
      <c r="C3000" s="2">
        <v>6969.4</v>
      </c>
      <c r="D3000" s="2">
        <v>6926.37</v>
      </c>
      <c r="E3000" s="2">
        <v>7971207015196</v>
      </c>
      <c r="F3000" s="2">
        <v>0</v>
      </c>
      <c r="G3000">
        <v>4288.71</v>
      </c>
      <c r="H3000">
        <v>4290.3999999999996</v>
      </c>
      <c r="I3000">
        <v>4259.62</v>
      </c>
      <c r="J3000">
        <v>3893161477</v>
      </c>
      <c r="K3000">
        <v>0</v>
      </c>
      <c r="L3000" s="2">
        <f>VLOOKUP(A3000,[1]aaabonddata!$A:$B,2,0)</f>
        <v>3.12</v>
      </c>
    </row>
    <row r="3001" spans="1:12" x14ac:dyDescent="0.2">
      <c r="A3001" s="3">
        <v>43124</v>
      </c>
      <c r="B3001" s="2">
        <v>6919.35</v>
      </c>
      <c r="C3001" s="2">
        <v>6992.91</v>
      </c>
      <c r="D3001" s="2">
        <v>6880.68</v>
      </c>
      <c r="E3001" s="2">
        <v>7920712872038</v>
      </c>
      <c r="F3001" s="2">
        <v>0</v>
      </c>
      <c r="G3001">
        <v>4227.63</v>
      </c>
      <c r="H3001">
        <v>4289.05</v>
      </c>
      <c r="I3001">
        <v>4207.66</v>
      </c>
      <c r="J3001">
        <v>3837708528</v>
      </c>
      <c r="K3001">
        <v>0</v>
      </c>
      <c r="L3001" s="2">
        <f>VLOOKUP(A3001,[1]aaabonddata!$A:$B,2,0)</f>
        <v>3.14</v>
      </c>
    </row>
    <row r="3002" spans="1:12" x14ac:dyDescent="0.2">
      <c r="A3002" s="3">
        <v>43125</v>
      </c>
      <c r="B3002" s="2">
        <v>6916.3</v>
      </c>
      <c r="C3002" s="2">
        <v>6967.6</v>
      </c>
      <c r="D3002" s="2">
        <v>6894.84</v>
      </c>
      <c r="E3002" s="2">
        <v>7917223624797</v>
      </c>
      <c r="F3002" s="2">
        <v>0</v>
      </c>
      <c r="G3002">
        <v>4191.3100000000004</v>
      </c>
      <c r="H3002">
        <v>4280.3599999999997</v>
      </c>
      <c r="I3002">
        <v>4187.57</v>
      </c>
      <c r="J3002">
        <v>3804738132</v>
      </c>
      <c r="K3002">
        <v>0</v>
      </c>
      <c r="L3002" s="2">
        <f>VLOOKUP(A3002,[1]aaabonddata!$A:$B,2,0)</f>
        <v>3.1</v>
      </c>
    </row>
    <row r="3003" spans="1:12" x14ac:dyDescent="0.2">
      <c r="A3003" s="3">
        <v>43126</v>
      </c>
      <c r="B3003" s="2">
        <v>7022.97</v>
      </c>
      <c r="C3003" s="2">
        <v>7022.97</v>
      </c>
      <c r="D3003" s="2">
        <v>6941.48</v>
      </c>
      <c r="E3003" s="2">
        <v>8039327178990</v>
      </c>
      <c r="F3003" s="2">
        <v>0</v>
      </c>
      <c r="G3003">
        <v>4285.58</v>
      </c>
      <c r="H3003">
        <v>4285.58</v>
      </c>
      <c r="I3003">
        <v>4224.3599999999997</v>
      </c>
      <c r="J3003">
        <v>3890313786</v>
      </c>
      <c r="K3003">
        <v>0</v>
      </c>
      <c r="L3003" s="2">
        <f>VLOOKUP(A3003,[1]aaabonddata!$A:$B,2,0)</f>
        <v>3.13</v>
      </c>
    </row>
    <row r="3004" spans="1:12" x14ac:dyDescent="0.2">
      <c r="A3004" s="3">
        <v>43129</v>
      </c>
      <c r="B3004" s="2">
        <v>6988.32</v>
      </c>
      <c r="C3004" s="2">
        <v>7020.64</v>
      </c>
      <c r="D3004" s="2">
        <v>6974.7</v>
      </c>
      <c r="E3004" s="2">
        <v>7999656085417</v>
      </c>
      <c r="F3004" s="2">
        <v>0</v>
      </c>
      <c r="G3004">
        <v>4257.24</v>
      </c>
      <c r="H3004">
        <v>4283.01</v>
      </c>
      <c r="I3004">
        <v>4228.57</v>
      </c>
      <c r="J3004">
        <v>3864585707</v>
      </c>
      <c r="K3004">
        <v>0</v>
      </c>
      <c r="L3004" s="2">
        <f>VLOOKUP(A3004,[1]aaabonddata!$A:$B,2,0)</f>
        <v>3.15</v>
      </c>
    </row>
    <row r="3005" spans="1:12" x14ac:dyDescent="0.2">
      <c r="A3005" s="3">
        <v>43130</v>
      </c>
      <c r="B3005" s="2">
        <v>6930.73</v>
      </c>
      <c r="C3005" s="2">
        <v>6958.79</v>
      </c>
      <c r="D3005" s="2">
        <v>6894.63</v>
      </c>
      <c r="E3005" s="2">
        <v>7933733895085</v>
      </c>
      <c r="F3005" s="2">
        <v>717382005</v>
      </c>
      <c r="G3005">
        <v>4200.54</v>
      </c>
      <c r="H3005">
        <v>4229.6400000000003</v>
      </c>
      <c r="I3005">
        <v>4190.7299999999996</v>
      </c>
      <c r="J3005">
        <v>3813115390</v>
      </c>
      <c r="K3005">
        <v>612527</v>
      </c>
      <c r="L3005" s="2">
        <f>VLOOKUP(A3005,[1]aaabonddata!$A:$B,2,0)</f>
        <v>3.18</v>
      </c>
    </row>
    <row r="3006" spans="1:12" x14ac:dyDescent="0.2">
      <c r="A3006" s="3">
        <v>43131</v>
      </c>
      <c r="B3006" s="2">
        <v>6949.99</v>
      </c>
      <c r="C3006" s="2">
        <v>6983.61</v>
      </c>
      <c r="D3006" s="2">
        <v>6915.48</v>
      </c>
      <c r="E3006" s="2">
        <v>7955780636265</v>
      </c>
      <c r="F3006" s="2">
        <v>250494003</v>
      </c>
      <c r="G3006">
        <v>4227.3999999999996</v>
      </c>
      <c r="H3006">
        <v>4248.21</v>
      </c>
      <c r="I3006">
        <v>4205.8</v>
      </c>
      <c r="J3006">
        <v>3837505860</v>
      </c>
      <c r="K3006">
        <v>0</v>
      </c>
      <c r="L3006" s="2">
        <f>VLOOKUP(A3006,[1]aaabonddata!$A:$B,2,0)</f>
        <v>3.18</v>
      </c>
    </row>
    <row r="3007" spans="1:12" x14ac:dyDescent="0.2">
      <c r="A3007" s="3">
        <v>43132</v>
      </c>
      <c r="B3007" s="2">
        <v>6901.5</v>
      </c>
      <c r="C3007" s="2">
        <v>6970.76</v>
      </c>
      <c r="D3007" s="2">
        <v>6879.02</v>
      </c>
      <c r="E3007" s="2">
        <v>7900281332821</v>
      </c>
      <c r="F3007" s="2">
        <v>0</v>
      </c>
      <c r="G3007">
        <v>4199.29</v>
      </c>
      <c r="H3007">
        <v>4245.8500000000004</v>
      </c>
      <c r="I3007">
        <v>4183.04</v>
      </c>
      <c r="J3007">
        <v>3811987421</v>
      </c>
      <c r="K3007">
        <v>0</v>
      </c>
      <c r="L3007" s="2">
        <f>VLOOKUP(A3007,[1]aaabonddata!$A:$B,2,0)</f>
        <v>3.21</v>
      </c>
    </row>
    <row r="3008" spans="1:12" x14ac:dyDescent="0.2">
      <c r="A3008" s="3">
        <v>43133</v>
      </c>
      <c r="B3008" s="2">
        <v>6760.29</v>
      </c>
      <c r="C3008" s="2">
        <v>6889.07</v>
      </c>
      <c r="D3008" s="2">
        <v>6756.54</v>
      </c>
      <c r="E3008" s="2">
        <v>7738630951137</v>
      </c>
      <c r="F3008" s="2">
        <v>0</v>
      </c>
      <c r="G3008">
        <v>4090.9</v>
      </c>
      <c r="H3008">
        <v>4162.5600000000004</v>
      </c>
      <c r="I3008">
        <v>4090.6</v>
      </c>
      <c r="J3008">
        <v>3713595421</v>
      </c>
      <c r="K3008">
        <v>0</v>
      </c>
      <c r="L3008" s="2">
        <f>VLOOKUP(A3008,[1]aaabonddata!$A:$B,2,0)</f>
        <v>3.26</v>
      </c>
    </row>
    <row r="3009" spans="1:12" x14ac:dyDescent="0.2">
      <c r="A3009" s="3">
        <v>43136</v>
      </c>
      <c r="B3009" s="2">
        <v>6495.92</v>
      </c>
      <c r="C3009" s="2">
        <v>6807.96</v>
      </c>
      <c r="D3009" s="2">
        <v>6495.39</v>
      </c>
      <c r="E3009" s="2">
        <v>7436000491923</v>
      </c>
      <c r="F3009" s="2">
        <v>47849907</v>
      </c>
      <c r="G3009">
        <v>3932.68</v>
      </c>
      <c r="H3009">
        <v>4133.21</v>
      </c>
      <c r="I3009">
        <v>3932.49</v>
      </c>
      <c r="J3009">
        <v>3569965114</v>
      </c>
      <c r="K3009">
        <v>0</v>
      </c>
      <c r="L3009" s="2">
        <f>VLOOKUP(A3009,[1]aaabonddata!$A:$B,2,0)</f>
        <v>3.21</v>
      </c>
    </row>
    <row r="3010" spans="1:12" x14ac:dyDescent="0.2">
      <c r="A3010" s="3">
        <v>43137</v>
      </c>
      <c r="B3010" s="2">
        <v>6665.98</v>
      </c>
      <c r="C3010" s="2">
        <v>6673.41</v>
      </c>
      <c r="D3010" s="2">
        <v>6370.48</v>
      </c>
      <c r="E3010" s="2">
        <v>7630671382581</v>
      </c>
      <c r="F3010" s="2">
        <v>1542387532</v>
      </c>
      <c r="G3010">
        <v>4039.87</v>
      </c>
      <c r="H3010">
        <v>4043.21</v>
      </c>
      <c r="I3010">
        <v>3862.95</v>
      </c>
      <c r="J3010">
        <v>3667268472</v>
      </c>
      <c r="K3010">
        <v>1188107</v>
      </c>
      <c r="L3010" s="2">
        <f>VLOOKUP(A3010,[1]aaabonddata!$A:$B,2,0)</f>
        <v>3.21</v>
      </c>
    </row>
    <row r="3011" spans="1:12" x14ac:dyDescent="0.2">
      <c r="A3011" s="3">
        <v>43138</v>
      </c>
      <c r="B3011" s="2">
        <v>6582.02</v>
      </c>
      <c r="C3011" s="2">
        <v>6716.25</v>
      </c>
      <c r="D3011" s="2">
        <v>6581.38</v>
      </c>
      <c r="E3011" s="2">
        <v>7534564955359</v>
      </c>
      <c r="F3011" s="2">
        <v>426840000</v>
      </c>
      <c r="G3011">
        <v>3969.63</v>
      </c>
      <c r="H3011">
        <v>4062.49</v>
      </c>
      <c r="I3011">
        <v>3969.63</v>
      </c>
      <c r="J3011">
        <v>3603510707</v>
      </c>
      <c r="K3011">
        <v>0</v>
      </c>
      <c r="L3011" s="2">
        <f>VLOOKUP(A3011,[1]aaabonddata!$A:$B,2,0)</f>
        <v>3.25</v>
      </c>
    </row>
    <row r="3012" spans="1:12" x14ac:dyDescent="0.2">
      <c r="A3012" s="3">
        <v>43139</v>
      </c>
      <c r="B3012" s="2">
        <v>6306.1</v>
      </c>
      <c r="C3012" s="2">
        <v>6606.05</v>
      </c>
      <c r="D3012" s="2">
        <v>6304.18</v>
      </c>
      <c r="E3012" s="2">
        <v>7218711201660</v>
      </c>
      <c r="F3012" s="2">
        <v>26340455</v>
      </c>
      <c r="G3012">
        <v>3804.66</v>
      </c>
      <c r="H3012">
        <v>3979.77</v>
      </c>
      <c r="I3012">
        <v>3804.54</v>
      </c>
      <c r="J3012">
        <v>3453752794</v>
      </c>
      <c r="K3012">
        <v>0</v>
      </c>
      <c r="L3012" s="2">
        <f>VLOOKUP(A3012,[1]aaabonddata!$A:$B,2,0)</f>
        <v>3.28</v>
      </c>
    </row>
    <row r="3013" spans="1:12" x14ac:dyDescent="0.2">
      <c r="A3013" s="3">
        <v>43140</v>
      </c>
      <c r="B3013" s="2">
        <v>6412.68</v>
      </c>
      <c r="C3013" s="2">
        <v>6453.43</v>
      </c>
      <c r="D3013" s="2">
        <v>6164.43</v>
      </c>
      <c r="E3013" s="2">
        <v>7340715748482</v>
      </c>
      <c r="F3013" s="2">
        <v>3234616560</v>
      </c>
      <c r="G3013">
        <v>3890.26</v>
      </c>
      <c r="H3013">
        <v>3916.19</v>
      </c>
      <c r="I3013">
        <v>3741.54</v>
      </c>
      <c r="J3013">
        <v>3531459249</v>
      </c>
      <c r="K3013">
        <v>362132</v>
      </c>
      <c r="L3013" s="2">
        <f>VLOOKUP(A3013,[1]aaabonddata!$A:$B,2,0)</f>
        <v>3.28</v>
      </c>
    </row>
    <row r="3014" spans="1:12" x14ac:dyDescent="0.2">
      <c r="A3014" s="3">
        <v>43143</v>
      </c>
      <c r="B3014" s="2">
        <v>6523.85</v>
      </c>
      <c r="C3014" s="2">
        <v>6565.28</v>
      </c>
      <c r="D3014" s="2">
        <v>6424.3</v>
      </c>
      <c r="E3014" s="2">
        <v>7467975265455</v>
      </c>
      <c r="F3014" s="2">
        <v>87902544</v>
      </c>
      <c r="G3014">
        <v>3963.35</v>
      </c>
      <c r="H3014">
        <v>3987.05</v>
      </c>
      <c r="I3014">
        <v>3906.6</v>
      </c>
      <c r="J3014">
        <v>3597801728</v>
      </c>
      <c r="K3014">
        <v>0</v>
      </c>
      <c r="L3014" s="2">
        <f>VLOOKUP(A3014,[1]aaabonddata!$A:$B,2,0)</f>
        <v>3.3</v>
      </c>
    </row>
    <row r="3015" spans="1:12" x14ac:dyDescent="0.2">
      <c r="A3015" s="3">
        <v>43144</v>
      </c>
      <c r="B3015" s="2">
        <v>6553.86</v>
      </c>
      <c r="C3015" s="2">
        <v>6567.62</v>
      </c>
      <c r="D3015" s="2">
        <v>6478.41</v>
      </c>
      <c r="E3015" s="2">
        <v>7502331691387</v>
      </c>
      <c r="F3015" s="2">
        <v>0</v>
      </c>
      <c r="G3015">
        <v>3974.34</v>
      </c>
      <c r="H3015">
        <v>3981.09</v>
      </c>
      <c r="I3015">
        <v>3934.02</v>
      </c>
      <c r="J3015">
        <v>3607780537</v>
      </c>
      <c r="K3015">
        <v>0</v>
      </c>
      <c r="L3015" s="2">
        <f>VLOOKUP(A3015,[1]aaabonddata!$A:$B,2,0)</f>
        <v>3.32</v>
      </c>
    </row>
    <row r="3016" spans="1:12" x14ac:dyDescent="0.2">
      <c r="A3016" s="3">
        <v>43145</v>
      </c>
      <c r="B3016" s="2">
        <v>6675.03</v>
      </c>
      <c r="C3016" s="2">
        <v>6684.15</v>
      </c>
      <c r="D3016" s="2">
        <v>6520.39</v>
      </c>
      <c r="E3016" s="2">
        <v>7641034121952</v>
      </c>
      <c r="F3016" s="2">
        <v>4738321068</v>
      </c>
      <c r="G3016">
        <v>4060.25</v>
      </c>
      <c r="H3016">
        <v>4066.44</v>
      </c>
      <c r="I3016">
        <v>3955.99</v>
      </c>
      <c r="J3016">
        <v>3685772418</v>
      </c>
      <c r="K3016">
        <v>1042146</v>
      </c>
      <c r="L3016" s="2">
        <f>VLOOKUP(A3016,[1]aaabonddata!$A:$B,2,0)</f>
        <v>3.37</v>
      </c>
    </row>
    <row r="3017" spans="1:12" x14ac:dyDescent="0.2">
      <c r="A3017" s="3">
        <v>43146</v>
      </c>
      <c r="B3017" s="2">
        <v>6794.92</v>
      </c>
      <c r="C3017" s="2">
        <v>6795.92</v>
      </c>
      <c r="D3017" s="2">
        <v>6665.92</v>
      </c>
      <c r="E3017" s="2">
        <v>7778274977159</v>
      </c>
      <c r="F3017" s="2">
        <v>218494803</v>
      </c>
      <c r="G3017">
        <v>4136.4799999999996</v>
      </c>
      <c r="H3017">
        <v>4136.8599999999997</v>
      </c>
      <c r="I3017">
        <v>4044.41</v>
      </c>
      <c r="J3017">
        <v>3754971542</v>
      </c>
      <c r="K3017">
        <v>0</v>
      </c>
      <c r="L3017" s="2">
        <f>VLOOKUP(A3017,[1]aaabonddata!$A:$B,2,0)</f>
        <v>3.34</v>
      </c>
    </row>
    <row r="3018" spans="1:12" x14ac:dyDescent="0.2">
      <c r="A3018" s="3">
        <v>43147</v>
      </c>
      <c r="B3018" s="2">
        <v>6770.66</v>
      </c>
      <c r="C3018" s="2">
        <v>6840.6</v>
      </c>
      <c r="D3018" s="2">
        <v>6758.51</v>
      </c>
      <c r="E3018" s="2">
        <v>7750505793126</v>
      </c>
      <c r="F3018" s="2">
        <v>0</v>
      </c>
      <c r="G3018">
        <v>4131.97</v>
      </c>
      <c r="H3018">
        <v>4175.75</v>
      </c>
      <c r="I3018">
        <v>4124.66</v>
      </c>
      <c r="J3018">
        <v>3750875430</v>
      </c>
      <c r="K3018">
        <v>0</v>
      </c>
      <c r="L3018" s="2">
        <f>VLOOKUP(A3018,[1]aaabonddata!$A:$B,2,0)</f>
        <v>3.33</v>
      </c>
    </row>
    <row r="3019" spans="1:12" x14ac:dyDescent="0.2">
      <c r="A3019" s="3">
        <v>43151</v>
      </c>
      <c r="B3019" s="2">
        <v>6779.69</v>
      </c>
      <c r="C3019" s="2">
        <v>6838</v>
      </c>
      <c r="D3019" s="2">
        <v>6740.48</v>
      </c>
      <c r="E3019" s="2">
        <v>7760844261863</v>
      </c>
      <c r="F3019" s="2">
        <v>191556372</v>
      </c>
      <c r="G3019">
        <v>4172.78</v>
      </c>
      <c r="H3019">
        <v>4203.75</v>
      </c>
      <c r="I3019">
        <v>4115.1499999999996</v>
      </c>
      <c r="J3019">
        <v>3787916768</v>
      </c>
      <c r="K3019">
        <v>608775</v>
      </c>
      <c r="L3019" s="2">
        <f>VLOOKUP(A3019,[1]aaabonddata!$A:$B,2,0)</f>
        <v>3.35</v>
      </c>
    </row>
    <row r="3020" spans="1:12" x14ac:dyDescent="0.2">
      <c r="A3020" s="3">
        <v>43152</v>
      </c>
      <c r="B3020" s="2">
        <v>6759.26</v>
      </c>
      <c r="C3020" s="2">
        <v>6879.47</v>
      </c>
      <c r="D3020" s="2">
        <v>6759.22</v>
      </c>
      <c r="E3020" s="2">
        <v>7737452102057</v>
      </c>
      <c r="F3020" s="2">
        <v>329777016</v>
      </c>
      <c r="G3020">
        <v>4142.5</v>
      </c>
      <c r="H3020">
        <v>4218.3500000000004</v>
      </c>
      <c r="I3020">
        <v>4141.8500000000004</v>
      </c>
      <c r="J3020">
        <v>3760435933</v>
      </c>
      <c r="K3020">
        <v>1630880</v>
      </c>
      <c r="L3020" s="2">
        <f>VLOOKUP(A3020,[1]aaabonddata!$A:$B,2,0)</f>
        <v>3.4</v>
      </c>
    </row>
    <row r="3021" spans="1:12" x14ac:dyDescent="0.2">
      <c r="A3021" s="3">
        <v>43153</v>
      </c>
      <c r="B3021" s="2">
        <v>6761.85</v>
      </c>
      <c r="C3021" s="2">
        <v>6826.01</v>
      </c>
      <c r="D3021" s="2">
        <v>6744.05</v>
      </c>
      <c r="E3021" s="2">
        <v>7740422167871</v>
      </c>
      <c r="F3021" s="2">
        <v>240039037</v>
      </c>
      <c r="G3021">
        <v>4131.74</v>
      </c>
      <c r="H3021">
        <v>4174.83</v>
      </c>
      <c r="I3021">
        <v>4122.62</v>
      </c>
      <c r="J3021">
        <v>3750665269</v>
      </c>
      <c r="K3021">
        <v>185109</v>
      </c>
      <c r="L3021" s="2">
        <f>VLOOKUP(A3021,[1]aaabonddata!$A:$B,2,0)</f>
        <v>3.37</v>
      </c>
    </row>
    <row r="3022" spans="1:12" x14ac:dyDescent="0.2">
      <c r="A3022" s="3">
        <v>43154</v>
      </c>
      <c r="B3022" s="2">
        <v>6896.6</v>
      </c>
      <c r="C3022" s="2">
        <v>6897.53</v>
      </c>
      <c r="D3022" s="2">
        <v>6789.02</v>
      </c>
      <c r="E3022" s="2">
        <v>7894669091687</v>
      </c>
      <c r="F3022" s="2">
        <v>0</v>
      </c>
      <c r="G3022">
        <v>4217.3500000000004</v>
      </c>
      <c r="H3022">
        <v>4217.57</v>
      </c>
      <c r="I3022">
        <v>4153.75</v>
      </c>
      <c r="J3022">
        <v>3828378318</v>
      </c>
      <c r="K3022">
        <v>0</v>
      </c>
      <c r="L3022" s="2">
        <f>VLOOKUP(A3022,[1]aaabonddata!$A:$B,2,0)</f>
        <v>3.35</v>
      </c>
    </row>
    <row r="3023" spans="1:12" x14ac:dyDescent="0.2">
      <c r="A3023" s="3">
        <v>43157</v>
      </c>
      <c r="B3023" s="2">
        <v>6989.1</v>
      </c>
      <c r="C3023" s="2">
        <v>6989.36</v>
      </c>
      <c r="D3023" s="2">
        <v>6927.46</v>
      </c>
      <c r="E3023" s="2">
        <v>8000550909220</v>
      </c>
      <c r="F3023" s="2">
        <v>0</v>
      </c>
      <c r="G3023">
        <v>4276.6400000000003</v>
      </c>
      <c r="H3023">
        <v>4277.8599999999997</v>
      </c>
      <c r="I3023">
        <v>4230.83</v>
      </c>
      <c r="J3023">
        <v>3882201368</v>
      </c>
      <c r="K3023">
        <v>0</v>
      </c>
      <c r="L3023" s="2">
        <f>VLOOKUP(A3023,[1]aaabonddata!$A:$B,2,0)</f>
        <v>3.33</v>
      </c>
    </row>
    <row r="3024" spans="1:12" x14ac:dyDescent="0.2">
      <c r="A3024" s="3">
        <v>43158</v>
      </c>
      <c r="B3024" s="2">
        <v>6900.35</v>
      </c>
      <c r="C3024" s="2">
        <v>7003.13</v>
      </c>
      <c r="D3024" s="2">
        <v>6900.35</v>
      </c>
      <c r="E3024" s="2">
        <v>7898960892490</v>
      </c>
      <c r="F3024" s="2">
        <v>840273844</v>
      </c>
      <c r="G3024">
        <v>4237.21</v>
      </c>
      <c r="H3024">
        <v>4307.03</v>
      </c>
      <c r="I3024">
        <v>4237.21</v>
      </c>
      <c r="J3024">
        <v>3846407955</v>
      </c>
      <c r="K3024">
        <v>880173</v>
      </c>
      <c r="L3024" s="2">
        <f>VLOOKUP(A3024,[1]aaabonddata!$A:$B,2,0)</f>
        <v>3.38</v>
      </c>
    </row>
    <row r="3025" spans="1:12" x14ac:dyDescent="0.2">
      <c r="A3025" s="3">
        <v>43159</v>
      </c>
      <c r="B3025" s="2">
        <v>6854.42</v>
      </c>
      <c r="C3025" s="2">
        <v>6964.16</v>
      </c>
      <c r="D3025" s="2">
        <v>6854.42</v>
      </c>
      <c r="E3025" s="2">
        <v>7846380446252</v>
      </c>
      <c r="F3025" s="2">
        <v>314843449</v>
      </c>
      <c r="G3025">
        <v>4211.38</v>
      </c>
      <c r="H3025">
        <v>4281.18</v>
      </c>
      <c r="I3025">
        <v>4211.38</v>
      </c>
      <c r="J3025">
        <v>3822957604</v>
      </c>
      <c r="K3025">
        <v>800610</v>
      </c>
      <c r="L3025" s="2">
        <f>VLOOKUP(A3025,[1]aaabonddata!$A:$B,2,0)</f>
        <v>3.38</v>
      </c>
    </row>
    <row r="3026" spans="1:12" x14ac:dyDescent="0.2">
      <c r="A3026" s="3">
        <v>43160</v>
      </c>
      <c r="B3026" s="2">
        <v>6750.54</v>
      </c>
      <c r="C3026" s="2">
        <v>6892.38</v>
      </c>
      <c r="D3026" s="2">
        <v>6687.44</v>
      </c>
      <c r="E3026" s="2">
        <v>7727472463274</v>
      </c>
      <c r="F3026" s="2">
        <v>0</v>
      </c>
      <c r="G3026">
        <v>4153.21</v>
      </c>
      <c r="H3026">
        <v>4230.9399999999996</v>
      </c>
      <c r="I3026">
        <v>4114.67</v>
      </c>
      <c r="J3026">
        <v>3770150223</v>
      </c>
      <c r="K3026">
        <v>0</v>
      </c>
      <c r="L3026" s="2">
        <f>VLOOKUP(A3026,[1]aaabonddata!$A:$B,2,0)</f>
        <v>3.35</v>
      </c>
    </row>
    <row r="3027" spans="1:12" x14ac:dyDescent="0.2">
      <c r="A3027" s="3">
        <v>43161</v>
      </c>
      <c r="B3027" s="2">
        <v>6811.04</v>
      </c>
      <c r="C3027" s="2">
        <v>6820.37</v>
      </c>
      <c r="D3027" s="2">
        <v>6645.03</v>
      </c>
      <c r="E3027" s="2">
        <v>7796725489728</v>
      </c>
      <c r="F3027" s="2">
        <v>0</v>
      </c>
      <c r="G3027">
        <v>4216.57</v>
      </c>
      <c r="H3027">
        <v>4223.25</v>
      </c>
      <c r="I3027">
        <v>4101.4799999999996</v>
      </c>
      <c r="J3027">
        <v>3827668435</v>
      </c>
      <c r="K3027">
        <v>0</v>
      </c>
      <c r="L3027" s="2">
        <f>VLOOKUP(A3027,[1]aaabonddata!$A:$B,2,0)</f>
        <v>3.4</v>
      </c>
    </row>
    <row r="3028" spans="1:12" x14ac:dyDescent="0.2">
      <c r="A3028" s="3">
        <v>43164</v>
      </c>
      <c r="B3028" s="2">
        <v>6881.28</v>
      </c>
      <c r="C3028" s="2">
        <v>6901.63</v>
      </c>
      <c r="D3028" s="2">
        <v>6753.83</v>
      </c>
      <c r="E3028" s="2">
        <v>7877134101267</v>
      </c>
      <c r="F3028" s="2">
        <v>0</v>
      </c>
      <c r="G3028">
        <v>4268.17</v>
      </c>
      <c r="H3028">
        <v>4286.68</v>
      </c>
      <c r="I3028">
        <v>4190.1000000000004</v>
      </c>
      <c r="J3028">
        <v>3874515806</v>
      </c>
      <c r="K3028">
        <v>0</v>
      </c>
      <c r="L3028" s="2">
        <f>VLOOKUP(A3028,[1]aaabonddata!$A:$B,2,0)</f>
        <v>3.42</v>
      </c>
    </row>
    <row r="3029" spans="1:12" x14ac:dyDescent="0.2">
      <c r="A3029" s="3">
        <v>43165</v>
      </c>
      <c r="B3029" s="2">
        <v>6913.02</v>
      </c>
      <c r="C3029" s="2">
        <v>6937.03</v>
      </c>
      <c r="D3029" s="2">
        <v>6872.06</v>
      </c>
      <c r="E3029" s="2">
        <v>7913466227455</v>
      </c>
      <c r="F3029" s="2">
        <v>80973124</v>
      </c>
      <c r="G3029">
        <v>4318.8599999999997</v>
      </c>
      <c r="H3029">
        <v>4326.1499999999996</v>
      </c>
      <c r="I3029">
        <v>4284.96</v>
      </c>
      <c r="J3029">
        <v>3920528219</v>
      </c>
      <c r="K3029">
        <v>268356</v>
      </c>
      <c r="L3029" s="2">
        <f>VLOOKUP(A3029,[1]aaabonddata!$A:$B,2,0)</f>
        <v>3.4</v>
      </c>
    </row>
    <row r="3030" spans="1:12" x14ac:dyDescent="0.2">
      <c r="A3030" s="3">
        <v>43166</v>
      </c>
      <c r="B3030" s="2">
        <v>6929.39</v>
      </c>
      <c r="C3030" s="2">
        <v>6935.48</v>
      </c>
      <c r="D3030" s="2">
        <v>6850.91</v>
      </c>
      <c r="E3030" s="2">
        <v>7932197612982</v>
      </c>
      <c r="F3030" s="2">
        <v>41908501</v>
      </c>
      <c r="G3030">
        <v>4358.4399999999996</v>
      </c>
      <c r="H3030">
        <v>4363.95</v>
      </c>
      <c r="I3030">
        <v>4299.84</v>
      </c>
      <c r="J3030">
        <v>3956453461</v>
      </c>
      <c r="K3030">
        <v>0</v>
      </c>
      <c r="L3030" s="2">
        <f>VLOOKUP(A3030,[1]aaabonddata!$A:$B,2,0)</f>
        <v>3.41</v>
      </c>
    </row>
    <row r="3031" spans="1:12" x14ac:dyDescent="0.2">
      <c r="A3031" s="3">
        <v>43167</v>
      </c>
      <c r="B3031" s="2">
        <v>6966.43</v>
      </c>
      <c r="C3031" s="2">
        <v>6971</v>
      </c>
      <c r="D3031" s="2">
        <v>6931.35</v>
      </c>
      <c r="E3031" s="2">
        <v>7974600692591</v>
      </c>
      <c r="F3031" s="2">
        <v>1284108743</v>
      </c>
      <c r="G3031">
        <v>4376.47</v>
      </c>
      <c r="H3031">
        <v>4385.9799999999996</v>
      </c>
      <c r="I3031">
        <v>4352.59</v>
      </c>
      <c r="J3031">
        <v>3972827451</v>
      </c>
      <c r="K3031">
        <v>553697</v>
      </c>
      <c r="L3031" s="2">
        <f>VLOOKUP(A3031,[1]aaabonddata!$A:$B,2,0)</f>
        <v>3.39</v>
      </c>
    </row>
    <row r="3032" spans="1:12" x14ac:dyDescent="0.2">
      <c r="A3032" s="3">
        <v>43168</v>
      </c>
      <c r="B3032" s="2">
        <v>7101.18</v>
      </c>
      <c r="C3032" s="2">
        <v>7101.31</v>
      </c>
      <c r="D3032" s="2">
        <v>7007.3</v>
      </c>
      <c r="E3032" s="2">
        <v>8128854551580</v>
      </c>
      <c r="F3032" s="2">
        <v>0</v>
      </c>
      <c r="G3032">
        <v>4464.3999999999996</v>
      </c>
      <c r="H3032">
        <v>4464.3999999999996</v>
      </c>
      <c r="I3032">
        <v>4406.25</v>
      </c>
      <c r="J3032">
        <v>4052643535</v>
      </c>
      <c r="K3032">
        <v>0</v>
      </c>
      <c r="L3032" s="2">
        <f>VLOOKUP(A3032,[1]aaabonddata!$A:$B,2,0)</f>
        <v>3.42</v>
      </c>
    </row>
    <row r="3033" spans="1:12" x14ac:dyDescent="0.2">
      <c r="A3033" s="3">
        <v>43171</v>
      </c>
      <c r="B3033" s="2">
        <v>7131.12</v>
      </c>
      <c r="C3033" s="2">
        <v>7156.25</v>
      </c>
      <c r="D3033" s="2">
        <v>7108.04</v>
      </c>
      <c r="E3033" s="2">
        <v>8158764090642</v>
      </c>
      <c r="F3033" s="2">
        <v>0</v>
      </c>
      <c r="G3033">
        <v>4496.59</v>
      </c>
      <c r="H3033">
        <v>4515.91</v>
      </c>
      <c r="I3033">
        <v>4476.6499999999996</v>
      </c>
      <c r="J3033">
        <v>4081860797</v>
      </c>
      <c r="K3033">
        <v>0</v>
      </c>
      <c r="L3033" s="2">
        <f>VLOOKUP(A3033,[1]aaabonddata!$A:$B,2,0)</f>
        <v>3.4</v>
      </c>
    </row>
    <row r="3034" spans="1:12" x14ac:dyDescent="0.2">
      <c r="A3034" s="3">
        <v>43172</v>
      </c>
      <c r="B3034" s="2">
        <v>7046.51</v>
      </c>
      <c r="C3034" s="2">
        <v>7186.09</v>
      </c>
      <c r="D3034" s="2">
        <v>7025.83</v>
      </c>
      <c r="E3034" s="2">
        <v>8061961475858</v>
      </c>
      <c r="F3034" s="2">
        <v>333455362</v>
      </c>
      <c r="G3034">
        <v>4437.8</v>
      </c>
      <c r="H3034">
        <v>4544.46</v>
      </c>
      <c r="I3034">
        <v>4424.1499999999996</v>
      </c>
      <c r="J3034">
        <v>4028492223</v>
      </c>
      <c r="K3034">
        <v>0</v>
      </c>
      <c r="L3034" s="2">
        <f>VLOOKUP(A3034,[1]aaabonddata!$A:$B,2,0)</f>
        <v>3.4</v>
      </c>
    </row>
    <row r="3035" spans="1:12" x14ac:dyDescent="0.2">
      <c r="A3035" s="3">
        <v>43173</v>
      </c>
      <c r="B3035" s="2">
        <v>7040.98</v>
      </c>
      <c r="C3035" s="2">
        <v>7084.07</v>
      </c>
      <c r="D3035" s="2">
        <v>7012.57</v>
      </c>
      <c r="E3035" s="2">
        <v>8055634292402</v>
      </c>
      <c r="F3035" s="2">
        <v>0</v>
      </c>
      <c r="G3035">
        <v>4437.95</v>
      </c>
      <c r="H3035">
        <v>4462.1899999999996</v>
      </c>
      <c r="I3035">
        <v>4411.26</v>
      </c>
      <c r="J3035">
        <v>4028635079</v>
      </c>
      <c r="K3035">
        <v>0</v>
      </c>
      <c r="L3035" s="2">
        <f>VLOOKUP(A3035,[1]aaabonddata!$A:$B,2,0)</f>
        <v>3.39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26"/>
  <sheetViews>
    <sheetView workbookViewId="0"/>
  </sheetViews>
  <sheetFormatPr baseColWidth="10" defaultRowHeight="16" x14ac:dyDescent="0.2"/>
  <cols>
    <col min="1" max="1" width="10.83203125" style="3"/>
    <col min="2" max="2" width="19.1640625" bestFit="1" customWidth="1"/>
    <col min="4" max="4" width="10" bestFit="1" customWidth="1"/>
    <col min="6" max="6" width="20.1640625" style="9" bestFit="1" customWidth="1"/>
    <col min="7" max="7" width="19.5" bestFit="1" customWidth="1"/>
    <col min="8" max="8" width="17.33203125" bestFit="1" customWidth="1"/>
  </cols>
  <sheetData>
    <row r="1" spans="1:8" x14ac:dyDescent="0.2">
      <c r="A1" s="3" t="s">
        <v>14</v>
      </c>
      <c r="B1" t="s">
        <v>15</v>
      </c>
      <c r="C1" t="s">
        <v>16</v>
      </c>
      <c r="D1" t="s">
        <v>17</v>
      </c>
      <c r="E1" t="s">
        <v>18</v>
      </c>
      <c r="F1" s="9" t="s">
        <v>22</v>
      </c>
      <c r="G1" t="s">
        <v>23</v>
      </c>
      <c r="H1" t="s">
        <v>24</v>
      </c>
    </row>
    <row r="2" spans="1:8" x14ac:dyDescent="0.2">
      <c r="A2" s="3">
        <v>42460</v>
      </c>
      <c r="B2" s="3">
        <f>_xlfn.MAXIFS('Nasdaq Data'!A:A,'Nasdaq Data'!A:A,"&lt;"&amp;A2)</f>
        <v>42459</v>
      </c>
      <c r="C2">
        <f>VLOOKUP(B2,'Nasdaq Data'!A:B,2,0)</f>
        <v>4490.88</v>
      </c>
      <c r="D2">
        <f>VLOOKUP(B2,'Nasdaq Data'!A:L,12,0)</f>
        <v>2.44</v>
      </c>
      <c r="E2">
        <v>2063.9499999999998</v>
      </c>
      <c r="F2" s="9" t="s">
        <v>27</v>
      </c>
      <c r="G2" s="9" t="s">
        <v>27</v>
      </c>
      <c r="H2" s="9" t="s">
        <v>27</v>
      </c>
    </row>
    <row r="3" spans="1:8" x14ac:dyDescent="0.2">
      <c r="A3" s="3">
        <v>42490</v>
      </c>
      <c r="B3" s="3">
        <f>_xlfn.MAXIFS('Nasdaq Data'!A:A,'Nasdaq Data'!A:A,"&lt;"&amp;A3)</f>
        <v>42489</v>
      </c>
      <c r="C3">
        <f>VLOOKUP(B3,'Nasdaq Data'!A:B,2,0)</f>
        <v>4341.3</v>
      </c>
      <c r="D3">
        <f>VLOOKUP(B3,'Nasdaq Data'!A:L,12,0)</f>
        <v>2.41</v>
      </c>
      <c r="E3">
        <v>2065.3000000000002</v>
      </c>
      <c r="F3" s="9" t="s">
        <v>27</v>
      </c>
      <c r="G3" s="9" t="s">
        <v>27</v>
      </c>
      <c r="H3" s="9" t="s">
        <v>27</v>
      </c>
    </row>
    <row r="4" spans="1:8" x14ac:dyDescent="0.2">
      <c r="A4" s="3">
        <v>42521</v>
      </c>
      <c r="B4" s="3">
        <f>_xlfn.MAXIFS('Nasdaq Data'!A:A,'Nasdaq Data'!A:A,"&lt;"&amp;A4)</f>
        <v>42517</v>
      </c>
      <c r="C4">
        <f>VLOOKUP(B4,'Nasdaq Data'!A:B,2,0)</f>
        <v>4512.54</v>
      </c>
      <c r="D4">
        <f>VLOOKUP(B4,'Nasdaq Data'!A:L,12,0)</f>
        <v>2.5499999999999998</v>
      </c>
      <c r="E4">
        <v>2099.06</v>
      </c>
      <c r="F4" s="9" t="s">
        <v>27</v>
      </c>
      <c r="G4" s="9" t="s">
        <v>27</v>
      </c>
      <c r="H4" s="9" t="s">
        <v>27</v>
      </c>
    </row>
    <row r="5" spans="1:8" x14ac:dyDescent="0.2">
      <c r="A5" s="3">
        <v>42551</v>
      </c>
      <c r="B5" s="3">
        <f>_xlfn.MAXIFS('Nasdaq Data'!A:A,'Nasdaq Data'!A:A,"&lt;"&amp;A5)</f>
        <v>42550</v>
      </c>
      <c r="C5">
        <f>VLOOKUP(B5,'Nasdaq Data'!A:B,2,0)</f>
        <v>4364.74</v>
      </c>
      <c r="D5">
        <f>VLOOKUP(B5,'Nasdaq Data'!A:L,12,0)</f>
        <v>2.34</v>
      </c>
      <c r="E5">
        <v>2070.77</v>
      </c>
      <c r="F5" s="9" t="s">
        <v>27</v>
      </c>
      <c r="G5" s="9" t="s">
        <v>27</v>
      </c>
      <c r="H5" s="9" t="s">
        <v>27</v>
      </c>
    </row>
    <row r="6" spans="1:8" x14ac:dyDescent="0.2">
      <c r="A6" s="3">
        <v>42582</v>
      </c>
      <c r="B6" s="3">
        <f>_xlfn.MAXIFS('Nasdaq Data'!A:A,'Nasdaq Data'!A:A,"&lt;"&amp;A6)</f>
        <v>42580</v>
      </c>
      <c r="C6">
        <f>VLOOKUP(B6,'Nasdaq Data'!A:B,2,0)</f>
        <v>4730.2299999999996</v>
      </c>
      <c r="D6">
        <f>VLOOKUP(B6,'Nasdaq Data'!A:L,12,0)</f>
        <v>2.27</v>
      </c>
      <c r="E6">
        <v>2173.6</v>
      </c>
      <c r="F6" s="9" t="s">
        <v>27</v>
      </c>
      <c r="G6" s="9" t="s">
        <v>27</v>
      </c>
      <c r="H6" s="9" t="s">
        <v>27</v>
      </c>
    </row>
    <row r="7" spans="1:8" x14ac:dyDescent="0.2">
      <c r="A7" s="3">
        <v>42613</v>
      </c>
      <c r="B7" s="3">
        <f>_xlfn.MAXIFS('Nasdaq Data'!A:A,'Nasdaq Data'!A:A,"&lt;"&amp;A7)</f>
        <v>42612</v>
      </c>
      <c r="C7">
        <f>VLOOKUP(B7,'Nasdaq Data'!A:B,2,0)</f>
        <v>4775.99</v>
      </c>
      <c r="D7">
        <f>VLOOKUP(B7,'Nasdaq Data'!A:L,12,0)</f>
        <v>2.3199999999999998</v>
      </c>
      <c r="E7">
        <v>2176.12</v>
      </c>
      <c r="F7" s="9" t="s">
        <v>27</v>
      </c>
      <c r="G7" s="9" t="s">
        <v>27</v>
      </c>
      <c r="H7" s="9" t="s">
        <v>27</v>
      </c>
    </row>
    <row r="8" spans="1:8" x14ac:dyDescent="0.2">
      <c r="A8" s="3">
        <v>42643</v>
      </c>
      <c r="B8" s="3">
        <f>_xlfn.MAXIFS('Nasdaq Data'!A:A,'Nasdaq Data'!A:A,"&lt;"&amp;A8)</f>
        <v>42642</v>
      </c>
      <c r="C8">
        <f>VLOOKUP(B8,'Nasdaq Data'!A:B,2,0)</f>
        <v>4838.3</v>
      </c>
      <c r="D8">
        <f>VLOOKUP(B8,'Nasdaq Data'!A:L,12,0)</f>
        <v>2.4300000000000002</v>
      </c>
      <c r="E8">
        <v>2151.13</v>
      </c>
      <c r="F8" s="9" t="s">
        <v>27</v>
      </c>
      <c r="G8" s="9" t="s">
        <v>27</v>
      </c>
      <c r="H8" s="9" t="s">
        <v>27</v>
      </c>
    </row>
    <row r="9" spans="1:8" x14ac:dyDescent="0.2">
      <c r="A9" s="3">
        <v>42674</v>
      </c>
      <c r="B9" s="3">
        <f>_xlfn.MAXIFS('Nasdaq Data'!A:A,'Nasdaq Data'!A:A,"&lt;"&amp;A9)</f>
        <v>42671</v>
      </c>
      <c r="C9">
        <f>VLOOKUP(B9,'Nasdaq Data'!A:B,2,0)</f>
        <v>4805.59</v>
      </c>
      <c r="D9">
        <f>VLOOKUP(B9,'Nasdaq Data'!A:L,12,0)</f>
        <v>2.63</v>
      </c>
      <c r="E9">
        <v>2126.41</v>
      </c>
      <c r="F9" s="9" t="s">
        <v>27</v>
      </c>
      <c r="G9" s="9" t="s">
        <v>27</v>
      </c>
      <c r="H9" s="9" t="s">
        <v>27</v>
      </c>
    </row>
    <row r="10" spans="1:8" x14ac:dyDescent="0.2">
      <c r="A10" s="3">
        <v>42704</v>
      </c>
      <c r="B10" s="3">
        <f>_xlfn.MAXIFS('Nasdaq Data'!A:A,'Nasdaq Data'!A:A,"&lt;"&amp;A10)</f>
        <v>42703</v>
      </c>
      <c r="C10">
        <f>VLOOKUP(B10,'Nasdaq Data'!A:B,2,0)</f>
        <v>4873.21</v>
      </c>
      <c r="D10">
        <f>VLOOKUP(B10,'Nasdaq Data'!A:L,12,0)</f>
        <v>2.96</v>
      </c>
      <c r="E10">
        <v>2204.66</v>
      </c>
      <c r="F10" s="9" t="s">
        <v>27</v>
      </c>
      <c r="G10" s="9" t="s">
        <v>27</v>
      </c>
      <c r="H10" s="9" t="s">
        <v>27</v>
      </c>
    </row>
    <row r="11" spans="1:8" x14ac:dyDescent="0.2">
      <c r="A11" s="3">
        <v>42735</v>
      </c>
      <c r="B11" s="3">
        <f>_xlfn.MAXIFS('Nasdaq Data'!A:A,'Nasdaq Data'!A:A,"&lt;"&amp;A11)</f>
        <v>42734</v>
      </c>
      <c r="C11">
        <f>VLOOKUP(B11,'Nasdaq Data'!A:B,2,0)</f>
        <v>4863.62</v>
      </c>
      <c r="D11">
        <f>VLOOKUP(B11,'Nasdaq Data'!A:L,12,0)</f>
        <v>3.04</v>
      </c>
      <c r="E11">
        <v>2238.83</v>
      </c>
      <c r="F11" s="9" t="s">
        <v>27</v>
      </c>
      <c r="G11" s="9" t="s">
        <v>27</v>
      </c>
      <c r="H11" s="9" t="s">
        <v>27</v>
      </c>
    </row>
    <row r="12" spans="1:8" x14ac:dyDescent="0.2">
      <c r="A12" s="3">
        <v>42766</v>
      </c>
      <c r="B12" s="3">
        <f>_xlfn.MAXIFS('Nasdaq Data'!A:A,'Nasdaq Data'!A:A,"&lt;"&amp;A12)</f>
        <v>42765</v>
      </c>
      <c r="C12">
        <f>VLOOKUP(B12,'Nasdaq Data'!A:B,2,0)</f>
        <v>5129.33</v>
      </c>
      <c r="D12">
        <f>VLOOKUP(B12,'Nasdaq Data'!A:L,12,0)</f>
        <v>3.1</v>
      </c>
      <c r="E12">
        <v>2280.9</v>
      </c>
      <c r="F12" s="9" t="s">
        <v>27</v>
      </c>
      <c r="G12" s="9" t="s">
        <v>27</v>
      </c>
      <c r="H12" s="9" t="s">
        <v>27</v>
      </c>
    </row>
    <row r="13" spans="1:8" x14ac:dyDescent="0.2">
      <c r="A13" s="3">
        <v>42794</v>
      </c>
      <c r="B13" s="3">
        <f>_xlfn.MAXIFS('Nasdaq Data'!A:A,'Nasdaq Data'!A:A,"&lt;"&amp;A13)</f>
        <v>42793</v>
      </c>
      <c r="C13">
        <f>VLOOKUP(B13,'Nasdaq Data'!A:B,2,0)</f>
        <v>5347.55</v>
      </c>
      <c r="D13">
        <f>VLOOKUP(B13,'Nasdaq Data'!A:L,12,0)</f>
        <v>2.98</v>
      </c>
      <c r="E13">
        <v>2369.75</v>
      </c>
      <c r="F13" s="9" t="s">
        <v>27</v>
      </c>
      <c r="G13" s="9" t="s">
        <v>27</v>
      </c>
      <c r="H13" s="9" t="s">
        <v>27</v>
      </c>
    </row>
    <row r="14" spans="1:8" x14ac:dyDescent="0.2">
      <c r="A14" s="3">
        <v>42825</v>
      </c>
      <c r="B14" s="3">
        <f>_xlfn.MAXIFS('Nasdaq Data'!A:A,'Nasdaq Data'!A:A,"&lt;"&amp;A14)</f>
        <v>42824</v>
      </c>
      <c r="C14">
        <f>VLOOKUP(B14,'Nasdaq Data'!A:B,2,0)</f>
        <v>5439.74</v>
      </c>
      <c r="D14">
        <f>VLOOKUP(B14,'Nasdaq Data'!A:L,12,0)</f>
        <v>3.08</v>
      </c>
      <c r="E14">
        <v>2368.06</v>
      </c>
      <c r="F14" s="9">
        <f>AVERAGE(C3:C14)</f>
        <v>4835.1783333333333</v>
      </c>
      <c r="G14" s="10">
        <f>AVERAGE(D3:D14)</f>
        <v>2.6758333333333333</v>
      </c>
      <c r="H14" s="9">
        <f>AVERAGE(E2:E14)</f>
        <v>2183.7338461538466</v>
      </c>
    </row>
    <row r="15" spans="1:8" x14ac:dyDescent="0.2">
      <c r="A15" s="3">
        <v>42855</v>
      </c>
      <c r="B15" s="3">
        <f>_xlfn.MAXIFS('Nasdaq Data'!A:A,'Nasdaq Data'!A:A,"&lt;"&amp;A15)</f>
        <v>42853</v>
      </c>
      <c r="C15">
        <f>VLOOKUP(B15,'Nasdaq Data'!A:B,2,0)</f>
        <v>5583.53</v>
      </c>
      <c r="D15">
        <f>VLOOKUP(B15,'Nasdaq Data'!A:L,12,0)</f>
        <v>2.98</v>
      </c>
      <c r="E15">
        <v>2384.1999999999998</v>
      </c>
      <c r="F15" s="9">
        <f t="shared" ref="F15:F26" si="0">AVERAGE(C4:C15)</f>
        <v>4938.6975000000002</v>
      </c>
      <c r="G15" s="10">
        <f t="shared" ref="G15:G26" si="1">AVERAGE(D4:D15)</f>
        <v>2.7233333333333332</v>
      </c>
      <c r="H15" s="9">
        <f t="shared" ref="H15:H26" si="2">AVERAGE(E3:E15)</f>
        <v>2208.3684615384623</v>
      </c>
    </row>
    <row r="16" spans="1:8" x14ac:dyDescent="0.2">
      <c r="A16" s="3">
        <v>42886</v>
      </c>
      <c r="B16" s="3">
        <f>_xlfn.MAXIFS('Nasdaq Data'!A:A,'Nasdaq Data'!A:A,"&lt;"&amp;A16)</f>
        <v>42885</v>
      </c>
      <c r="C16">
        <f>VLOOKUP(B16,'Nasdaq Data'!A:B,2,0)</f>
        <v>5794.63</v>
      </c>
      <c r="D16">
        <f>VLOOKUP(B16,'Nasdaq Data'!A:L,12,0)</f>
        <v>2.9</v>
      </c>
      <c r="E16">
        <v>2412.91</v>
      </c>
      <c r="F16" s="9">
        <f t="shared" si="0"/>
        <v>5045.538333333333</v>
      </c>
      <c r="G16" s="10">
        <f t="shared" si="1"/>
        <v>2.7524999999999999</v>
      </c>
      <c r="H16" s="9">
        <f t="shared" si="2"/>
        <v>2235.1076923076926</v>
      </c>
    </row>
    <row r="17" spans="1:8" x14ac:dyDescent="0.2">
      <c r="A17" s="3">
        <v>42916</v>
      </c>
      <c r="B17" s="3">
        <f>_xlfn.MAXIFS('Nasdaq Data'!A:A,'Nasdaq Data'!A:A,"&lt;"&amp;A17)</f>
        <v>42915</v>
      </c>
      <c r="C17">
        <f>VLOOKUP(B17,'Nasdaq Data'!A:B,2,0)</f>
        <v>5653.02</v>
      </c>
      <c r="D17">
        <f>VLOOKUP(B17,'Nasdaq Data'!A:L,12,0)</f>
        <v>2.89</v>
      </c>
      <c r="E17">
        <v>2419.6999999999998</v>
      </c>
      <c r="F17" s="9">
        <f t="shared" si="0"/>
        <v>5152.8949999999995</v>
      </c>
      <c r="G17" s="10">
        <f t="shared" si="1"/>
        <v>2.7983333333333333</v>
      </c>
      <c r="H17" s="9">
        <f t="shared" si="2"/>
        <v>2259.7723076923075</v>
      </c>
    </row>
    <row r="18" spans="1:8" x14ac:dyDescent="0.2">
      <c r="A18" s="3">
        <v>42947</v>
      </c>
      <c r="B18" s="3">
        <f>_xlfn.MAXIFS('Nasdaq Data'!A:A,'Nasdaq Data'!A:A,"&lt;"&amp;A18)</f>
        <v>42944</v>
      </c>
      <c r="C18">
        <f>VLOOKUP(B18,'Nasdaq Data'!A:B,2,0)</f>
        <v>5908.92</v>
      </c>
      <c r="D18">
        <f>VLOOKUP(B18,'Nasdaq Data'!A:L,12,0)</f>
        <v>2.86</v>
      </c>
      <c r="E18">
        <v>2472.1</v>
      </c>
      <c r="F18" s="9">
        <f t="shared" si="0"/>
        <v>5251.1191666666664</v>
      </c>
      <c r="G18" s="10">
        <f t="shared" si="1"/>
        <v>2.8475000000000001</v>
      </c>
      <c r="H18" s="9">
        <f t="shared" si="2"/>
        <v>2290.643846153846</v>
      </c>
    </row>
    <row r="19" spans="1:8" x14ac:dyDescent="0.2">
      <c r="A19" s="3">
        <v>42978</v>
      </c>
      <c r="B19" s="3">
        <f>_xlfn.MAXIFS('Nasdaq Data'!A:A,'Nasdaq Data'!A:A,"&lt;"&amp;A19)</f>
        <v>42977</v>
      </c>
      <c r="C19">
        <f>VLOOKUP(B19,'Nasdaq Data'!A:B,2,0)</f>
        <v>5932.9</v>
      </c>
      <c r="D19">
        <f>VLOOKUP(B19,'Nasdaq Data'!A:L,12,0)</f>
        <v>2.8</v>
      </c>
      <c r="E19">
        <v>2457.59</v>
      </c>
      <c r="F19" s="9">
        <f t="shared" si="0"/>
        <v>5347.5283333333327</v>
      </c>
      <c r="G19" s="10">
        <f t="shared" si="1"/>
        <v>2.8874999999999997</v>
      </c>
      <c r="H19" s="9">
        <f t="shared" si="2"/>
        <v>2312.4892307692307</v>
      </c>
    </row>
    <row r="20" spans="1:8" x14ac:dyDescent="0.2">
      <c r="A20" s="3">
        <v>43008</v>
      </c>
      <c r="B20" s="3">
        <f>_xlfn.MAXIFS('Nasdaq Data'!A:A,'Nasdaq Data'!A:A,"&lt;"&amp;A20)</f>
        <v>43007</v>
      </c>
      <c r="C20">
        <f>VLOOKUP(B20,'Nasdaq Data'!A:B,2,0)</f>
        <v>5979.3</v>
      </c>
      <c r="D20">
        <f>VLOOKUP(B20,'Nasdaq Data'!A:L,12,0)</f>
        <v>2.87</v>
      </c>
      <c r="E20">
        <v>2519.36</v>
      </c>
      <c r="F20" s="9">
        <f t="shared" si="0"/>
        <v>5442.6116666666667</v>
      </c>
      <c r="G20" s="10">
        <f t="shared" si="1"/>
        <v>2.9241666666666664</v>
      </c>
      <c r="H20" s="9">
        <f t="shared" si="2"/>
        <v>2338.8923076923074</v>
      </c>
    </row>
    <row r="21" spans="1:8" x14ac:dyDescent="0.2">
      <c r="A21" s="3">
        <v>43039</v>
      </c>
      <c r="B21" s="3">
        <f>_xlfn.MAXIFS('Nasdaq Data'!A:A,'Nasdaq Data'!A:A,"&lt;"&amp;A21)</f>
        <v>43038</v>
      </c>
      <c r="C21">
        <f>VLOOKUP(B21,'Nasdaq Data'!A:B,2,0)</f>
        <v>6227.59</v>
      </c>
      <c r="D21">
        <f>VLOOKUP(B21,'Nasdaq Data'!A:L,12,0)</f>
        <v>2.87</v>
      </c>
      <c r="E21">
        <v>2572.83</v>
      </c>
      <c r="F21" s="9">
        <f t="shared" si="0"/>
        <v>5561.1116666666667</v>
      </c>
      <c r="G21" s="10">
        <f t="shared" si="1"/>
        <v>2.9441666666666664</v>
      </c>
      <c r="H21" s="9">
        <f t="shared" si="2"/>
        <v>2371.330769230769</v>
      </c>
    </row>
    <row r="22" spans="1:8" x14ac:dyDescent="0.2">
      <c r="A22" s="3">
        <v>43069</v>
      </c>
      <c r="B22" s="3">
        <f>_xlfn.MAXIFS('Nasdaq Data'!A:A,'Nasdaq Data'!A:A,"&lt;"&amp;A22)</f>
        <v>43068</v>
      </c>
      <c r="C22">
        <f>VLOOKUP(B22,'Nasdaq Data'!A:B,2,0)</f>
        <v>6311.37</v>
      </c>
      <c r="D22">
        <f>VLOOKUP(B22,'Nasdaq Data'!A:L,12,0)</f>
        <v>2.94</v>
      </c>
      <c r="E22">
        <v>2626.07</v>
      </c>
      <c r="F22" s="9">
        <f t="shared" si="0"/>
        <v>5680.958333333333</v>
      </c>
      <c r="G22" s="10">
        <f t="shared" si="1"/>
        <v>2.9425000000000003</v>
      </c>
      <c r="H22" s="9">
        <f t="shared" si="2"/>
        <v>2409.7661538461539</v>
      </c>
    </row>
    <row r="23" spans="1:8" x14ac:dyDescent="0.2">
      <c r="A23" s="3">
        <v>43100</v>
      </c>
      <c r="B23" s="3">
        <f>_xlfn.MAXIFS('Nasdaq Data'!A:A,'Nasdaq Data'!A:A,"&lt;"&amp;A23)</f>
        <v>43098</v>
      </c>
      <c r="C23">
        <f>VLOOKUP(B23,'Nasdaq Data'!A:B,2,0)</f>
        <v>6396.42</v>
      </c>
      <c r="D23">
        <f>VLOOKUP(B23,'Nasdaq Data'!A:L,12,0)</f>
        <v>2.93</v>
      </c>
      <c r="E23">
        <v>2673.61</v>
      </c>
      <c r="F23" s="9">
        <f t="shared" si="0"/>
        <v>5808.6916666666684</v>
      </c>
      <c r="G23" s="10">
        <f t="shared" si="1"/>
        <v>2.9333333333333336</v>
      </c>
      <c r="H23" s="9">
        <f t="shared" si="2"/>
        <v>2445.8392307692307</v>
      </c>
    </row>
    <row r="24" spans="1:8" x14ac:dyDescent="0.2">
      <c r="A24" s="3">
        <v>43131</v>
      </c>
      <c r="B24" s="3">
        <f>_xlfn.MAXIFS('Nasdaq Data'!A:A,'Nasdaq Data'!A:A,"&lt;"&amp;A24)</f>
        <v>43130</v>
      </c>
      <c r="C24">
        <f>VLOOKUP(B24,'Nasdaq Data'!A:B,2,0)</f>
        <v>6930.73</v>
      </c>
      <c r="D24">
        <f>VLOOKUP(B24,'Nasdaq Data'!A:L,12,0)</f>
        <v>3.18</v>
      </c>
      <c r="E24">
        <v>2822.43</v>
      </c>
      <c r="F24" s="9">
        <f t="shared" si="0"/>
        <v>5958.8083333333343</v>
      </c>
      <c r="G24" s="10">
        <f t="shared" si="1"/>
        <v>2.9400000000000008</v>
      </c>
      <c r="H24" s="9">
        <f t="shared" si="2"/>
        <v>2490.7315384615385</v>
      </c>
    </row>
    <row r="25" spans="1:8" x14ac:dyDescent="0.2">
      <c r="A25" s="3">
        <v>43159</v>
      </c>
      <c r="B25" s="3">
        <f>_xlfn.MAXIFS('Nasdaq Data'!A:A,'Nasdaq Data'!A:A,"&lt;"&amp;A25)</f>
        <v>43158</v>
      </c>
      <c r="C25">
        <f>VLOOKUP(B25,'Nasdaq Data'!A:B,2,0)</f>
        <v>6900.35</v>
      </c>
      <c r="D25">
        <f>VLOOKUP(B25,'Nasdaq Data'!A:L,12,0)</f>
        <v>3.38</v>
      </c>
      <c r="E25">
        <v>2744.28</v>
      </c>
      <c r="F25" s="9">
        <f t="shared" si="0"/>
        <v>6088.2083333333348</v>
      </c>
      <c r="G25" s="10">
        <f t="shared" si="1"/>
        <v>2.973333333333334</v>
      </c>
      <c r="H25" s="9">
        <f t="shared" si="2"/>
        <v>2526.376153846154</v>
      </c>
    </row>
    <row r="26" spans="1:8" x14ac:dyDescent="0.2">
      <c r="A26" s="3">
        <v>43190</v>
      </c>
      <c r="B26" s="3">
        <f>_xlfn.MAXIFS('Nasdaq Data'!A:A,'Nasdaq Data'!A:A,"&lt;"&amp;A26)</f>
        <v>43173</v>
      </c>
      <c r="C26">
        <f>VLOOKUP(B26,'Nasdaq Data'!A:B,2,0)</f>
        <v>7040.98</v>
      </c>
      <c r="D26">
        <f>VLOOKUP(B26,'Nasdaq Data'!A:L,12,0)</f>
        <v>3.39</v>
      </c>
      <c r="E26">
        <v>2749.48</v>
      </c>
      <c r="F26" s="9">
        <f t="shared" si="0"/>
        <v>6221.6450000000004</v>
      </c>
      <c r="G26" s="10">
        <f t="shared" si="1"/>
        <v>2.999166666666667</v>
      </c>
      <c r="H26" s="9">
        <f t="shared" si="2"/>
        <v>2555.586153846154</v>
      </c>
    </row>
  </sheetData>
  <pageMargins left="0.7" right="0.7" top="0.75" bottom="0.75" header="0.3" footer="0.3"/>
  <ignoredErrors>
    <ignoredError sqref="H14:H26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L18"/>
  <sheetViews>
    <sheetView tabSelected="1" workbookViewId="0"/>
  </sheetViews>
  <sheetFormatPr baseColWidth="10" defaultRowHeight="16" x14ac:dyDescent="0.2"/>
  <cols>
    <col min="4" max="4" width="4" customWidth="1"/>
  </cols>
  <sheetData>
    <row r="2" spans="1:12" x14ac:dyDescent="0.2">
      <c r="A2" s="7" t="s">
        <v>28</v>
      </c>
    </row>
    <row r="3" spans="1:12" ht="6" customHeight="1" x14ac:dyDescent="0.2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2" ht="7" customHeight="1" x14ac:dyDescent="0.2"/>
    <row r="5" spans="1:12" x14ac:dyDescent="0.2">
      <c r="A5" s="5" t="s">
        <v>12</v>
      </c>
      <c r="B5" s="5" t="s">
        <v>18</v>
      </c>
      <c r="C5" s="5" t="s">
        <v>13</v>
      </c>
    </row>
    <row r="6" spans="1:12" x14ac:dyDescent="0.2">
      <c r="A6" s="12">
        <v>39082</v>
      </c>
      <c r="B6" s="13">
        <v>1278.73</v>
      </c>
      <c r="C6" s="13">
        <v>1756.9</v>
      </c>
    </row>
    <row r="7" spans="1:12" x14ac:dyDescent="0.2">
      <c r="A7" s="12">
        <v>39447</v>
      </c>
      <c r="B7" s="13">
        <v>1424.16</v>
      </c>
      <c r="C7" s="13">
        <v>2084.9299999999998</v>
      </c>
    </row>
    <row r="8" spans="1:12" x14ac:dyDescent="0.2">
      <c r="A8" s="12">
        <v>39813</v>
      </c>
      <c r="B8" s="13">
        <v>1378.76</v>
      </c>
      <c r="C8" s="13">
        <v>1211.6500000000001</v>
      </c>
    </row>
    <row r="9" spans="1:12" x14ac:dyDescent="0.2">
      <c r="A9" s="12">
        <v>40178</v>
      </c>
      <c r="B9" s="13">
        <v>865.58</v>
      </c>
      <c r="C9" s="13">
        <v>1860.31</v>
      </c>
    </row>
    <row r="10" spans="1:12" x14ac:dyDescent="0.2">
      <c r="A10" s="12">
        <v>40543</v>
      </c>
      <c r="B10" s="13">
        <v>1123.58</v>
      </c>
      <c r="C10" s="13">
        <v>2217.86</v>
      </c>
    </row>
    <row r="11" spans="1:12" x14ac:dyDescent="0.2">
      <c r="A11" s="12">
        <v>40908</v>
      </c>
      <c r="B11" s="13">
        <v>1282.6199999999999</v>
      </c>
      <c r="C11" s="13">
        <v>2277.83</v>
      </c>
    </row>
    <row r="12" spans="1:12" x14ac:dyDescent="0.2">
      <c r="A12" s="12">
        <v>41274</v>
      </c>
      <c r="B12" s="13">
        <v>1300.58</v>
      </c>
      <c r="C12" s="13">
        <v>2660.93</v>
      </c>
    </row>
    <row r="13" spans="1:12" x14ac:dyDescent="0.2">
      <c r="A13" s="12">
        <v>41639</v>
      </c>
      <c r="B13" s="13">
        <v>1480.4</v>
      </c>
      <c r="C13" s="13">
        <v>3592</v>
      </c>
    </row>
    <row r="14" spans="1:12" x14ac:dyDescent="0.2">
      <c r="A14" s="12">
        <v>42004</v>
      </c>
      <c r="B14" s="13">
        <v>1822.36</v>
      </c>
      <c r="C14" s="13">
        <v>4236.28</v>
      </c>
    </row>
    <row r="15" spans="1:12" x14ac:dyDescent="0.2">
      <c r="A15" s="12">
        <v>42369</v>
      </c>
      <c r="B15" s="13">
        <v>2028.18</v>
      </c>
      <c r="C15" s="13">
        <v>4593.2700000000004</v>
      </c>
    </row>
    <row r="16" spans="1:12" x14ac:dyDescent="0.2">
      <c r="A16" s="12">
        <v>42735</v>
      </c>
      <c r="B16" s="13">
        <v>1918.6</v>
      </c>
      <c r="C16" s="13">
        <v>4863.62</v>
      </c>
    </row>
    <row r="17" spans="1:12" ht="7" customHeight="1" x14ac:dyDescent="0.2"/>
    <row r="18" spans="1:12" ht="6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AB8"/>
  <sheetViews>
    <sheetView showGridLines="0" workbookViewId="0"/>
  </sheetViews>
  <sheetFormatPr baseColWidth="10" defaultRowHeight="16" x14ac:dyDescent="0.2"/>
  <cols>
    <col min="1" max="1" width="1.6640625" customWidth="1"/>
    <col min="2" max="2" width="10.6640625" bestFit="1" customWidth="1"/>
    <col min="3" max="9" width="7.6640625" customWidth="1"/>
    <col min="10" max="12" width="8.6640625" bestFit="1" customWidth="1"/>
    <col min="13" max="21" width="7.6640625" customWidth="1"/>
    <col min="22" max="24" width="8.6640625" bestFit="1" customWidth="1"/>
    <col min="25" max="27" width="7.6640625" customWidth="1"/>
    <col min="28" max="28" width="17.5" bestFit="1" customWidth="1"/>
  </cols>
  <sheetData>
    <row r="2" spans="2:28" ht="19" x14ac:dyDescent="0.25">
      <c r="B2" s="8" t="s">
        <v>20</v>
      </c>
    </row>
    <row r="3" spans="2:28" x14ac:dyDescent="0.2">
      <c r="B3" s="5" t="s">
        <v>19</v>
      </c>
      <c r="C3" s="6">
        <v>42460</v>
      </c>
      <c r="D3" s="6">
        <v>42490</v>
      </c>
      <c r="E3" s="6">
        <v>42521</v>
      </c>
      <c r="F3" s="6">
        <v>42551</v>
      </c>
      <c r="G3" s="6">
        <v>42582</v>
      </c>
      <c r="H3" s="6">
        <v>42613</v>
      </c>
      <c r="I3" s="6">
        <v>42643</v>
      </c>
      <c r="J3" s="6">
        <v>42674</v>
      </c>
      <c r="K3" s="6">
        <v>42704</v>
      </c>
      <c r="L3" s="6">
        <v>42735</v>
      </c>
      <c r="M3" s="6">
        <v>42766</v>
      </c>
      <c r="N3" s="6">
        <v>42794</v>
      </c>
      <c r="O3" s="6">
        <v>42825</v>
      </c>
      <c r="P3" s="6">
        <v>42855</v>
      </c>
      <c r="Q3" s="6">
        <v>42886</v>
      </c>
      <c r="R3" s="6">
        <v>42916</v>
      </c>
      <c r="S3" s="6">
        <v>42947</v>
      </c>
      <c r="T3" s="6">
        <v>42978</v>
      </c>
      <c r="U3" s="6">
        <v>43008</v>
      </c>
      <c r="V3" s="6">
        <v>43039</v>
      </c>
      <c r="W3" s="6">
        <v>43069</v>
      </c>
      <c r="X3" s="6">
        <v>43100</v>
      </c>
      <c r="Y3" s="6">
        <v>43131</v>
      </c>
      <c r="Z3" s="6">
        <v>43159</v>
      </c>
      <c r="AA3" s="6">
        <v>43190</v>
      </c>
      <c r="AB3" s="6" t="s">
        <v>26</v>
      </c>
    </row>
    <row r="4" spans="2:28" x14ac:dyDescent="0.2">
      <c r="B4" t="s">
        <v>16</v>
      </c>
      <c r="C4">
        <f>VLOOKUP(C3,'Monthly Data'!$A:$C,3,0)</f>
        <v>4490.88</v>
      </c>
      <c r="D4">
        <f>VLOOKUP(D3,'Monthly Data'!$A:$C,3,0)</f>
        <v>4341.3</v>
      </c>
      <c r="E4">
        <f>VLOOKUP(E3,'Monthly Data'!$A:$C,3,0)</f>
        <v>4512.54</v>
      </c>
      <c r="F4">
        <f>VLOOKUP(F3,'Monthly Data'!$A:$C,3,0)</f>
        <v>4364.74</v>
      </c>
      <c r="G4">
        <f>VLOOKUP(G3,'Monthly Data'!$A:$C,3,0)</f>
        <v>4730.2299999999996</v>
      </c>
      <c r="H4">
        <f>VLOOKUP(H3,'Monthly Data'!$A:$C,3,0)</f>
        <v>4775.99</v>
      </c>
      <c r="I4">
        <f>VLOOKUP(I3,'Monthly Data'!$A:$C,3,0)</f>
        <v>4838.3</v>
      </c>
      <c r="J4">
        <f>VLOOKUP(J3,'Monthly Data'!$A:$C,3,0)</f>
        <v>4805.59</v>
      </c>
      <c r="K4">
        <f>VLOOKUP(K3,'Monthly Data'!$A:$C,3,0)</f>
        <v>4873.21</v>
      </c>
      <c r="L4">
        <f>VLOOKUP(L3,'Monthly Data'!$A:$C,3,0)</f>
        <v>4863.62</v>
      </c>
      <c r="M4">
        <f>VLOOKUP(M3,'Monthly Data'!$A:$C,3,0)</f>
        <v>5129.33</v>
      </c>
      <c r="N4">
        <f>VLOOKUP(N3,'Monthly Data'!$A:$C,3,0)</f>
        <v>5347.55</v>
      </c>
      <c r="O4">
        <f>VLOOKUP(O3,'Monthly Data'!$A:$C,3,0)</f>
        <v>5439.74</v>
      </c>
      <c r="P4">
        <f>VLOOKUP(P3,'Monthly Data'!$A:$C,3,0)</f>
        <v>5583.53</v>
      </c>
      <c r="Q4">
        <f>VLOOKUP(Q3,'Monthly Data'!$A:$C,3,0)</f>
        <v>5794.63</v>
      </c>
      <c r="R4">
        <f>VLOOKUP(R3,'Monthly Data'!$A:$C,3,0)</f>
        <v>5653.02</v>
      </c>
      <c r="S4">
        <f>VLOOKUP(S3,'Monthly Data'!$A:$C,3,0)</f>
        <v>5908.92</v>
      </c>
      <c r="T4">
        <f>VLOOKUP(T3,'Monthly Data'!$A:$C,3,0)</f>
        <v>5932.9</v>
      </c>
      <c r="U4">
        <f>VLOOKUP(U3,'Monthly Data'!$A:$C,3,0)</f>
        <v>5979.3</v>
      </c>
      <c r="V4">
        <f>VLOOKUP(V3,'Monthly Data'!$A:$C,3,0)</f>
        <v>6227.59</v>
      </c>
      <c r="W4">
        <f>VLOOKUP(W3,'Monthly Data'!$A:$C,3,0)</f>
        <v>6311.37</v>
      </c>
      <c r="X4">
        <f>VLOOKUP(X3,'Monthly Data'!$A:$C,3,0)</f>
        <v>6396.42</v>
      </c>
      <c r="Y4">
        <f>VLOOKUP(Y3,'Monthly Data'!$A:$C,3,0)</f>
        <v>6930.73</v>
      </c>
      <c r="Z4">
        <f>VLOOKUP(Z3,'Monthly Data'!$A:$C,3,0)</f>
        <v>6900.35</v>
      </c>
      <c r="AA4">
        <f>VLOOKUP(AA3,'Monthly Data'!$A:$C,3,0)</f>
        <v>7040.98</v>
      </c>
      <c r="AB4" s="11">
        <f>(AA4-C4)/C4</f>
        <v>0.56783971070257933</v>
      </c>
    </row>
    <row r="5" spans="2:28" x14ac:dyDescent="0.2">
      <c r="B5" t="s">
        <v>18</v>
      </c>
      <c r="C5">
        <f>VLOOKUP(C3,'Monthly Data'!$A:$E,5,0)</f>
        <v>2063.9499999999998</v>
      </c>
      <c r="D5">
        <f>VLOOKUP(D3,'Monthly Data'!$A:$E,5,0)</f>
        <v>2065.3000000000002</v>
      </c>
      <c r="E5">
        <f>VLOOKUP(E3,'Monthly Data'!$A:$E,5,0)</f>
        <v>2099.06</v>
      </c>
      <c r="F5">
        <f>VLOOKUP(F3,'Monthly Data'!$A:$E,5,0)</f>
        <v>2070.77</v>
      </c>
      <c r="G5">
        <f>VLOOKUP(G3,'Monthly Data'!$A:$E,5,0)</f>
        <v>2173.6</v>
      </c>
      <c r="H5">
        <f>VLOOKUP(H3,'Monthly Data'!$A:$E,5,0)</f>
        <v>2176.12</v>
      </c>
      <c r="I5">
        <f>VLOOKUP(I3,'Monthly Data'!$A:$E,5,0)</f>
        <v>2151.13</v>
      </c>
      <c r="J5">
        <f>VLOOKUP(J3,'Monthly Data'!$A:$E,5,0)</f>
        <v>2126.41</v>
      </c>
      <c r="K5">
        <f>VLOOKUP(K3,'Monthly Data'!$A:$E,5,0)</f>
        <v>2204.66</v>
      </c>
      <c r="L5">
        <f>VLOOKUP(L3,'Monthly Data'!$A:$E,5,0)</f>
        <v>2238.83</v>
      </c>
      <c r="M5">
        <f>VLOOKUP(M3,'Monthly Data'!$A:$E,5,0)</f>
        <v>2280.9</v>
      </c>
      <c r="N5">
        <f>VLOOKUP(N3,'Monthly Data'!$A:$E,5,0)</f>
        <v>2369.75</v>
      </c>
      <c r="O5">
        <f>VLOOKUP(O3,'Monthly Data'!$A:$E,5,0)</f>
        <v>2368.06</v>
      </c>
      <c r="P5">
        <f>VLOOKUP(P3,'Monthly Data'!$A:$E,5,0)</f>
        <v>2384.1999999999998</v>
      </c>
      <c r="Q5">
        <f>VLOOKUP(Q3,'Monthly Data'!$A:$E,5,0)</f>
        <v>2412.91</v>
      </c>
      <c r="R5">
        <f>VLOOKUP(R3,'Monthly Data'!$A:$E,5,0)</f>
        <v>2419.6999999999998</v>
      </c>
      <c r="S5">
        <f>VLOOKUP(S3,'Monthly Data'!$A:$E,5,0)</f>
        <v>2472.1</v>
      </c>
      <c r="T5">
        <f>VLOOKUP(T3,'Monthly Data'!$A:$E,5,0)</f>
        <v>2457.59</v>
      </c>
      <c r="U5">
        <f>VLOOKUP(U3,'Monthly Data'!$A:$E,5,0)</f>
        <v>2519.36</v>
      </c>
      <c r="V5">
        <f>VLOOKUP(V3,'Monthly Data'!$A:$E,5,0)</f>
        <v>2572.83</v>
      </c>
      <c r="W5">
        <f>VLOOKUP(W3,'Monthly Data'!$A:$E,5,0)</f>
        <v>2626.07</v>
      </c>
      <c r="X5">
        <f>VLOOKUP(X3,'Monthly Data'!$A:$E,5,0)</f>
        <v>2673.61</v>
      </c>
      <c r="Y5">
        <f>VLOOKUP(Y3,'Monthly Data'!$A:$E,5,0)</f>
        <v>2822.43</v>
      </c>
      <c r="Z5">
        <f>VLOOKUP(Z3,'Monthly Data'!$A:$E,5,0)</f>
        <v>2744.28</v>
      </c>
      <c r="AA5">
        <f>VLOOKUP(AA3,'Monthly Data'!$A:$E,5,0)</f>
        <v>2749.48</v>
      </c>
      <c r="AB5" s="11">
        <f t="shared" ref="AB5:AB6" si="0">(AA5-C5)/C5</f>
        <v>0.33214467404733655</v>
      </c>
    </row>
    <row r="6" spans="2:28" x14ac:dyDescent="0.2">
      <c r="B6" t="s">
        <v>17</v>
      </c>
      <c r="C6">
        <f>VLOOKUP(C3,'Monthly Data'!$A:$E,4,0)</f>
        <v>2.44</v>
      </c>
      <c r="D6">
        <f>VLOOKUP(D3,'Monthly Data'!$A:$E,4,0)</f>
        <v>2.41</v>
      </c>
      <c r="E6">
        <f>VLOOKUP(E3,'Monthly Data'!$A:$E,4,0)</f>
        <v>2.5499999999999998</v>
      </c>
      <c r="F6">
        <f>VLOOKUP(F3,'Monthly Data'!$A:$E,4,0)</f>
        <v>2.34</v>
      </c>
      <c r="G6">
        <f>VLOOKUP(G3,'Monthly Data'!$A:$E,4,0)</f>
        <v>2.27</v>
      </c>
      <c r="H6">
        <f>VLOOKUP(H3,'Monthly Data'!$A:$E,4,0)</f>
        <v>2.3199999999999998</v>
      </c>
      <c r="I6">
        <f>VLOOKUP(I3,'Monthly Data'!$A:$E,4,0)</f>
        <v>2.4300000000000002</v>
      </c>
      <c r="J6">
        <f>VLOOKUP(J3,'Monthly Data'!$A:$E,4,0)</f>
        <v>2.63</v>
      </c>
      <c r="K6">
        <f>VLOOKUP(K3,'Monthly Data'!$A:$E,4,0)</f>
        <v>2.96</v>
      </c>
      <c r="L6">
        <f>VLOOKUP(L3,'Monthly Data'!$A:$E,4,0)</f>
        <v>3.04</v>
      </c>
      <c r="M6">
        <f>VLOOKUP(M3,'Monthly Data'!$A:$E,4,0)</f>
        <v>3.1</v>
      </c>
      <c r="N6">
        <f>VLOOKUP(N3,'Monthly Data'!$A:$E,4,0)</f>
        <v>2.98</v>
      </c>
      <c r="O6">
        <f>VLOOKUP(O3,'Monthly Data'!$A:$E,4,0)</f>
        <v>3.08</v>
      </c>
      <c r="P6">
        <f>VLOOKUP(P3,'Monthly Data'!$A:$E,4,0)</f>
        <v>2.98</v>
      </c>
      <c r="Q6">
        <f>VLOOKUP(Q3,'Monthly Data'!$A:$E,4,0)</f>
        <v>2.9</v>
      </c>
      <c r="R6">
        <f>VLOOKUP(R3,'Monthly Data'!$A:$E,4,0)</f>
        <v>2.89</v>
      </c>
      <c r="S6">
        <f>VLOOKUP(S3,'Monthly Data'!$A:$E,4,0)</f>
        <v>2.86</v>
      </c>
      <c r="T6">
        <f>VLOOKUP(T3,'Monthly Data'!$A:$E,4,0)</f>
        <v>2.8</v>
      </c>
      <c r="U6">
        <f>VLOOKUP(U3,'Monthly Data'!$A:$E,4,0)</f>
        <v>2.87</v>
      </c>
      <c r="V6">
        <f>VLOOKUP(V3,'Monthly Data'!$A:$E,4,0)</f>
        <v>2.87</v>
      </c>
      <c r="W6">
        <f>VLOOKUP(W3,'Monthly Data'!$A:$E,4,0)</f>
        <v>2.94</v>
      </c>
      <c r="X6">
        <f>VLOOKUP(X3,'Monthly Data'!$A:$E,4,0)</f>
        <v>2.93</v>
      </c>
      <c r="Y6">
        <f>VLOOKUP(Y3,'Monthly Data'!$A:$E,4,0)</f>
        <v>3.18</v>
      </c>
      <c r="Z6">
        <f>VLOOKUP(Z3,'Monthly Data'!$A:$E,4,0)</f>
        <v>3.38</v>
      </c>
      <c r="AA6">
        <f>VLOOKUP(AA3,'Monthly Data'!$A:$E,4,0)</f>
        <v>3.39</v>
      </c>
      <c r="AB6" s="11">
        <f t="shared" si="0"/>
        <v>0.38934426229508207</v>
      </c>
    </row>
    <row r="7" spans="2:28" ht="5" customHeight="1" x14ac:dyDescent="0.2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2:28" ht="8" customHeight="1" x14ac:dyDescent="0.2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O8"/>
  <sheetViews>
    <sheetView showGridLines="0" workbookViewId="0"/>
  </sheetViews>
  <sheetFormatPr baseColWidth="10" defaultRowHeight="16" x14ac:dyDescent="0.2"/>
  <cols>
    <col min="1" max="1" width="1.5" customWidth="1"/>
    <col min="15" max="15" width="17.33203125" bestFit="1" customWidth="1"/>
  </cols>
  <sheetData>
    <row r="2" spans="2:15" ht="19" x14ac:dyDescent="0.25">
      <c r="B2" s="8" t="s">
        <v>21</v>
      </c>
    </row>
    <row r="3" spans="2:15" x14ac:dyDescent="0.2">
      <c r="B3" s="5" t="s">
        <v>19</v>
      </c>
      <c r="C3" s="6">
        <v>42855</v>
      </c>
      <c r="D3" s="6">
        <v>42886</v>
      </c>
      <c r="E3" s="6">
        <v>42916</v>
      </c>
      <c r="F3" s="6">
        <v>42947</v>
      </c>
      <c r="G3" s="6">
        <v>42978</v>
      </c>
      <c r="H3" s="6">
        <v>43008</v>
      </c>
      <c r="I3" s="6">
        <v>43039</v>
      </c>
      <c r="J3" s="6">
        <v>43069</v>
      </c>
      <c r="K3" s="6">
        <v>43100</v>
      </c>
      <c r="L3" s="6">
        <v>43131</v>
      </c>
      <c r="M3" s="6">
        <v>43159</v>
      </c>
      <c r="N3" s="6">
        <v>43190</v>
      </c>
      <c r="O3" s="6" t="s">
        <v>25</v>
      </c>
    </row>
    <row r="4" spans="2:15" x14ac:dyDescent="0.2">
      <c r="B4" t="s">
        <v>16</v>
      </c>
      <c r="C4" s="9">
        <f>VLOOKUP(C3,'Monthly Data'!$A:$F,6,0)</f>
        <v>4938.6975000000002</v>
      </c>
      <c r="D4" s="9">
        <f>VLOOKUP(D3,'Monthly Data'!$A:$F,6,0)</f>
        <v>5045.538333333333</v>
      </c>
      <c r="E4" s="9">
        <f>VLOOKUP(E3,'Monthly Data'!$A:$F,6,0)</f>
        <v>5152.8949999999995</v>
      </c>
      <c r="F4" s="9">
        <f>VLOOKUP(F3,'Monthly Data'!$A:$F,6,0)</f>
        <v>5251.1191666666664</v>
      </c>
      <c r="G4" s="9">
        <f>VLOOKUP(G3,'Monthly Data'!$A:$F,6,0)</f>
        <v>5347.5283333333327</v>
      </c>
      <c r="H4" s="9">
        <f>VLOOKUP(H3,'Monthly Data'!$A:$F,6,0)</f>
        <v>5442.6116666666667</v>
      </c>
      <c r="I4" s="9">
        <f>VLOOKUP(I3,'Monthly Data'!$A:$F,6,0)</f>
        <v>5561.1116666666667</v>
      </c>
      <c r="J4" s="9">
        <f>VLOOKUP(J3,'Monthly Data'!$A:$F,6,0)</f>
        <v>5680.958333333333</v>
      </c>
      <c r="K4" s="9">
        <f>VLOOKUP(K3,'Monthly Data'!$A:$F,6,0)</f>
        <v>5808.6916666666684</v>
      </c>
      <c r="L4" s="9">
        <f>VLOOKUP(L3,'Monthly Data'!$A:$F,6,0)</f>
        <v>5958.8083333333343</v>
      </c>
      <c r="M4" s="9">
        <f>VLOOKUP(M3,'Monthly Data'!$A:$F,6,0)</f>
        <v>6088.2083333333348</v>
      </c>
      <c r="N4" s="9">
        <f>VLOOKUP(N3,'Monthly Data'!$A:$F,6,0)</f>
        <v>6221.6450000000004</v>
      </c>
      <c r="O4" s="11">
        <f>(N4-C4)/C4</f>
        <v>0.2597744648259992</v>
      </c>
    </row>
    <row r="5" spans="2:15" x14ac:dyDescent="0.2">
      <c r="B5" t="s">
        <v>18</v>
      </c>
      <c r="C5" s="9">
        <f>VLOOKUP(C3,'Monthly Data'!$A:$H,8,0)</f>
        <v>2208.3684615384623</v>
      </c>
      <c r="D5" s="9">
        <f>VLOOKUP(D3,'Monthly Data'!$A:$H,8,0)</f>
        <v>2235.1076923076926</v>
      </c>
      <c r="E5" s="9">
        <f>VLOOKUP(E3,'Monthly Data'!$A:$H,8,0)</f>
        <v>2259.7723076923075</v>
      </c>
      <c r="F5" s="9">
        <f>VLOOKUP(F3,'Monthly Data'!$A:$H,8,0)</f>
        <v>2290.643846153846</v>
      </c>
      <c r="G5" s="9">
        <f>VLOOKUP(G3,'Monthly Data'!$A:$H,8,0)</f>
        <v>2312.4892307692307</v>
      </c>
      <c r="H5" s="9">
        <f>VLOOKUP(H3,'Monthly Data'!$A:$H,8,0)</f>
        <v>2338.8923076923074</v>
      </c>
      <c r="I5" s="9">
        <f>VLOOKUP(I3,'Monthly Data'!$A:$H,8,0)</f>
        <v>2371.330769230769</v>
      </c>
      <c r="J5" s="9">
        <f>VLOOKUP(J3,'Monthly Data'!$A:$H,8,0)</f>
        <v>2409.7661538461539</v>
      </c>
      <c r="K5" s="9">
        <f>VLOOKUP(K3,'Monthly Data'!$A:$H,8,0)</f>
        <v>2445.8392307692307</v>
      </c>
      <c r="L5" s="9">
        <f>VLOOKUP(L3,'Monthly Data'!$A:$H,8,0)</f>
        <v>2490.7315384615385</v>
      </c>
      <c r="M5" s="9">
        <f>VLOOKUP(M3,'Monthly Data'!$A:$H,8,0)</f>
        <v>2526.376153846154</v>
      </c>
      <c r="N5" s="9">
        <f>VLOOKUP(N3,'Monthly Data'!$A:$H,8,0)</f>
        <v>2555.586153846154</v>
      </c>
      <c r="O5" s="11">
        <f t="shared" ref="O5:O6" si="0">(N5-C5)/C5</f>
        <v>0.15722815207467788</v>
      </c>
    </row>
    <row r="6" spans="2:15" x14ac:dyDescent="0.2">
      <c r="B6" t="s">
        <v>17</v>
      </c>
      <c r="C6" s="10">
        <f>VLOOKUP(C3,'Monthly Data'!$A:$H,7,0)</f>
        <v>2.7233333333333332</v>
      </c>
      <c r="D6" s="10">
        <f>VLOOKUP(D3,'Monthly Data'!$A:$H,7,0)</f>
        <v>2.7524999999999999</v>
      </c>
      <c r="E6" s="10">
        <f>VLOOKUP(E3,'Monthly Data'!$A:$H,7,0)</f>
        <v>2.7983333333333333</v>
      </c>
      <c r="F6" s="10">
        <f>VLOOKUP(F3,'Monthly Data'!$A:$H,7,0)</f>
        <v>2.8475000000000001</v>
      </c>
      <c r="G6" s="10">
        <f>VLOOKUP(G3,'Monthly Data'!$A:$H,7,0)</f>
        <v>2.8874999999999997</v>
      </c>
      <c r="H6" s="10">
        <f>VLOOKUP(H3,'Monthly Data'!$A:$H,7,0)</f>
        <v>2.9241666666666664</v>
      </c>
      <c r="I6" s="10">
        <f>VLOOKUP(I3,'Monthly Data'!$A:$H,7,0)</f>
        <v>2.9441666666666664</v>
      </c>
      <c r="J6" s="10">
        <f>VLOOKUP(J3,'Monthly Data'!$A:$H,7,0)</f>
        <v>2.9425000000000003</v>
      </c>
      <c r="K6" s="10">
        <f>VLOOKUP(K3,'Monthly Data'!$A:$H,7,0)</f>
        <v>2.9333333333333336</v>
      </c>
      <c r="L6" s="10">
        <f>VLOOKUP(L3,'Monthly Data'!$A:$H,7,0)</f>
        <v>2.9400000000000008</v>
      </c>
      <c r="M6" s="10">
        <f>VLOOKUP(M3,'Monthly Data'!$A:$H,7,0)</f>
        <v>2.973333333333334</v>
      </c>
      <c r="N6" s="10">
        <f>VLOOKUP(N3,'Monthly Data'!$A:$H,7,0)</f>
        <v>2.999166666666667</v>
      </c>
      <c r="O6" s="11">
        <f t="shared" si="0"/>
        <v>0.10128518971848244</v>
      </c>
    </row>
    <row r="7" spans="2:15" ht="5" customHeight="1" x14ac:dyDescent="0.2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2:15" ht="8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Nasdaq Data</vt:lpstr>
      <vt:lpstr>Monthly Data</vt:lpstr>
      <vt:lpstr>10 Year Trend</vt:lpstr>
      <vt:lpstr>24 Month Trend</vt:lpstr>
      <vt:lpstr>12 Month Rolling Average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Nathaniel Chen</dc:creator>
  <cp:lastModifiedBy>Nathaniel Chen</cp:lastModifiedBy>
  <dcterms:created xsi:type="dcterms:W3CDTF">2018-03-20T00:30:02Z</dcterms:created>
  <dcterms:modified xsi:type="dcterms:W3CDTF">2018-04-26T13:47:13Z</dcterms:modified>
</cp:coreProperties>
</file>